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hand\OneDrive\Desktop\Resume\DA\"/>
    </mc:Choice>
  </mc:AlternateContent>
  <xr:revisionPtr revIDLastSave="0" documentId="13_ncr:1_{D6EE6DCF-25DD-4071-8C3A-7E9D84965006}" xr6:coauthVersionLast="47" xr6:coauthVersionMax="47" xr10:uidLastSave="{00000000-0000-0000-0000-000000000000}"/>
  <bookViews>
    <workbookView xWindow="-108" yWindow="-108" windowWidth="23256" windowHeight="12456" activeTab="4" xr2:uid="{AC63CBDE-60A7-4400-8F1A-0159AB0AFB25}"/>
  </bookViews>
  <sheets>
    <sheet name="Raw_Data" sheetId="6" r:id="rId1"/>
    <sheet name="Clean_Data" sheetId="2" r:id="rId2"/>
    <sheet name="Calculations" sheetId="3" r:id="rId3"/>
    <sheet name="Pivots" sheetId="4" r:id="rId4"/>
    <sheet name="Dashboard" sheetId="5" r:id="rId5"/>
    <sheet name="Chart_Data" sheetId="11" r:id="rId6"/>
  </sheets>
  <definedNames>
    <definedName name="ExternalData_1" localSheetId="1" hidden="1">Clean_Data!$A$1:$AI$1471</definedName>
    <definedName name="ExternalData_1" localSheetId="0" hidden="1">Raw_Data!$A$1:$AI$1471</definedName>
  </definedNames>
  <calcPr calcId="191029"/>
  <pivotCaches>
    <pivotCache cacheId="2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5" l="1"/>
  <c r="E4" i="5"/>
  <c r="C4" i="5"/>
  <c r="A4" i="5"/>
  <c r="E12" i="3"/>
  <c r="E11" i="3"/>
  <c r="E10" i="3"/>
  <c r="E9" i="3"/>
  <c r="E8" i="3"/>
  <c r="E7" i="3"/>
  <c r="E6" i="3"/>
  <c r="E5" i="3"/>
  <c r="E4" i="3"/>
  <c r="E3" i="3"/>
  <c r="AM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L2" i="2" a="1"/>
  <c r="AL2" i="2"/>
  <c r="AL3" i="2" a="1"/>
  <c r="AL3" i="2" s="1"/>
  <c r="AL4" i="2" a="1"/>
  <c r="AL4" i="2"/>
  <c r="AL5" i="2" a="1"/>
  <c r="AL5" i="2"/>
  <c r="AL6" i="2" a="1"/>
  <c r="AL6" i="2" s="1"/>
  <c r="AL7" i="2" a="1"/>
  <c r="AL7" i="2" s="1"/>
  <c r="AL8" i="2" a="1"/>
  <c r="AL8" i="2" s="1"/>
  <c r="AL9" i="2" a="1"/>
  <c r="AL9" i="2"/>
  <c r="AL10" i="2" a="1"/>
  <c r="AL10" i="2" s="1"/>
  <c r="AL11" i="2" a="1"/>
  <c r="AL11" i="2"/>
  <c r="AL12" i="2" a="1"/>
  <c r="AL12" i="2" s="1"/>
  <c r="AL13" i="2" a="1"/>
  <c r="AL13" i="2"/>
  <c r="AL14" i="2" a="1"/>
  <c r="AL14" i="2" s="1"/>
  <c r="AL15" i="2" a="1"/>
  <c r="AL15" i="2"/>
  <c r="AL16" i="2" a="1"/>
  <c r="AL16" i="2" s="1"/>
  <c r="AL17" i="2" a="1"/>
  <c r="AL17" i="2"/>
  <c r="AL18" i="2" a="1"/>
  <c r="AL18" i="2" s="1"/>
  <c r="AL19" i="2" a="1"/>
  <c r="AL19" i="2" s="1"/>
  <c r="AL20" i="2" a="1"/>
  <c r="AL20" i="2"/>
  <c r="AL21" i="2" a="1"/>
  <c r="AL21" i="2"/>
  <c r="AL22" i="2" a="1"/>
  <c r="AL22" i="2"/>
  <c r="AL23" i="2" a="1"/>
  <c r="AL23" i="2" s="1"/>
  <c r="AL24" i="2" a="1"/>
  <c r="AL24" i="2" s="1"/>
  <c r="AL25" i="2" a="1"/>
  <c r="AL25" i="2"/>
  <c r="AL26" i="2" a="1"/>
  <c r="AL26" i="2" s="1"/>
  <c r="AL27" i="2" a="1"/>
  <c r="AL27" i="2"/>
  <c r="AL28" i="2" a="1"/>
  <c r="AL28" i="2" s="1"/>
  <c r="AL29" i="2" a="1"/>
  <c r="AL29" i="2" s="1"/>
  <c r="AL30" i="2" a="1"/>
  <c r="AL30" i="2" s="1"/>
  <c r="AL31" i="2" a="1"/>
  <c r="AL31" i="2" s="1"/>
  <c r="AL32" i="2" a="1"/>
  <c r="AL32" i="2"/>
  <c r="AL33" i="2" a="1"/>
  <c r="AL33" i="2" s="1"/>
  <c r="AL34" i="2" a="1"/>
  <c r="AL34" i="2"/>
  <c r="AL35" i="2" a="1"/>
  <c r="AL35" i="2" s="1"/>
  <c r="AL36" i="2" a="1"/>
  <c r="AL36" i="2" s="1"/>
  <c r="AL37" i="2" a="1"/>
  <c r="AL37" i="2" s="1"/>
  <c r="AL38" i="2" a="1"/>
  <c r="AL38" i="2"/>
  <c r="AL39" i="2" a="1"/>
  <c r="AL39" i="2" s="1"/>
  <c r="AL40" i="2" a="1"/>
  <c r="AL40" i="2"/>
  <c r="AL41" i="2" a="1"/>
  <c r="AL41" i="2" s="1"/>
  <c r="AL42" i="2" a="1"/>
  <c r="AL42" i="2" s="1"/>
  <c r="AL43" i="2" a="1"/>
  <c r="AL43" i="2"/>
  <c r="AL44" i="2" a="1"/>
  <c r="AL44" i="2" s="1"/>
  <c r="AL45" i="2" a="1"/>
  <c r="AL45" i="2"/>
  <c r="AL46" i="2" a="1"/>
  <c r="AL46" i="2"/>
  <c r="AL47" i="2" a="1"/>
  <c r="AL47" i="2" s="1"/>
  <c r="AL48" i="2" a="1"/>
  <c r="AL48" i="2" s="1"/>
  <c r="AL49" i="2" a="1"/>
  <c r="AL49" i="2" s="1"/>
  <c r="AL50" i="2" a="1"/>
  <c r="AL50" i="2" s="1"/>
  <c r="AL51" i="2" a="1"/>
  <c r="AL51" i="2"/>
  <c r="AL52" i="2" a="1"/>
  <c r="AL52" i="2" s="1"/>
  <c r="AL53" i="2" a="1"/>
  <c r="AL53" i="2"/>
  <c r="AL54" i="2" a="1"/>
  <c r="AL54" i="2" s="1"/>
  <c r="AL55" i="2" a="1"/>
  <c r="AL55" i="2"/>
  <c r="AL56" i="2" a="1"/>
  <c r="AL56" i="2"/>
  <c r="AL57" i="2" a="1"/>
  <c r="AL57" i="2"/>
  <c r="AL58" i="2" a="1"/>
  <c r="AL58" i="2" s="1"/>
  <c r="AL59" i="2" a="1"/>
  <c r="AL59" i="2" s="1"/>
  <c r="AL60" i="2" a="1"/>
  <c r="AL60" i="2" s="1"/>
  <c r="AL61" i="2" a="1"/>
  <c r="AL61" i="2" s="1"/>
  <c r="AL62" i="2" a="1"/>
  <c r="AL62" i="2" s="1"/>
  <c r="AL63" i="2" a="1"/>
  <c r="AL63" i="2"/>
  <c r="AL64" i="2" a="1"/>
  <c r="AL64" i="2" s="1"/>
  <c r="AL65" i="2" a="1"/>
  <c r="AL65" i="2"/>
  <c r="AL66" i="2" a="1"/>
  <c r="AL66" i="2" s="1"/>
  <c r="AL67" i="2" a="1"/>
  <c r="AL67" i="2" s="1"/>
  <c r="AL68" i="2" a="1"/>
  <c r="AL68" i="2"/>
  <c r="AL69" i="2" a="1"/>
  <c r="AL69" i="2" s="1"/>
  <c r="AL70" i="2" a="1"/>
  <c r="AL70" i="2"/>
  <c r="AL71" i="2" a="1"/>
  <c r="AL71" i="2" s="1"/>
  <c r="AL72" i="2" a="1"/>
  <c r="AL72" i="2" s="1"/>
  <c r="AL73" i="2" a="1"/>
  <c r="AL73" i="2"/>
  <c r="AL74" i="2" a="1"/>
  <c r="AL74" i="2" s="1"/>
  <c r="AL75" i="2" a="1"/>
  <c r="AL75" i="2"/>
  <c r="AL76" i="2" a="1"/>
  <c r="AL76" i="2" s="1"/>
  <c r="AL77" i="2" a="1"/>
  <c r="AL77" i="2"/>
  <c r="AL78" i="2" a="1"/>
  <c r="AL78" i="2" s="1"/>
  <c r="AL79" i="2" a="1"/>
  <c r="AL79" i="2" s="1"/>
  <c r="AL80" i="2" a="1"/>
  <c r="AL80" i="2"/>
  <c r="AL81" i="2" a="1"/>
  <c r="AL81" i="2" s="1"/>
  <c r="AL82" i="2" a="1"/>
  <c r="AL82" i="2"/>
  <c r="AL83" i="2" a="1"/>
  <c r="AL83" i="2" s="1"/>
  <c r="AL84" i="2" a="1"/>
  <c r="AL84" i="2" s="1"/>
  <c r="AL85" i="2" a="1"/>
  <c r="AL85" i="2"/>
  <c r="AL86" i="2" a="1"/>
  <c r="AL86" i="2"/>
  <c r="AL87" i="2" a="1"/>
  <c r="AL87" i="2" s="1"/>
  <c r="AL88" i="2" a="1"/>
  <c r="AL88" i="2"/>
  <c r="AL89" i="2" a="1"/>
  <c r="AL89" i="2" s="1"/>
  <c r="AL90" i="2" a="1"/>
  <c r="AL90" i="2" s="1"/>
  <c r="AL91" i="2" a="1"/>
  <c r="AL91" i="2" s="1"/>
  <c r="AL92" i="2" a="1"/>
  <c r="AL92" i="2" s="1"/>
  <c r="AL93" i="2" a="1"/>
  <c r="AL93" i="2"/>
  <c r="AL94" i="2" a="1"/>
  <c r="AL94" i="2" s="1"/>
  <c r="AL95" i="2" a="1"/>
  <c r="AL95" i="2"/>
  <c r="AL96" i="2" a="1"/>
  <c r="AL96" i="2" s="1"/>
  <c r="AL97" i="2" a="1"/>
  <c r="AL97" i="2" s="1"/>
  <c r="AL98" i="2" a="1"/>
  <c r="AL98" i="2" s="1"/>
  <c r="AL99" i="2" a="1"/>
  <c r="AL99" i="2" s="1"/>
  <c r="AL100" i="2" a="1"/>
  <c r="AL100" i="2"/>
  <c r="AL101" i="2" a="1"/>
  <c r="AL101" i="2" s="1"/>
  <c r="AL102" i="2" a="1"/>
  <c r="AL102" i="2" s="1"/>
  <c r="AL103" i="2" a="1"/>
  <c r="AL103" i="2"/>
  <c r="AL104" i="2" a="1"/>
  <c r="AL104" i="2" s="1"/>
  <c r="AL105" i="2" a="1"/>
  <c r="AL105" i="2"/>
  <c r="AL106" i="2" a="1"/>
  <c r="AL106" i="2" s="1"/>
  <c r="AL107" i="2" a="1"/>
  <c r="AL107" i="2"/>
  <c r="AL108" i="2" a="1"/>
  <c r="AL108" i="2" s="1"/>
  <c r="AL109" i="2" a="1"/>
  <c r="AL109" i="2"/>
  <c r="AL110" i="2" a="1"/>
  <c r="AL110" i="2" s="1"/>
  <c r="AL111" i="2" a="1"/>
  <c r="AL111" i="2"/>
  <c r="AL112" i="2" a="1"/>
  <c r="AL112" i="2"/>
  <c r="AL113" i="2" a="1"/>
  <c r="AL113" i="2" s="1"/>
  <c r="AL114" i="2" a="1"/>
  <c r="AL114" i="2" s="1"/>
  <c r="AL115" i="2" a="1"/>
  <c r="AL115" i="2" s="1"/>
  <c r="AL116" i="2" a="1"/>
  <c r="AL116" i="2"/>
  <c r="AL117" i="2" a="1"/>
  <c r="AL117" i="2"/>
  <c r="AL118" i="2" a="1"/>
  <c r="AL118" i="2"/>
  <c r="AL119" i="2" a="1"/>
  <c r="AL119" i="2" s="1"/>
  <c r="AL120" i="2" a="1"/>
  <c r="AL120" i="2" s="1"/>
  <c r="AL121" i="2" a="1"/>
  <c r="AL121" i="2" s="1"/>
  <c r="AL122" i="2" a="1"/>
  <c r="AL122" i="2" s="1"/>
  <c r="AL123" i="2" a="1"/>
  <c r="AL123" i="2" s="1"/>
  <c r="AL124" i="2" a="1"/>
  <c r="AL124" i="2"/>
  <c r="AL125" i="2" a="1"/>
  <c r="AL125" i="2" s="1"/>
  <c r="AL126" i="2" a="1"/>
  <c r="AL126" i="2" s="1"/>
  <c r="AL127" i="2" a="1"/>
  <c r="AL127" i="2" s="1"/>
  <c r="AL128" i="2" a="1"/>
  <c r="AL128" i="2"/>
  <c r="AL129" i="2" a="1"/>
  <c r="AL129" i="2" s="1"/>
  <c r="AL130" i="2" a="1"/>
  <c r="AL130" i="2"/>
  <c r="AL131" i="2" a="1"/>
  <c r="AL131" i="2" s="1"/>
  <c r="AL132" i="2" a="1"/>
  <c r="AL132" i="2" s="1"/>
  <c r="AL133" i="2" a="1"/>
  <c r="AL133" i="2" s="1"/>
  <c r="AL134" i="2" a="1"/>
  <c r="AL134" i="2"/>
  <c r="AL135" i="2" a="1"/>
  <c r="AL135" i="2" s="1"/>
  <c r="AL136" i="2" a="1"/>
  <c r="AL136" i="2" s="1"/>
  <c r="AL137" i="2" a="1"/>
  <c r="AL137" i="2" s="1"/>
  <c r="AL138" i="2" a="1"/>
  <c r="AL138" i="2" s="1"/>
  <c r="AL139" i="2" a="1"/>
  <c r="AL139" i="2" s="1"/>
  <c r="AL140" i="2" a="1"/>
  <c r="AL140" i="2" s="1"/>
  <c r="AL141" i="2" a="1"/>
  <c r="AL141" i="2"/>
  <c r="AL142" i="2" a="1"/>
  <c r="AL142" i="2" s="1"/>
  <c r="AL143" i="2" a="1"/>
  <c r="AL143" i="2" s="1"/>
  <c r="AL144" i="2" a="1"/>
  <c r="AL144" i="2" s="1"/>
  <c r="AL145" i="2" a="1"/>
  <c r="AL145" i="2" s="1"/>
  <c r="AL146" i="2" a="1"/>
  <c r="AL146" i="2"/>
  <c r="AL147" i="2" a="1"/>
  <c r="AL147" i="2" s="1"/>
  <c r="AL148" i="2" a="1"/>
  <c r="AL148" i="2"/>
  <c r="AL149" i="2" a="1"/>
  <c r="AL149" i="2" s="1"/>
  <c r="AL150" i="2" a="1"/>
  <c r="AL150" i="2" s="1"/>
  <c r="AL151" i="2" a="1"/>
  <c r="AL151" i="2" s="1"/>
  <c r="AL152" i="2" a="1"/>
  <c r="AL152" i="2" s="1"/>
  <c r="AL153" i="2" a="1"/>
  <c r="AL153" i="2"/>
  <c r="AL154" i="2" a="1"/>
  <c r="AL154" i="2" s="1"/>
  <c r="AL155" i="2" a="1"/>
  <c r="AL155" i="2" s="1"/>
  <c r="AL156" i="2" a="1"/>
  <c r="AL156" i="2" s="1"/>
  <c r="AL157" i="2" a="1"/>
  <c r="AL157" i="2"/>
  <c r="AL158" i="2" a="1"/>
  <c r="AL158" i="2" s="1"/>
  <c r="AL159" i="2" a="1"/>
  <c r="AL159" i="2"/>
  <c r="AL160" i="2" a="1"/>
  <c r="AL160" i="2"/>
  <c r="AL161" i="2" a="1"/>
  <c r="AL161" i="2"/>
  <c r="AL162" i="2" a="1"/>
  <c r="AL162" i="2" s="1"/>
  <c r="AL163" i="2" a="1"/>
  <c r="AL163" i="2" s="1"/>
  <c r="AL164" i="2" a="1"/>
  <c r="AL164" i="2"/>
  <c r="AL165" i="2" a="1"/>
  <c r="AL165" i="2" s="1"/>
  <c r="AL166" i="2" a="1"/>
  <c r="AL166" i="2"/>
  <c r="AL167" i="2" a="1"/>
  <c r="AL167" i="2"/>
  <c r="AL168" i="2" a="1"/>
  <c r="AL168" i="2" s="1"/>
  <c r="AL169" i="2" a="1"/>
  <c r="AL169" i="2"/>
  <c r="AL170" i="2" a="1"/>
  <c r="AL170" i="2" s="1"/>
  <c r="AL171" i="2" a="1"/>
  <c r="AL171" i="2"/>
  <c r="AL172" i="2" a="1"/>
  <c r="AL172" i="2" s="1"/>
  <c r="AL173" i="2" a="1"/>
  <c r="AL173" i="2" s="1"/>
  <c r="AL174" i="2" a="1"/>
  <c r="AL174" i="2" s="1"/>
  <c r="AL175" i="2" a="1"/>
  <c r="AL175" i="2" s="1"/>
  <c r="AL176" i="2" a="1"/>
  <c r="AL176" i="2"/>
  <c r="AL177" i="2" a="1"/>
  <c r="AL177" i="2" s="1"/>
  <c r="AL178" i="2" a="1"/>
  <c r="AL178" i="2" s="1"/>
  <c r="AL179" i="2" a="1"/>
  <c r="AL179" i="2" s="1"/>
  <c r="AL180" i="2" a="1"/>
  <c r="AL180" i="2" s="1"/>
  <c r="AL181" i="2" a="1"/>
  <c r="AL181" i="2"/>
  <c r="AL182" i="2" a="1"/>
  <c r="AL182" i="2"/>
  <c r="AL183" i="2" a="1"/>
  <c r="AL183" i="2"/>
  <c r="AL184" i="2" a="1"/>
  <c r="AL184" i="2"/>
  <c r="AL185" i="2" a="1"/>
  <c r="AL185" i="2" s="1"/>
  <c r="AL186" i="2" a="1"/>
  <c r="AL186" i="2" s="1"/>
  <c r="AL187" i="2" a="1"/>
  <c r="AL187" i="2"/>
  <c r="AL188" i="2" a="1"/>
  <c r="AL188" i="2"/>
  <c r="AL189" i="2" a="1"/>
  <c r="AL189" i="2"/>
  <c r="AL190" i="2" a="1"/>
  <c r="AL190" i="2"/>
  <c r="AL191" i="2" a="1"/>
  <c r="AL191" i="2" s="1"/>
  <c r="AL192" i="2" a="1"/>
  <c r="AL192" i="2" s="1"/>
  <c r="AL193" i="2" a="1"/>
  <c r="AL193" i="2" s="1"/>
  <c r="AL194" i="2" a="1"/>
  <c r="AL194" i="2" s="1"/>
  <c r="AL195" i="2" a="1"/>
  <c r="AL195" i="2"/>
  <c r="AL196" i="2" a="1"/>
  <c r="AL196" i="2" s="1"/>
  <c r="AL197" i="2" a="1"/>
  <c r="AL197" i="2" s="1"/>
  <c r="AL198" i="2" a="1"/>
  <c r="AL198" i="2" s="1"/>
  <c r="AL199" i="2" a="1"/>
  <c r="AL199" i="2"/>
  <c r="AL200" i="2" a="1"/>
  <c r="AL200" i="2" s="1"/>
  <c r="AL201" i="2" a="1"/>
  <c r="AL201" i="2"/>
  <c r="AL202" i="2" a="1"/>
  <c r="AL202" i="2"/>
  <c r="AL203" i="2" a="1"/>
  <c r="AL203" i="2" s="1"/>
  <c r="AL204" i="2" a="1"/>
  <c r="AL204" i="2" s="1"/>
  <c r="AL205" i="2" a="1"/>
  <c r="AL205" i="2" s="1"/>
  <c r="AL206" i="2" a="1"/>
  <c r="AL206" i="2" s="1"/>
  <c r="AL207" i="2" a="1"/>
  <c r="AL207" i="2"/>
  <c r="AL208" i="2" a="1"/>
  <c r="AL208" i="2" s="1"/>
  <c r="AL209" i="2" a="1"/>
  <c r="AL209" i="2"/>
  <c r="AL210" i="2" a="1"/>
  <c r="AL210" i="2" s="1"/>
  <c r="AL211" i="2" a="1"/>
  <c r="AL211" i="2" s="1"/>
  <c r="AL212" i="2" a="1"/>
  <c r="AL212" i="2"/>
  <c r="AL213" i="2" a="1"/>
  <c r="AL213" i="2" s="1"/>
  <c r="AL214" i="2" a="1"/>
  <c r="AL214" i="2" s="1"/>
  <c r="AL215" i="2" a="1"/>
  <c r="AL215" i="2" s="1"/>
  <c r="AL216" i="2" a="1"/>
  <c r="AL216" i="2" s="1"/>
  <c r="AL217" i="2" a="1"/>
  <c r="AL217" i="2"/>
  <c r="AL218" i="2" a="1"/>
  <c r="AL218" i="2" s="1"/>
  <c r="AL219" i="2" a="1"/>
  <c r="AL219" i="2"/>
  <c r="AL220" i="2" a="1"/>
  <c r="AL220" i="2" s="1"/>
  <c r="AL221" i="2" a="1"/>
  <c r="AL221" i="2" s="1"/>
  <c r="AL222" i="2" a="1"/>
  <c r="AL222" i="2" s="1"/>
  <c r="AL223" i="2" a="1"/>
  <c r="AL223" i="2" s="1"/>
  <c r="AL224" i="2" a="1"/>
  <c r="AL224" i="2"/>
  <c r="AL225" i="2" a="1"/>
  <c r="AL225" i="2" s="1"/>
  <c r="AL226" i="2" a="1"/>
  <c r="AL226" i="2"/>
  <c r="AL227" i="2" a="1"/>
  <c r="AL227" i="2" s="1"/>
  <c r="AL228" i="2" a="1"/>
  <c r="AL228" i="2" s="1"/>
  <c r="AL229" i="2" a="1"/>
  <c r="AL229" i="2"/>
  <c r="AL230" i="2" a="1"/>
  <c r="AL230" i="2"/>
  <c r="AL231" i="2" a="1"/>
  <c r="AL231" i="2"/>
  <c r="AL232" i="2" a="1"/>
  <c r="AL232" i="2"/>
  <c r="AL233" i="2" a="1"/>
  <c r="AL233" i="2"/>
  <c r="AL234" i="2" a="1"/>
  <c r="AL234" i="2" s="1"/>
  <c r="AL235" i="2" a="1"/>
  <c r="AL235" i="2" s="1"/>
  <c r="AL236" i="2" a="1"/>
  <c r="AL236" i="2"/>
  <c r="AL237" i="2" a="1"/>
  <c r="AL237" i="2"/>
  <c r="AL238" i="2" a="1"/>
  <c r="AL238" i="2"/>
  <c r="AL239" i="2" a="1"/>
  <c r="AL239" i="2"/>
  <c r="AL240" i="2" a="1"/>
  <c r="AL240" i="2" s="1"/>
  <c r="AL241" i="2" a="1"/>
  <c r="AL241" i="2" s="1"/>
  <c r="AL242" i="2" a="1"/>
  <c r="AL242" i="2" s="1"/>
  <c r="AL243" i="2" a="1"/>
  <c r="AL243" i="2" s="1"/>
  <c r="AL244" i="2" a="1"/>
  <c r="AL244" i="2"/>
  <c r="AL245" i="2" a="1"/>
  <c r="AL245" i="2" s="1"/>
  <c r="AL246" i="2" a="1"/>
  <c r="AL246" i="2" s="1"/>
  <c r="AL247" i="2" a="1"/>
  <c r="AL247" i="2"/>
  <c r="AL248" i="2" a="1"/>
  <c r="AL248" i="2" s="1"/>
  <c r="AL249" i="2" a="1"/>
  <c r="AL249" i="2" s="1"/>
  <c r="AL250" i="2" a="1"/>
  <c r="AL250" i="2" s="1"/>
  <c r="AL251" i="2" a="1"/>
  <c r="AL251" i="2"/>
  <c r="AL252" i="2" a="1"/>
  <c r="AL252" i="2" s="1"/>
  <c r="AL253" i="2" a="1"/>
  <c r="AL253" i="2"/>
  <c r="AL254" i="2" a="1"/>
  <c r="AL254" i="2"/>
  <c r="AL255" i="2" a="1"/>
  <c r="AL255" i="2"/>
  <c r="AL256" i="2" a="1"/>
  <c r="AL256" i="2"/>
  <c r="AL257" i="2" a="1"/>
  <c r="AL257" i="2" s="1"/>
  <c r="AL258" i="2" a="1"/>
  <c r="AL258" i="2" s="1"/>
  <c r="AL259" i="2" a="1"/>
  <c r="AL259" i="2"/>
  <c r="AL260" i="2" a="1"/>
  <c r="AL260" i="2"/>
  <c r="AL261" i="2" a="1"/>
  <c r="AL261" i="2"/>
  <c r="AL262" i="2" a="1"/>
  <c r="AL262" i="2"/>
  <c r="AL263" i="2" a="1"/>
  <c r="AL263" i="2" s="1"/>
  <c r="AL264" i="2" a="1"/>
  <c r="AL264" i="2" s="1"/>
  <c r="AL265" i="2" a="1"/>
  <c r="AL265" i="2" s="1"/>
  <c r="AL266" i="2" a="1"/>
  <c r="AL266" i="2"/>
  <c r="AL267" i="2" a="1"/>
  <c r="AL267" i="2" s="1"/>
  <c r="AL268" i="2" a="1"/>
  <c r="AL268" i="2" s="1"/>
  <c r="AL269" i="2" a="1"/>
  <c r="AL269" i="2" s="1"/>
  <c r="AL270" i="2" a="1"/>
  <c r="AL270" i="2" s="1"/>
  <c r="AL271" i="2" a="1"/>
  <c r="AL271" i="2" s="1"/>
  <c r="AL272" i="2" a="1"/>
  <c r="AL272" i="2"/>
  <c r="AL273" i="2" a="1"/>
  <c r="AL273" i="2"/>
  <c r="AL274" i="2" a="1"/>
  <c r="AL274" i="2"/>
  <c r="AL275" i="2" a="1"/>
  <c r="AL275" i="2" s="1"/>
  <c r="AL276" i="2" a="1"/>
  <c r="AL276" i="2" s="1"/>
  <c r="AL277" i="2" a="1"/>
  <c r="AL277" i="2" s="1"/>
  <c r="AL278" i="2" a="1"/>
  <c r="AL278" i="2" s="1"/>
  <c r="AL279" i="2" a="1"/>
  <c r="AL279" i="2" s="1"/>
  <c r="AL280" i="2" a="1"/>
  <c r="AL280" i="2"/>
  <c r="AL281" i="2" a="1"/>
  <c r="AL281" i="2" s="1"/>
  <c r="AL282" i="2" a="1"/>
  <c r="AL282" i="2" s="1"/>
  <c r="AL283" i="2" a="1"/>
  <c r="AL283" i="2" s="1"/>
  <c r="AL284" i="2" a="1"/>
  <c r="AL284" i="2" s="1"/>
  <c r="AL285" i="2" a="1"/>
  <c r="AL285" i="2" s="1"/>
  <c r="AL286" i="2" a="1"/>
  <c r="AL286" i="2" s="1"/>
  <c r="AL287" i="2" a="1"/>
  <c r="AL287" i="2" s="1"/>
  <c r="AL288" i="2" a="1"/>
  <c r="AL288" i="2" s="1"/>
  <c r="AL289" i="2" a="1"/>
  <c r="AL289" i="2" s="1"/>
  <c r="AL290" i="2" a="1"/>
  <c r="AL290" i="2" s="1"/>
  <c r="AL291" i="2" a="1"/>
  <c r="AL291" i="2" s="1"/>
  <c r="AL292" i="2" a="1"/>
  <c r="AL292" i="2" s="1"/>
  <c r="AL293" i="2" a="1"/>
  <c r="AL293" i="2" s="1"/>
  <c r="AL294" i="2" a="1"/>
  <c r="AL294" i="2" s="1"/>
  <c r="AL295" i="2" a="1"/>
  <c r="AL295" i="2" s="1"/>
  <c r="AL296" i="2" a="1"/>
  <c r="AL296" i="2" s="1"/>
  <c r="AL297" i="2" a="1"/>
  <c r="AL297" i="2"/>
  <c r="AL298" i="2" a="1"/>
  <c r="AL298" i="2" s="1"/>
  <c r="AL299" i="2" a="1"/>
  <c r="AL299" i="2" s="1"/>
  <c r="AL300" i="2" a="1"/>
  <c r="AL300" i="2" s="1"/>
  <c r="AL301" i="2" a="1"/>
  <c r="AL301" i="2"/>
  <c r="AL302" i="2" a="1"/>
  <c r="AL302" i="2"/>
  <c r="AL303" i="2" a="1"/>
  <c r="AL303" i="2"/>
  <c r="AL304" i="2" a="1"/>
  <c r="AL304" i="2"/>
  <c r="AL305" i="2" a="1"/>
  <c r="AL305" i="2"/>
  <c r="AL306" i="2" a="1"/>
  <c r="AL306" i="2" s="1"/>
  <c r="AL307" i="2" a="1"/>
  <c r="AL307" i="2" s="1"/>
  <c r="AL308" i="2" a="1"/>
  <c r="AL308" i="2"/>
  <c r="AL309" i="2" a="1"/>
  <c r="AL309" i="2"/>
  <c r="AL310" i="2" a="1"/>
  <c r="AL310" i="2"/>
  <c r="AL311" i="2" a="1"/>
  <c r="AL311" i="2"/>
  <c r="AL312" i="2" a="1"/>
  <c r="AL312" i="2" s="1"/>
  <c r="AL313" i="2" a="1"/>
  <c r="AL313" i="2" s="1"/>
  <c r="AL314" i="2" a="1"/>
  <c r="AL314" i="2" s="1"/>
  <c r="AL315" i="2" a="1"/>
  <c r="AL315" i="2"/>
  <c r="AL316" i="2" a="1"/>
  <c r="AL316" i="2" s="1"/>
  <c r="AL317" i="2" a="1"/>
  <c r="AL317" i="2" s="1"/>
  <c r="AL318" i="2" a="1"/>
  <c r="AL318" i="2" s="1"/>
  <c r="AL319" i="2" a="1"/>
  <c r="AL319" i="2" s="1"/>
  <c r="AL320" i="2" a="1"/>
  <c r="AL320" i="2" s="1"/>
  <c r="AL321" i="2" a="1"/>
  <c r="AL321" i="2" s="1"/>
  <c r="AL322" i="2" a="1"/>
  <c r="AL322" i="2"/>
  <c r="AL323" i="2" a="1"/>
  <c r="AL323" i="2" s="1"/>
  <c r="AL324" i="2" a="1"/>
  <c r="AL324" i="2" s="1"/>
  <c r="AL325" i="2" a="1"/>
  <c r="AL325" i="2" s="1"/>
  <c r="AL326" i="2" a="1"/>
  <c r="AL326" i="2"/>
  <c r="AL327" i="2" a="1"/>
  <c r="AL327" i="2"/>
  <c r="AL328" i="2" a="1"/>
  <c r="AL328" i="2"/>
  <c r="AL329" i="2" a="1"/>
  <c r="AL329" i="2" s="1"/>
  <c r="AL330" i="2" a="1"/>
  <c r="AL330" i="2" s="1"/>
  <c r="AL331" i="2" a="1"/>
  <c r="AL331" i="2"/>
  <c r="AL332" i="2" a="1"/>
  <c r="AL332" i="2" s="1"/>
  <c r="AL333" i="2" a="1"/>
  <c r="AL333" i="2"/>
  <c r="AL334" i="2" a="1"/>
  <c r="AL334" i="2"/>
  <c r="AL335" i="2" a="1"/>
  <c r="AL335" i="2" s="1"/>
  <c r="AL336" i="2" a="1"/>
  <c r="AL336" i="2" s="1"/>
  <c r="AL337" i="2" a="1"/>
  <c r="AL337" i="2" s="1"/>
  <c r="AL338" i="2" a="1"/>
  <c r="AL338" i="2" s="1"/>
  <c r="AL339" i="2" a="1"/>
  <c r="AL339" i="2"/>
  <c r="AL340" i="2" a="1"/>
  <c r="AL340" i="2" s="1"/>
  <c r="AL341" i="2" a="1"/>
  <c r="AL341" i="2" s="1"/>
  <c r="AL342" i="2" a="1"/>
  <c r="AL342" i="2" s="1"/>
  <c r="AL343" i="2" a="1"/>
  <c r="AL343" i="2"/>
  <c r="AL344" i="2" a="1"/>
  <c r="AL344" i="2"/>
  <c r="AL345" i="2" a="1"/>
  <c r="AL345" i="2"/>
  <c r="AL346" i="2" a="1"/>
  <c r="AL346" i="2" s="1"/>
  <c r="AL347" i="2" a="1"/>
  <c r="AL347" i="2" s="1"/>
  <c r="AL348" i="2" a="1"/>
  <c r="AL348" i="2" s="1"/>
  <c r="AL349" i="2" a="1"/>
  <c r="AL349" i="2" s="1"/>
  <c r="AL350" i="2" a="1"/>
  <c r="AL350" i="2" s="1"/>
  <c r="AL351" i="2" a="1"/>
  <c r="AL351" i="2"/>
  <c r="AL352" i="2" a="1"/>
  <c r="AL352" i="2" s="1"/>
  <c r="AL353" i="2" a="1"/>
  <c r="AL353" i="2"/>
  <c r="AL354" i="2" a="1"/>
  <c r="AL354" i="2" s="1"/>
  <c r="AL355" i="2" a="1"/>
  <c r="AL355" i="2" s="1"/>
  <c r="AL356" i="2" a="1"/>
  <c r="AL356" i="2" s="1"/>
  <c r="AL357" i="2" a="1"/>
  <c r="AL357" i="2" s="1"/>
  <c r="AL358" i="2" a="1"/>
  <c r="AL358" i="2"/>
  <c r="AL359" i="2" a="1"/>
  <c r="AL359" i="2" s="1"/>
  <c r="AL360" i="2" a="1"/>
  <c r="AL360" i="2" s="1"/>
  <c r="AL361" i="2" a="1"/>
  <c r="AL361" i="2"/>
  <c r="AL362" i="2" a="1"/>
  <c r="AL362" i="2" s="1"/>
  <c r="AL363" i="2" a="1"/>
  <c r="AL363" i="2" s="1"/>
  <c r="AL364" i="2" a="1"/>
  <c r="AL364" i="2" s="1"/>
  <c r="AL365" i="2" a="1"/>
  <c r="AL365" i="2"/>
  <c r="AL366" i="2" a="1"/>
  <c r="AL366" i="2" s="1"/>
  <c r="AL367" i="2" a="1"/>
  <c r="AL367" i="2" s="1"/>
  <c r="AL368" i="2" a="1"/>
  <c r="AL368" i="2"/>
  <c r="AL369" i="2" a="1"/>
  <c r="AL369" i="2" s="1"/>
  <c r="AL370" i="2" a="1"/>
  <c r="AL370" i="2" s="1"/>
  <c r="AL371" i="2" a="1"/>
  <c r="AL371" i="2" s="1"/>
  <c r="AL372" i="2" a="1"/>
  <c r="AL372" i="2" s="1"/>
  <c r="AL373" i="2" a="1"/>
  <c r="AL373" i="2" s="1"/>
  <c r="AL374" i="2" a="1"/>
  <c r="AL374" i="2"/>
  <c r="AL375" i="2" a="1"/>
  <c r="AL375" i="2"/>
  <c r="AL376" i="2" a="1"/>
  <c r="AL376" i="2"/>
  <c r="AL377" i="2" a="1"/>
  <c r="AL377" i="2"/>
  <c r="AL378" i="2" a="1"/>
  <c r="AL378" i="2" s="1"/>
  <c r="AL379" i="2" a="1"/>
  <c r="AL379" i="2" s="1"/>
  <c r="AL380" i="2" a="1"/>
  <c r="AL380" i="2" s="1"/>
  <c r="AL381" i="2" a="1"/>
  <c r="AL381" i="2"/>
  <c r="AL382" i="2" a="1"/>
  <c r="AL382" i="2"/>
  <c r="AL383" i="2" a="1"/>
  <c r="AL383" i="2"/>
  <c r="AL384" i="2" a="1"/>
  <c r="AL384" i="2" s="1"/>
  <c r="AL385" i="2" a="1"/>
  <c r="AL385" i="2" s="1"/>
  <c r="AL386" i="2" a="1"/>
  <c r="AL386" i="2"/>
  <c r="AL387" i="2" a="1"/>
  <c r="AL387" i="2" s="1"/>
  <c r="AL388" i="2" a="1"/>
  <c r="AL388" i="2" s="1"/>
  <c r="AL389" i="2" a="1"/>
  <c r="AL389" i="2" s="1"/>
  <c r="AL390" i="2" a="1"/>
  <c r="AL390" i="2" s="1"/>
  <c r="AL391" i="2" a="1"/>
  <c r="AL391" i="2" s="1"/>
  <c r="AL392" i="2" a="1"/>
  <c r="AL392" i="2" s="1"/>
  <c r="AL393" i="2" a="1"/>
  <c r="AL393" i="2"/>
  <c r="AL394" i="2" a="1"/>
  <c r="AL394" i="2" s="1"/>
  <c r="AL395" i="2" a="1"/>
  <c r="AL395" i="2"/>
  <c r="AL396" i="2" a="1"/>
  <c r="AL396" i="2" s="1"/>
  <c r="AL397" i="2" a="1"/>
  <c r="AL397" i="2"/>
  <c r="AL398" i="2" a="1"/>
  <c r="AL398" i="2"/>
  <c r="AL399" i="2" a="1"/>
  <c r="AL399" i="2"/>
  <c r="AL400" i="2" a="1"/>
  <c r="AL400" i="2" s="1"/>
  <c r="AL401" i="2" a="1"/>
  <c r="AL401" i="2" s="1"/>
  <c r="AL402" i="2" a="1"/>
  <c r="AL402" i="2" s="1"/>
  <c r="AL403" i="2" a="1"/>
  <c r="AL403" i="2"/>
  <c r="AL404" i="2" a="1"/>
  <c r="AL404" i="2"/>
  <c r="AL405" i="2" a="1"/>
  <c r="AL405" i="2"/>
  <c r="AL406" i="2" a="1"/>
  <c r="AL406" i="2"/>
  <c r="AL407" i="2" a="1"/>
  <c r="AL407" i="2" s="1"/>
  <c r="AL408" i="2" a="1"/>
  <c r="AL408" i="2" s="1"/>
  <c r="AL409" i="2" a="1"/>
  <c r="AL409" i="2" s="1"/>
  <c r="AL410" i="2" a="1"/>
  <c r="AL410" i="2"/>
  <c r="AL411" i="2" a="1"/>
  <c r="AL411" i="2" s="1"/>
  <c r="AL412" i="2" a="1"/>
  <c r="AL412" i="2" s="1"/>
  <c r="AL413" i="2" a="1"/>
  <c r="AL413" i="2" s="1"/>
  <c r="AL414" i="2" a="1"/>
  <c r="AL414" i="2" s="1"/>
  <c r="AL415" i="2" a="1"/>
  <c r="AL415" i="2" s="1"/>
  <c r="AL416" i="2" a="1"/>
  <c r="AL416" i="2"/>
  <c r="AL417" i="2" a="1"/>
  <c r="AL417" i="2"/>
  <c r="AL418" i="2" a="1"/>
  <c r="AL418" i="2"/>
  <c r="AL419" i="2" a="1"/>
  <c r="AL419" i="2" s="1"/>
  <c r="AL420" i="2" a="1"/>
  <c r="AL420" i="2" s="1"/>
  <c r="AL421" i="2" a="1"/>
  <c r="AL421" i="2" s="1"/>
  <c r="AL422" i="2" a="1"/>
  <c r="AL422" i="2"/>
  <c r="AL423" i="2" a="1"/>
  <c r="AL423" i="2" s="1"/>
  <c r="AL424" i="2" a="1"/>
  <c r="AL424" i="2"/>
  <c r="AL425" i="2" a="1"/>
  <c r="AL425" i="2" s="1"/>
  <c r="AL426" i="2" a="1"/>
  <c r="AL426" i="2" s="1"/>
  <c r="AL427" i="2" a="1"/>
  <c r="AL427" i="2" s="1"/>
  <c r="AL428" i="2" a="1"/>
  <c r="AL428" i="2" s="1"/>
  <c r="AL429" i="2" a="1"/>
  <c r="AL429" i="2"/>
  <c r="AL430" i="2" a="1"/>
  <c r="AL430" i="2" s="1"/>
  <c r="AL431" i="2" a="1"/>
  <c r="AL431" i="2" s="1"/>
  <c r="AL432" i="2" a="1"/>
  <c r="AL432" i="2" s="1"/>
  <c r="AL433" i="2" a="1"/>
  <c r="AL433" i="2" s="1"/>
  <c r="AL434" i="2" a="1"/>
  <c r="AL434" i="2" s="1"/>
  <c r="AL435" i="2" a="1"/>
  <c r="AL435" i="2" s="1"/>
  <c r="AL436" i="2" a="1"/>
  <c r="AL436" i="2"/>
  <c r="AL437" i="2" a="1"/>
  <c r="AL437" i="2" s="1"/>
  <c r="AL438" i="2" a="1"/>
  <c r="AL438" i="2" s="1"/>
  <c r="AL439" i="2" a="1"/>
  <c r="AL439" i="2" s="1"/>
  <c r="AL440" i="2" a="1"/>
  <c r="AL440" i="2" s="1"/>
  <c r="AL441" i="2" a="1"/>
  <c r="AL441" i="2" s="1"/>
  <c r="AL442" i="2" a="1"/>
  <c r="AL442" i="2" s="1"/>
  <c r="AL443" i="2" a="1"/>
  <c r="AL443" i="2"/>
  <c r="AL444" i="2" a="1"/>
  <c r="AL444" i="2" s="1"/>
  <c r="AL445" i="2" a="1"/>
  <c r="AL445" i="2"/>
  <c r="AL446" i="2" a="1"/>
  <c r="AL446" i="2"/>
  <c r="AL447" i="2" a="1"/>
  <c r="AL447" i="2"/>
  <c r="AL448" i="2" a="1"/>
  <c r="AL448" i="2"/>
  <c r="AL449" i="2" a="1"/>
  <c r="AL449" i="2"/>
  <c r="AL450" i="2" a="1"/>
  <c r="AL450" i="2" s="1"/>
  <c r="AL451" i="2" a="1"/>
  <c r="AL451" i="2" s="1"/>
  <c r="AL452" i="2" a="1"/>
  <c r="AL452" i="2"/>
  <c r="AL453" i="2" a="1"/>
  <c r="AL453" i="2"/>
  <c r="AL454" i="2" a="1"/>
  <c r="AL454" i="2"/>
  <c r="AL455" i="2" a="1"/>
  <c r="AL455" i="2"/>
  <c r="AL456" i="2" a="1"/>
  <c r="AL456" i="2" s="1"/>
  <c r="AL457" i="2" a="1"/>
  <c r="AL457" i="2"/>
  <c r="AL458" i="2" a="1"/>
  <c r="AL458" i="2" s="1"/>
  <c r="AL459" i="2" a="1"/>
  <c r="AL459" i="2" s="1"/>
  <c r="AL460" i="2" a="1"/>
  <c r="AL460" i="2" s="1"/>
  <c r="AL461" i="2" a="1"/>
  <c r="AL461" i="2" s="1"/>
  <c r="AL462" i="2" a="1"/>
  <c r="AL462" i="2" s="1"/>
  <c r="AL463" i="2" a="1"/>
  <c r="AL463" i="2" s="1"/>
  <c r="AL464" i="2" a="1"/>
  <c r="AL464" i="2"/>
  <c r="AL465" i="2" a="1"/>
  <c r="AL465" i="2" s="1"/>
  <c r="AL466" i="2" a="1"/>
  <c r="AL466" i="2" s="1"/>
  <c r="AL467" i="2" a="1"/>
  <c r="AL467" i="2" s="1"/>
  <c r="AL468" i="2" a="1"/>
  <c r="AL468" i="2" s="1"/>
  <c r="AL469" i="2" a="1"/>
  <c r="AL469" i="2"/>
  <c r="AL470" i="2" a="1"/>
  <c r="AL470" i="2"/>
  <c r="AL471" i="2" a="1"/>
  <c r="AL471" i="2" s="1"/>
  <c r="AL472" i="2" a="1"/>
  <c r="AL472" i="2"/>
  <c r="AL473" i="2" a="1"/>
  <c r="AL473" i="2" s="1"/>
  <c r="AL474" i="2" a="1"/>
  <c r="AL474" i="2" s="1"/>
  <c r="AL475" i="2" a="1"/>
  <c r="AL475" i="2"/>
  <c r="AL476" i="2" a="1"/>
  <c r="AL476" i="2"/>
  <c r="AL477" i="2" a="1"/>
  <c r="AL477" i="2"/>
  <c r="AL478" i="2" a="1"/>
  <c r="AL478" i="2" s="1"/>
  <c r="AL479" i="2" a="1"/>
  <c r="AL479" i="2" s="1"/>
  <c r="AL480" i="2" a="1"/>
  <c r="AL480" i="2" s="1"/>
  <c r="AL481" i="2" a="1"/>
  <c r="AL481" i="2" s="1"/>
  <c r="AL482" i="2" a="1"/>
  <c r="AL482" i="2" s="1"/>
  <c r="AL483" i="2" a="1"/>
  <c r="AL483" i="2" s="1"/>
  <c r="AL484" i="2" a="1"/>
  <c r="AL484" i="2" s="1"/>
  <c r="AL485" i="2" a="1"/>
  <c r="AL485" i="2"/>
  <c r="AL486" i="2" a="1"/>
  <c r="AL486" i="2" s="1"/>
  <c r="AL487" i="2" a="1"/>
  <c r="AL487" i="2"/>
  <c r="AL488" i="2" a="1"/>
  <c r="AL488" i="2"/>
  <c r="AL489" i="2" a="1"/>
  <c r="AL489" i="2"/>
  <c r="AL490" i="2" a="1"/>
  <c r="AL490" i="2"/>
  <c r="AL491" i="2" a="1"/>
  <c r="AL491" i="2" s="1"/>
  <c r="AL492" i="2" a="1"/>
  <c r="AL492" i="2" s="1"/>
  <c r="AL493" i="2" a="1"/>
  <c r="AL493" i="2" s="1"/>
  <c r="AL494" i="2" a="1"/>
  <c r="AL494" i="2" s="1"/>
  <c r="AL495" i="2" a="1"/>
  <c r="AL495" i="2"/>
  <c r="AL496" i="2" a="1"/>
  <c r="AL496" i="2" s="1"/>
  <c r="AL497" i="2" a="1"/>
  <c r="AL497" i="2" s="1"/>
  <c r="AL498" i="2" a="1"/>
  <c r="AL498" i="2" s="1"/>
  <c r="AL499" i="2" a="1"/>
  <c r="AL499" i="2" s="1"/>
  <c r="AL500" i="2" a="1"/>
  <c r="AL500" i="2"/>
  <c r="AL501" i="2" a="1"/>
  <c r="AL501" i="2" s="1"/>
  <c r="AL502" i="2" a="1"/>
  <c r="AL502" i="2"/>
  <c r="AL503" i="2" a="1"/>
  <c r="AL503" i="2" s="1"/>
  <c r="AL504" i="2" a="1"/>
  <c r="AL504" i="2" s="1"/>
  <c r="AL505" i="2" a="1"/>
  <c r="AL505" i="2" s="1"/>
  <c r="AL506" i="2" a="1"/>
  <c r="AL506" i="2" s="1"/>
  <c r="AL507" i="2" a="1"/>
  <c r="AL507" i="2"/>
  <c r="AL508" i="2" a="1"/>
  <c r="AL508" i="2" s="1"/>
  <c r="AL509" i="2" a="1"/>
  <c r="AL509" i="2" s="1"/>
  <c r="AL510" i="2" a="1"/>
  <c r="AL510" i="2" s="1"/>
  <c r="AL511" i="2" a="1"/>
  <c r="AL511" i="2"/>
  <c r="AL512" i="2" a="1"/>
  <c r="AL512" i="2"/>
  <c r="AL513" i="2" a="1"/>
  <c r="AL513" i="2"/>
  <c r="AL514" i="2" a="1"/>
  <c r="AL514" i="2" s="1"/>
  <c r="AL515" i="2" a="1"/>
  <c r="AL515" i="2"/>
  <c r="AL516" i="2" a="1"/>
  <c r="AL516" i="2" s="1"/>
  <c r="AL517" i="2" a="1"/>
  <c r="AL517" i="2" s="1"/>
  <c r="AL518" i="2" a="1"/>
  <c r="AL518" i="2"/>
  <c r="AL519" i="2" a="1"/>
  <c r="AL519" i="2"/>
  <c r="AL520" i="2" a="1"/>
  <c r="AL520" i="2"/>
  <c r="AL521" i="2" a="1"/>
  <c r="AL521" i="2" s="1"/>
  <c r="AL522" i="2" a="1"/>
  <c r="AL522" i="2" s="1"/>
  <c r="AL523" i="2" a="1"/>
  <c r="AL523" i="2" s="1"/>
  <c r="AL524" i="2" a="1"/>
  <c r="AL524" i="2"/>
  <c r="AL525" i="2" a="1"/>
  <c r="AL525" i="2"/>
  <c r="AL526" i="2" a="1"/>
  <c r="AL526" i="2"/>
  <c r="AL527" i="2" a="1"/>
  <c r="AL527" i="2"/>
  <c r="AL528" i="2" a="1"/>
  <c r="AL528" i="2" s="1"/>
  <c r="AL529" i="2" a="1"/>
  <c r="AL529" i="2" s="1"/>
  <c r="AL530" i="2" a="1"/>
  <c r="AL530" i="2"/>
  <c r="AL531" i="2" a="1"/>
  <c r="AL531" i="2"/>
  <c r="AL532" i="2" a="1"/>
  <c r="AL532" i="2"/>
  <c r="AL533" i="2" a="1"/>
  <c r="AL533" i="2"/>
  <c r="AL534" i="2" a="1"/>
  <c r="AL534" i="2" s="1"/>
  <c r="AL535" i="2" a="1"/>
  <c r="AL535" i="2" s="1"/>
  <c r="AL536" i="2" a="1"/>
  <c r="AL536" i="2" s="1"/>
  <c r="AL537" i="2" a="1"/>
  <c r="AL537" i="2"/>
  <c r="AL538" i="2" a="1"/>
  <c r="AL538" i="2"/>
  <c r="AL539" i="2" a="1"/>
  <c r="AL539" i="2"/>
  <c r="AL540" i="2" a="1"/>
  <c r="AL540" i="2" s="1"/>
  <c r="AL541" i="2" a="1"/>
  <c r="AL541" i="2" s="1"/>
  <c r="AL542" i="2" a="1"/>
  <c r="AL542" i="2"/>
  <c r="AL543" i="2" a="1"/>
  <c r="AL543" i="2" s="1"/>
  <c r="AL544" i="2" a="1"/>
  <c r="AL544" i="2"/>
  <c r="AL545" i="2" a="1"/>
  <c r="AL545" i="2"/>
  <c r="AL546" i="2" a="1"/>
  <c r="AL546" i="2" s="1"/>
  <c r="AL547" i="2" a="1"/>
  <c r="AL547" i="2" s="1"/>
  <c r="AL548" i="2" a="1"/>
  <c r="AL548" i="2"/>
  <c r="AL549" i="2" a="1"/>
  <c r="AL549" i="2"/>
  <c r="AL550" i="2" a="1"/>
  <c r="AL550" i="2" s="1"/>
  <c r="AL551" i="2" a="1"/>
  <c r="AL551" i="2"/>
  <c r="AL552" i="2" a="1"/>
  <c r="AL552" i="2" s="1"/>
  <c r="AL553" i="2" a="1"/>
  <c r="AL553" i="2" s="1"/>
  <c r="AL554" i="2" a="1"/>
  <c r="AL554" i="2"/>
  <c r="AL555" i="2" a="1"/>
  <c r="AL555" i="2"/>
  <c r="AL556" i="2" a="1"/>
  <c r="AL556" i="2"/>
  <c r="AL557" i="2" a="1"/>
  <c r="AL557" i="2" s="1"/>
  <c r="AL558" i="2" a="1"/>
  <c r="AL558" i="2" s="1"/>
  <c r="AL559" i="2" a="1"/>
  <c r="AL559" i="2" s="1"/>
  <c r="AL560" i="2" a="1"/>
  <c r="AL560" i="2"/>
  <c r="AL561" i="2" a="1"/>
  <c r="AL561" i="2"/>
  <c r="AL562" i="2" a="1"/>
  <c r="AL562" i="2" s="1"/>
  <c r="AL563" i="2" a="1"/>
  <c r="AL563" i="2"/>
  <c r="AL564" i="2" a="1"/>
  <c r="AL564" i="2" s="1"/>
  <c r="AL565" i="2" a="1"/>
  <c r="AL565" i="2" s="1"/>
  <c r="AL566" i="2" a="1"/>
  <c r="AL566" i="2"/>
  <c r="AL567" i="2" a="1"/>
  <c r="AL567" i="2" s="1"/>
  <c r="AL568" i="2" a="1"/>
  <c r="AL568" i="2"/>
  <c r="AL569" i="2" a="1"/>
  <c r="AL569" i="2" s="1"/>
  <c r="AL570" i="2" a="1"/>
  <c r="AL570" i="2" s="1"/>
  <c r="AL571" i="2" a="1"/>
  <c r="AL571" i="2" s="1"/>
  <c r="AL572" i="2" a="1"/>
  <c r="AL572" i="2" s="1"/>
  <c r="AL573" i="2" a="1"/>
  <c r="AL573" i="2"/>
  <c r="AL574" i="2" a="1"/>
  <c r="AL574" i="2"/>
  <c r="AL575" i="2" a="1"/>
  <c r="AL575" i="2"/>
  <c r="AL576" i="2" a="1"/>
  <c r="AL576" i="2" s="1"/>
  <c r="AL577" i="2" a="1"/>
  <c r="AL577" i="2" s="1"/>
  <c r="AL578" i="2" a="1"/>
  <c r="AL578" i="2"/>
  <c r="AL579" i="2" a="1"/>
  <c r="AL579" i="2" s="1"/>
  <c r="AL580" i="2" a="1"/>
  <c r="AL580" i="2"/>
  <c r="AL581" i="2" a="1"/>
  <c r="AL581" i="2"/>
  <c r="AL582" i="2" a="1"/>
  <c r="AL582" i="2" s="1"/>
  <c r="AL583" i="2" a="1"/>
  <c r="AL583" i="2" s="1"/>
  <c r="AL584" i="2" a="1"/>
  <c r="AL584" i="2" s="1"/>
  <c r="AL585" i="2" a="1"/>
  <c r="AL585" i="2"/>
  <c r="AL586" i="2" a="1"/>
  <c r="AL586" i="2"/>
  <c r="AL587" i="2" a="1"/>
  <c r="AL587" i="2"/>
  <c r="AL588" i="2" a="1"/>
  <c r="AL588" i="2" s="1"/>
  <c r="AL589" i="2" a="1"/>
  <c r="AL589" i="2" s="1"/>
  <c r="AL590" i="2" a="1"/>
  <c r="AL590" i="2"/>
  <c r="AL591" i="2" a="1"/>
  <c r="AL591" i="2" s="1"/>
  <c r="AL592" i="2" a="1"/>
  <c r="AL592" i="2"/>
  <c r="AL593" i="2" a="1"/>
  <c r="AL593" i="2"/>
  <c r="AL594" i="2" a="1"/>
  <c r="AL594" i="2" s="1"/>
  <c r="AL595" i="2" a="1"/>
  <c r="AL595" i="2" s="1"/>
  <c r="AL596" i="2" a="1"/>
  <c r="AL596" i="2" s="1"/>
  <c r="AL597" i="2" a="1"/>
  <c r="AL597" i="2"/>
  <c r="AL598" i="2" a="1"/>
  <c r="AL598" i="2" s="1"/>
  <c r="AL599" i="2" a="1"/>
  <c r="AL599" i="2"/>
  <c r="AL600" i="2" a="1"/>
  <c r="AL600" i="2" s="1"/>
  <c r="AL601" i="2" a="1"/>
  <c r="AL601" i="2" s="1"/>
  <c r="AL602" i="2" a="1"/>
  <c r="AL602" i="2"/>
  <c r="AL603" i="2" a="1"/>
  <c r="AL603" i="2" s="1"/>
  <c r="AL604" i="2" a="1"/>
  <c r="AL604" i="2"/>
  <c r="AL605" i="2" a="1"/>
  <c r="AL605" i="2" s="1"/>
  <c r="AL606" i="2" a="1"/>
  <c r="AL606" i="2" s="1"/>
  <c r="AL607" i="2" a="1"/>
  <c r="AL607" i="2" s="1"/>
  <c r="AL608" i="2" a="1"/>
  <c r="AL608" i="2"/>
  <c r="AL609" i="2" a="1"/>
  <c r="AL609" i="2"/>
  <c r="AL610" i="2" a="1"/>
  <c r="AL610" i="2"/>
  <c r="AL611" i="2" a="1"/>
  <c r="AL611" i="2"/>
  <c r="AL612" i="2" a="1"/>
  <c r="AL612" i="2" s="1"/>
  <c r="AL613" i="2" a="1"/>
  <c r="AL613" i="2" s="1"/>
  <c r="AL614" i="2" a="1"/>
  <c r="AL614" i="2"/>
  <c r="AL615" i="2" a="1"/>
  <c r="AL615" i="2"/>
  <c r="AL616" i="2" a="1"/>
  <c r="AL616" i="2"/>
  <c r="AL617" i="2" a="1"/>
  <c r="AL617" i="2"/>
  <c r="AL618" i="2" a="1"/>
  <c r="AL618" i="2" s="1"/>
  <c r="AL619" i="2" a="1"/>
  <c r="AL619" i="2" s="1"/>
  <c r="AL620" i="2" a="1"/>
  <c r="AL620" i="2" s="1"/>
  <c r="AL621" i="2" a="1"/>
  <c r="AL621" i="2"/>
  <c r="AL622" i="2" a="1"/>
  <c r="AL622" i="2" s="1"/>
  <c r="AL623" i="2" a="1"/>
  <c r="AL623" i="2"/>
  <c r="AL624" i="2" a="1"/>
  <c r="AL624" i="2" s="1"/>
  <c r="AL625" i="2" a="1"/>
  <c r="AL625" i="2" s="1"/>
  <c r="AL626" i="2" a="1"/>
  <c r="AL626" i="2"/>
  <c r="AL627" i="2" a="1"/>
  <c r="AL627" i="2" s="1"/>
  <c r="AL628" i="2" a="1"/>
  <c r="AL628" i="2"/>
  <c r="AL629" i="2" a="1"/>
  <c r="AL629" i="2"/>
  <c r="AL630" i="2" a="1"/>
  <c r="AL630" i="2" s="1"/>
  <c r="AL631" i="2" a="1"/>
  <c r="AL631" i="2" s="1"/>
  <c r="AL632" i="2" a="1"/>
  <c r="AL632" i="2" s="1"/>
  <c r="AL633" i="2" a="1"/>
  <c r="AL633" i="2"/>
  <c r="AL634" i="2" a="1"/>
  <c r="AL634" i="2" s="1"/>
  <c r="AL635" i="2" a="1"/>
  <c r="AL635" i="2"/>
  <c r="AL636" i="2" a="1"/>
  <c r="AL636" i="2" s="1"/>
  <c r="AL637" i="2" a="1"/>
  <c r="AL637" i="2" s="1"/>
  <c r="AL638" i="2" a="1"/>
  <c r="AL638" i="2"/>
  <c r="AL639" i="2" a="1"/>
  <c r="AL639" i="2"/>
  <c r="AL640" i="2" a="1"/>
  <c r="AL640" i="2"/>
  <c r="AL641" i="2" a="1"/>
  <c r="AL641" i="2" s="1"/>
  <c r="AL642" i="2" a="1"/>
  <c r="AL642" i="2" s="1"/>
  <c r="AL643" i="2" a="1"/>
  <c r="AL643" i="2" s="1"/>
  <c r="AL644" i="2" a="1"/>
  <c r="AL644" i="2" s="1"/>
  <c r="AL645" i="2" a="1"/>
  <c r="AL645" i="2"/>
  <c r="AL646" i="2" a="1"/>
  <c r="AL646" i="2"/>
  <c r="AL647" i="2" a="1"/>
  <c r="AL647" i="2"/>
  <c r="AL648" i="2" a="1"/>
  <c r="AL648" i="2" s="1"/>
  <c r="AL649" i="2" a="1"/>
  <c r="AL649" i="2" s="1"/>
  <c r="AL650" i="2" a="1"/>
  <c r="AL650" i="2" s="1"/>
  <c r="AL651" i="2" a="1"/>
  <c r="AL651" i="2"/>
  <c r="AL652" i="2" a="1"/>
  <c r="AL652" i="2"/>
  <c r="AL653" i="2" a="1"/>
  <c r="AL653" i="2" s="1"/>
  <c r="AL654" i="2" a="1"/>
  <c r="AL654" i="2" s="1"/>
  <c r="AL655" i="2" a="1"/>
  <c r="AL655" i="2" s="1"/>
  <c r="AL656" i="2" a="1"/>
  <c r="AL656" i="2" s="1"/>
  <c r="AL657" i="2" a="1"/>
  <c r="AL657" i="2" s="1"/>
  <c r="AL658" i="2" a="1"/>
  <c r="AL658" i="2" s="1"/>
  <c r="AL659" i="2" a="1"/>
  <c r="AL659" i="2"/>
  <c r="AL660" i="2" a="1"/>
  <c r="AL660" i="2" s="1"/>
  <c r="AL661" i="2" a="1"/>
  <c r="AL661" i="2" s="1"/>
  <c r="AL662" i="2" a="1"/>
  <c r="AL662" i="2"/>
  <c r="AL663" i="2" a="1"/>
  <c r="AL663" i="2" s="1"/>
  <c r="AL664" i="2" a="1"/>
  <c r="AL664" i="2" s="1"/>
  <c r="AL665" i="2" a="1"/>
  <c r="AL665" i="2"/>
  <c r="AL666" i="2" a="1"/>
  <c r="AL666" i="2" s="1"/>
  <c r="AL667" i="2" a="1"/>
  <c r="AL667" i="2" s="1"/>
  <c r="AL668" i="2" a="1"/>
  <c r="AL668" i="2" s="1"/>
  <c r="AL669" i="2" a="1"/>
  <c r="AL669" i="2"/>
  <c r="AL670" i="2" a="1"/>
  <c r="AL670" i="2" s="1"/>
  <c r="AL671" i="2" a="1"/>
  <c r="AL671" i="2" s="1"/>
  <c r="AL672" i="2" a="1"/>
  <c r="AL672" i="2"/>
  <c r="AL673" i="2" a="1"/>
  <c r="AL673" i="2" s="1"/>
  <c r="AL674" i="2" a="1"/>
  <c r="AL674" i="2"/>
  <c r="AL675" i="2" a="1"/>
  <c r="AL675" i="2" s="1"/>
  <c r="AL676" i="2" a="1"/>
  <c r="AL676" i="2"/>
  <c r="AL677" i="2" a="1"/>
  <c r="AL677" i="2" s="1"/>
  <c r="AL678" i="2" a="1"/>
  <c r="AL678" i="2" s="1"/>
  <c r="AL679" i="2" a="1"/>
  <c r="AL679" i="2" s="1"/>
  <c r="AL680" i="2" a="1"/>
  <c r="AL680" i="2"/>
  <c r="AL681" i="2" a="1"/>
  <c r="AL681" i="2" s="1"/>
  <c r="AL682" i="2" a="1"/>
  <c r="AL682" i="2" s="1"/>
  <c r="AL683" i="2" a="1"/>
  <c r="AL683" i="2"/>
  <c r="AL684" i="2" a="1"/>
  <c r="AL684" i="2" s="1"/>
  <c r="AL685" i="2" a="1"/>
  <c r="AL685" i="2"/>
  <c r="AL686" i="2" a="1"/>
  <c r="AL686" i="2" s="1"/>
  <c r="AL687" i="2" a="1"/>
  <c r="AL687" i="2" s="1"/>
  <c r="AL688" i="2" a="1"/>
  <c r="AL688" i="2"/>
  <c r="AL689" i="2" a="1"/>
  <c r="AL689" i="2" s="1"/>
  <c r="AL690" i="2" a="1"/>
  <c r="AL690" i="2"/>
  <c r="AL691" i="2" a="1"/>
  <c r="AL691" i="2" s="1"/>
  <c r="AL692" i="2" a="1"/>
  <c r="AL692" i="2" s="1"/>
  <c r="AL693" i="2" a="1"/>
  <c r="AL693" i="2" s="1"/>
  <c r="AL694" i="2" a="1"/>
  <c r="AL694" i="2" s="1"/>
  <c r="AL695" i="2" a="1"/>
  <c r="AL695" i="2"/>
  <c r="AL696" i="2" a="1"/>
  <c r="AL696" i="2" s="1"/>
  <c r="AL697" i="2" a="1"/>
  <c r="AL697" i="2" s="1"/>
  <c r="AL698" i="2" a="1"/>
  <c r="AL698" i="2" s="1"/>
  <c r="AL699" i="2" a="1"/>
  <c r="AL699" i="2" s="1"/>
  <c r="AL700" i="2" a="1"/>
  <c r="AL700" i="2" s="1"/>
  <c r="AL701" i="2" a="1"/>
  <c r="AL701" i="2" s="1"/>
  <c r="AL702" i="2" a="1"/>
  <c r="AL702" i="2" s="1"/>
  <c r="AL703" i="2" a="1"/>
  <c r="AL703" i="2" s="1"/>
  <c r="AL704" i="2" a="1"/>
  <c r="AL704" i="2" s="1"/>
  <c r="AL705" i="2" a="1"/>
  <c r="AL705" i="2" s="1"/>
  <c r="AL706" i="2" a="1"/>
  <c r="AL706" i="2"/>
  <c r="AL707" i="2" a="1"/>
  <c r="AL707" i="2"/>
  <c r="AL708" i="2" a="1"/>
  <c r="AL708" i="2" s="1"/>
  <c r="AL709" i="2" a="1"/>
  <c r="AL709" i="2" s="1"/>
  <c r="AL710" i="2" a="1"/>
  <c r="AL710" i="2" s="1"/>
  <c r="AL711" i="2" a="1"/>
  <c r="AL711" i="2" s="1"/>
  <c r="AL712" i="2" a="1"/>
  <c r="AL712" i="2"/>
  <c r="AL713" i="2" a="1"/>
  <c r="AL713" i="2" s="1"/>
  <c r="AL714" i="2" a="1"/>
  <c r="AL714" i="2" s="1"/>
  <c r="AL715" i="2" a="1"/>
  <c r="AL715" i="2"/>
  <c r="AL716" i="2" a="1"/>
  <c r="AL716" i="2" s="1"/>
  <c r="AL717" i="2" a="1"/>
  <c r="AL717" i="2" s="1"/>
  <c r="AL718" i="2" a="1"/>
  <c r="AL718" i="2" s="1"/>
  <c r="AL719" i="2" a="1"/>
  <c r="AL719" i="2"/>
  <c r="AL720" i="2" a="1"/>
  <c r="AL720" i="2" s="1"/>
  <c r="AL721" i="2" a="1"/>
  <c r="AL721" i="2" s="1"/>
  <c r="AL722" i="2" a="1"/>
  <c r="AL722" i="2" s="1"/>
  <c r="AL723" i="2" a="1"/>
  <c r="AL723" i="2" s="1"/>
  <c r="AL724" i="2" a="1"/>
  <c r="AL724" i="2"/>
  <c r="AL725" i="2" a="1"/>
  <c r="AL725" i="2" s="1"/>
  <c r="AL726" i="2" a="1"/>
  <c r="AL726" i="2" s="1"/>
  <c r="AL727" i="2" a="1"/>
  <c r="AL727" i="2" s="1"/>
  <c r="AL728" i="2" a="1"/>
  <c r="AL728" i="2" s="1"/>
  <c r="AL729" i="2" a="1"/>
  <c r="AL729" i="2" s="1"/>
  <c r="AL730" i="2" a="1"/>
  <c r="AL730" i="2" s="1"/>
  <c r="AL731" i="2" a="1"/>
  <c r="AL731" i="2"/>
  <c r="AL732" i="2" a="1"/>
  <c r="AL732" i="2" s="1"/>
  <c r="AL733" i="2" a="1"/>
  <c r="AL733" i="2"/>
  <c r="AL734" i="2" a="1"/>
  <c r="AL734" i="2" s="1"/>
  <c r="AL735" i="2" a="1"/>
  <c r="AL735" i="2" s="1"/>
  <c r="AL736" i="2" a="1"/>
  <c r="AL736" i="2" s="1"/>
  <c r="AL737" i="2" a="1"/>
  <c r="AL737" i="2" s="1"/>
  <c r="AL738" i="2" a="1"/>
  <c r="AL738" i="2" s="1"/>
  <c r="AL739" i="2" a="1"/>
  <c r="AL739" i="2" s="1"/>
  <c r="AL740" i="2" a="1"/>
  <c r="AL740" i="2" s="1"/>
  <c r="AL741" i="2" a="1"/>
  <c r="AL741" i="2" s="1"/>
  <c r="AL742" i="2" a="1"/>
  <c r="AL742" i="2"/>
  <c r="AL743" i="2" a="1"/>
  <c r="AL743" i="2" s="1"/>
  <c r="AL744" i="2" a="1"/>
  <c r="AL744" i="2" s="1"/>
  <c r="AL745" i="2" a="1"/>
  <c r="AL745" i="2"/>
  <c r="AL746" i="2" a="1"/>
  <c r="AL746" i="2" s="1"/>
  <c r="AL747" i="2" a="1"/>
  <c r="AL747" i="2" s="1"/>
  <c r="AL748" i="2" a="1"/>
  <c r="AL748" i="2"/>
  <c r="AL749" i="2" a="1"/>
  <c r="AL749" i="2" s="1"/>
  <c r="AL750" i="2" a="1"/>
  <c r="AL750" i="2" s="1"/>
  <c r="AL751" i="2" a="1"/>
  <c r="AL751" i="2"/>
  <c r="AL752" i="2" a="1"/>
  <c r="AL752" i="2" s="1"/>
  <c r="AL753" i="2" a="1"/>
  <c r="AL753" i="2" s="1"/>
  <c r="AL754" i="2" a="1"/>
  <c r="AL754" i="2"/>
  <c r="AL755" i="2" a="1"/>
  <c r="AL755" i="2" s="1"/>
  <c r="AL756" i="2" a="1"/>
  <c r="AL756" i="2" s="1"/>
  <c r="AL757" i="2" a="1"/>
  <c r="AL757" i="2" s="1"/>
  <c r="AL758" i="2" a="1"/>
  <c r="AL758" i="2" s="1"/>
  <c r="AL759" i="2" a="1"/>
  <c r="AL759" i="2" s="1"/>
  <c r="AL760" i="2" a="1"/>
  <c r="AL760" i="2"/>
  <c r="AL761" i="2" a="1"/>
  <c r="AL761" i="2" s="1"/>
  <c r="AL762" i="2" a="1"/>
  <c r="AL762" i="2" s="1"/>
  <c r="AL763" i="2" a="1"/>
  <c r="AL763" i="2"/>
  <c r="AL764" i="2" a="1"/>
  <c r="AL764" i="2" s="1"/>
  <c r="AL765" i="2" a="1"/>
  <c r="AL765" i="2" s="1"/>
  <c r="AL766" i="2" a="1"/>
  <c r="AL766" i="2"/>
  <c r="AL767" i="2" a="1"/>
  <c r="AL767" i="2" s="1"/>
  <c r="AL768" i="2" a="1"/>
  <c r="AL768" i="2" s="1"/>
  <c r="AL769" i="2" a="1"/>
  <c r="AL769" i="2"/>
  <c r="AL770" i="2" a="1"/>
  <c r="AL770" i="2" s="1"/>
  <c r="AL771" i="2" a="1"/>
  <c r="AL771" i="2" s="1"/>
  <c r="AL772" i="2" a="1"/>
  <c r="AL772" i="2"/>
  <c r="AL773" i="2" a="1"/>
  <c r="AL773" i="2" s="1"/>
  <c r="AL774" i="2" a="1"/>
  <c r="AL774" i="2"/>
  <c r="AL775" i="2" a="1"/>
  <c r="AL775" i="2" s="1"/>
  <c r="AL776" i="2" a="1"/>
  <c r="AL776" i="2" s="1"/>
  <c r="AL777" i="2" a="1"/>
  <c r="AL777" i="2" s="1"/>
  <c r="AL778" i="2" a="1"/>
  <c r="AL778" i="2"/>
  <c r="AL779" i="2" a="1"/>
  <c r="AL779" i="2" s="1"/>
  <c r="AL780" i="2" a="1"/>
  <c r="AL780" i="2"/>
  <c r="AL781" i="2" a="1"/>
  <c r="AL781" i="2" s="1"/>
  <c r="AL782" i="2" a="1"/>
  <c r="AL782" i="2" s="1"/>
  <c r="AL783" i="2" a="1"/>
  <c r="AL783" i="2" s="1"/>
  <c r="AL784" i="2" a="1"/>
  <c r="AL784" i="2"/>
  <c r="AL785" i="2" a="1"/>
  <c r="AL785" i="2"/>
  <c r="AL786" i="2" a="1"/>
  <c r="AL786" i="2" s="1"/>
  <c r="AL787" i="2" a="1"/>
  <c r="AL787" i="2" s="1"/>
  <c r="AL788" i="2" a="1"/>
  <c r="AL788" i="2" s="1"/>
  <c r="AL789" i="2" a="1"/>
  <c r="AL789" i="2" s="1"/>
  <c r="AL790" i="2" a="1"/>
  <c r="AL790" i="2"/>
  <c r="AL791" i="2" a="1"/>
  <c r="AL791" i="2" s="1"/>
  <c r="AL792" i="2" a="1"/>
  <c r="AL792" i="2"/>
  <c r="AL793" i="2" a="1"/>
  <c r="AL793" i="2" s="1"/>
  <c r="AL794" i="2" a="1"/>
  <c r="AL794" i="2" s="1"/>
  <c r="AL795" i="2" a="1"/>
  <c r="AL795" i="2" s="1"/>
  <c r="AL796" i="2" a="1"/>
  <c r="AL796" i="2" s="1"/>
  <c r="AL797" i="2" a="1"/>
  <c r="AL797" i="2" s="1"/>
  <c r="AL798" i="2" a="1"/>
  <c r="AL798" i="2" s="1"/>
  <c r="AL799" i="2" a="1"/>
  <c r="AL799" i="2" s="1"/>
  <c r="AL800" i="2" a="1"/>
  <c r="AL800" i="2" s="1"/>
  <c r="AL801" i="2" a="1"/>
  <c r="AL801" i="2" s="1"/>
  <c r="AL802" i="2" a="1"/>
  <c r="AL802" i="2" s="1"/>
  <c r="AL803" i="2" a="1"/>
  <c r="AL803" i="2" s="1"/>
  <c r="AL804" i="2" a="1"/>
  <c r="AL804" i="2" s="1"/>
  <c r="AL805" i="2" a="1"/>
  <c r="AL805" i="2" s="1"/>
  <c r="AL806" i="2" a="1"/>
  <c r="AL806" i="2" s="1"/>
  <c r="AL807" i="2" a="1"/>
  <c r="AL807" i="2" s="1"/>
  <c r="AL808" i="2" a="1"/>
  <c r="AL808" i="2" s="1"/>
  <c r="AL809" i="2" a="1"/>
  <c r="AL809" i="2"/>
  <c r="AL810" i="2" a="1"/>
  <c r="AL810" i="2" s="1"/>
  <c r="AL811" i="2" a="1"/>
  <c r="AL811" i="2" s="1"/>
  <c r="AL812" i="2" a="1"/>
  <c r="AL812" i="2" s="1"/>
  <c r="AL813" i="2" a="1"/>
  <c r="AL813" i="2" s="1"/>
  <c r="AL814" i="2" a="1"/>
  <c r="AL814" i="2" s="1"/>
  <c r="AL815" i="2" a="1"/>
  <c r="AL815" i="2"/>
  <c r="AL816" i="2" a="1"/>
  <c r="AL816" i="2" s="1"/>
  <c r="AL817" i="2" a="1"/>
  <c r="AL817" i="2" s="1"/>
  <c r="AL818" i="2" a="1"/>
  <c r="AL818" i="2" s="1"/>
  <c r="AL819" i="2" a="1"/>
  <c r="AL819" i="2" s="1"/>
  <c r="AL820" i="2" a="1"/>
  <c r="AL820" i="2" s="1"/>
  <c r="AL821" i="2" a="1"/>
  <c r="AL821" i="2"/>
  <c r="AL822" i="2" a="1"/>
  <c r="AL822" i="2" s="1"/>
  <c r="AL823" i="2" a="1"/>
  <c r="AL823" i="2" s="1"/>
  <c r="AL824" i="2" a="1"/>
  <c r="AL824" i="2" s="1"/>
  <c r="AL825" i="2" a="1"/>
  <c r="AL825" i="2" s="1"/>
  <c r="AL826" i="2" a="1"/>
  <c r="AL826" i="2"/>
  <c r="AL827" i="2" a="1"/>
  <c r="AL827" i="2" s="1"/>
  <c r="AL828" i="2" a="1"/>
  <c r="AL828" i="2" s="1"/>
  <c r="AL829" i="2" a="1"/>
  <c r="AL829" i="2"/>
  <c r="AL830" i="2" a="1"/>
  <c r="AL830" i="2" s="1"/>
  <c r="AL831" i="2" a="1"/>
  <c r="AL831" i="2" s="1"/>
  <c r="AL832" i="2" a="1"/>
  <c r="AL832" i="2"/>
  <c r="AL833" i="2" a="1"/>
  <c r="AL833" i="2" s="1"/>
  <c r="AL834" i="2" a="1"/>
  <c r="AL834" i="2" s="1"/>
  <c r="AL835" i="2" a="1"/>
  <c r="AL835" i="2" s="1"/>
  <c r="AL836" i="2" a="1"/>
  <c r="AL836" i="2" s="1"/>
  <c r="AL837" i="2" a="1"/>
  <c r="AL837" i="2" s="1"/>
  <c r="AL838" i="2" a="1"/>
  <c r="AL838" i="2"/>
  <c r="AL839" i="2" a="1"/>
  <c r="AL839" i="2" s="1"/>
  <c r="AL840" i="2" a="1"/>
  <c r="AL840" i="2" s="1"/>
  <c r="AL841" i="2" a="1"/>
  <c r="AL841" i="2" s="1"/>
  <c r="AL842" i="2" a="1"/>
  <c r="AL842" i="2" s="1"/>
  <c r="AL843" i="2" a="1"/>
  <c r="AL843" i="2" s="1"/>
  <c r="AL844" i="2" a="1"/>
  <c r="AL844" i="2"/>
  <c r="AL845" i="2" a="1"/>
  <c r="AL845" i="2" s="1"/>
  <c r="AL846" i="2" a="1"/>
  <c r="AL846" i="2" s="1"/>
  <c r="AL847" i="2" a="1"/>
  <c r="AL847" i="2" s="1"/>
  <c r="AL848" i="2" a="1"/>
  <c r="AL848" i="2" s="1"/>
  <c r="AL849" i="2" a="1"/>
  <c r="AL849" i="2" s="1"/>
  <c r="AL850" i="2" a="1"/>
  <c r="AL850" i="2" s="1"/>
  <c r="AL851" i="2" a="1"/>
  <c r="AL851" i="2" s="1"/>
  <c r="AL852" i="2" a="1"/>
  <c r="AL852" i="2"/>
  <c r="AL853" i="2" a="1"/>
  <c r="AL853" i="2" s="1"/>
  <c r="AL854" i="2" a="1"/>
  <c r="AL854" i="2" s="1"/>
  <c r="AL855" i="2" a="1"/>
  <c r="AL855" i="2" s="1"/>
  <c r="AL856" i="2" a="1"/>
  <c r="AL856" i="2"/>
  <c r="AL857" i="2" a="1"/>
  <c r="AL857" i="2" s="1"/>
  <c r="AL858" i="2" a="1"/>
  <c r="AL858" i="2" s="1"/>
  <c r="AL859" i="2" a="1"/>
  <c r="AL859" i="2" s="1"/>
  <c r="AL860" i="2" a="1"/>
  <c r="AL860" i="2" s="1"/>
  <c r="AL861" i="2" a="1"/>
  <c r="AL861" i="2" s="1"/>
  <c r="AL862" i="2" a="1"/>
  <c r="AL862" i="2" s="1"/>
  <c r="AL863" i="2" a="1"/>
  <c r="AL863" i="2" s="1"/>
  <c r="AL864" i="2" a="1"/>
  <c r="AL864" i="2" s="1"/>
  <c r="AL865" i="2" a="1"/>
  <c r="AL865" i="2" s="1"/>
  <c r="AL866" i="2" a="1"/>
  <c r="AL866" i="2" s="1"/>
  <c r="AL867" i="2" a="1"/>
  <c r="AL867" i="2" s="1"/>
  <c r="AL868" i="2" a="1"/>
  <c r="AL868" i="2" s="1"/>
  <c r="AL869" i="2" a="1"/>
  <c r="AL869" i="2" s="1"/>
  <c r="AL870" i="2" a="1"/>
  <c r="AL870" i="2" s="1"/>
  <c r="AL871" i="2" a="1"/>
  <c r="AL871" i="2" s="1"/>
  <c r="AL872" i="2" a="1"/>
  <c r="AL872" i="2" s="1"/>
  <c r="AL873" i="2" a="1"/>
  <c r="AL873" i="2" s="1"/>
  <c r="AL874" i="2" a="1"/>
  <c r="AL874" i="2"/>
  <c r="AL875" i="2" a="1"/>
  <c r="AL875" i="2" s="1"/>
  <c r="AL876" i="2" a="1"/>
  <c r="AL876" i="2" s="1"/>
  <c r="AL877" i="2" a="1"/>
  <c r="AL877" i="2" s="1"/>
  <c r="AL878" i="2" a="1"/>
  <c r="AL878" i="2" s="1"/>
  <c r="AL879" i="2" a="1"/>
  <c r="AL879" i="2" s="1"/>
  <c r="AL880" i="2" a="1"/>
  <c r="AL880" i="2" s="1"/>
  <c r="AL881" i="2" a="1"/>
  <c r="AL881" i="2" s="1"/>
  <c r="AL882" i="2" a="1"/>
  <c r="AL882" i="2" s="1"/>
  <c r="AL883" i="2" a="1"/>
  <c r="AL883" i="2" s="1"/>
  <c r="AL884" i="2" a="1"/>
  <c r="AL884" i="2" s="1"/>
  <c r="AL885" i="2" a="1"/>
  <c r="AL885" i="2" s="1"/>
  <c r="AL886" i="2" a="1"/>
  <c r="AL886" i="2" s="1"/>
  <c r="AL887" i="2" a="1"/>
  <c r="AL887" i="2" s="1"/>
  <c r="AL888" i="2" a="1"/>
  <c r="AL888" i="2" s="1"/>
  <c r="AL889" i="2" a="1"/>
  <c r="AL889" i="2"/>
  <c r="AL890" i="2" a="1"/>
  <c r="AL890" i="2" s="1"/>
  <c r="AL891" i="2" a="1"/>
  <c r="AL891" i="2" s="1"/>
  <c r="AL892" i="2" a="1"/>
  <c r="AL892" i="2" s="1"/>
  <c r="AL893" i="2" a="1"/>
  <c r="AL893" i="2" s="1"/>
  <c r="AL894" i="2" a="1"/>
  <c r="AL894" i="2" s="1"/>
  <c r="AL895" i="2" a="1"/>
  <c r="AL895" i="2"/>
  <c r="AL896" i="2" a="1"/>
  <c r="AL896" i="2" s="1"/>
  <c r="AL897" i="2" a="1"/>
  <c r="AL897" i="2" s="1"/>
  <c r="AL898" i="2" a="1"/>
  <c r="AL898" i="2" s="1"/>
  <c r="AL899" i="2" a="1"/>
  <c r="AL899" i="2"/>
  <c r="AL900" i="2" a="1"/>
  <c r="AL900" i="2" s="1"/>
  <c r="AL901" i="2" a="1"/>
  <c r="AL901" i="2"/>
  <c r="AL902" i="2" a="1"/>
  <c r="AL902" i="2" s="1"/>
  <c r="AL903" i="2" a="1"/>
  <c r="AL903" i="2" s="1"/>
  <c r="AL904" i="2" a="1"/>
  <c r="AL904" i="2" s="1"/>
  <c r="AL905" i="2" a="1"/>
  <c r="AL905" i="2" s="1"/>
  <c r="AL906" i="2" a="1"/>
  <c r="AL906" i="2" s="1"/>
  <c r="AL907" i="2" a="1"/>
  <c r="AL907" i="2" s="1"/>
  <c r="AL908" i="2" a="1"/>
  <c r="AL908" i="2" s="1"/>
  <c r="AL909" i="2" a="1"/>
  <c r="AL909" i="2" s="1"/>
  <c r="AL910" i="2" a="1"/>
  <c r="AL910" i="2" s="1"/>
  <c r="AL911" i="2" a="1"/>
  <c r="AL911" i="2"/>
  <c r="AL912" i="2" a="1"/>
  <c r="AL912" i="2" s="1"/>
  <c r="AL913" i="2" a="1"/>
  <c r="AL913" i="2"/>
  <c r="AL914" i="2" a="1"/>
  <c r="AL914" i="2" s="1"/>
  <c r="AL915" i="2" a="1"/>
  <c r="AL915" i="2" s="1"/>
  <c r="AL916" i="2" a="1"/>
  <c r="AL916" i="2"/>
  <c r="AL917" i="2" a="1"/>
  <c r="AL917" i="2" s="1"/>
  <c r="AL918" i="2" a="1"/>
  <c r="AL918" i="2" s="1"/>
  <c r="AL919" i="2" a="1"/>
  <c r="AL919" i="2" s="1"/>
  <c r="AL920" i="2" a="1"/>
  <c r="AL920" i="2" s="1"/>
  <c r="AL921" i="2" a="1"/>
  <c r="AL921" i="2" s="1"/>
  <c r="AL922" i="2" a="1"/>
  <c r="AL922" i="2"/>
  <c r="AL923" i="2" a="1"/>
  <c r="AL923" i="2" s="1"/>
  <c r="AL924" i="2" a="1"/>
  <c r="AL924" i="2" s="1"/>
  <c r="AL925" i="2" a="1"/>
  <c r="AL925" i="2" s="1"/>
  <c r="AL926" i="2" a="1"/>
  <c r="AL926" i="2" s="1"/>
  <c r="AL927" i="2" a="1"/>
  <c r="AL927" i="2" s="1"/>
  <c r="AL928" i="2" a="1"/>
  <c r="AL928" i="2" s="1"/>
  <c r="AL929" i="2" a="1"/>
  <c r="AL929" i="2"/>
  <c r="AL930" i="2" a="1"/>
  <c r="AL930" i="2" s="1"/>
  <c r="AL931" i="2" a="1"/>
  <c r="AL931" i="2" s="1"/>
  <c r="AL932" i="2" a="1"/>
  <c r="AL932" i="2" s="1"/>
  <c r="AL933" i="2" a="1"/>
  <c r="AL933" i="2" s="1"/>
  <c r="AL934" i="2" a="1"/>
  <c r="AL934" i="2" s="1"/>
  <c r="AL935" i="2" a="1"/>
  <c r="AL935" i="2" s="1"/>
  <c r="AL936" i="2" a="1"/>
  <c r="AL936" i="2"/>
  <c r="AL937" i="2" a="1"/>
  <c r="AL937" i="2" s="1"/>
  <c r="AL938" i="2" a="1"/>
  <c r="AL938" i="2" s="1"/>
  <c r="AL939" i="2" a="1"/>
  <c r="AL939" i="2" s="1"/>
  <c r="AL940" i="2" a="1"/>
  <c r="AL940" i="2" s="1"/>
  <c r="AL941" i="2" a="1"/>
  <c r="AL941" i="2" s="1"/>
  <c r="AL942" i="2" a="1"/>
  <c r="AL942" i="2"/>
  <c r="AL943" i="2" a="1"/>
  <c r="AL943" i="2"/>
  <c r="AL944" i="2" a="1"/>
  <c r="AL944" i="2" s="1"/>
  <c r="AL945" i="2" a="1"/>
  <c r="AL945" i="2" s="1"/>
  <c r="AL946" i="2" a="1"/>
  <c r="AL946" i="2" s="1"/>
  <c r="AL947" i="2" a="1"/>
  <c r="AL947" i="2" s="1"/>
  <c r="AL948" i="2" a="1"/>
  <c r="AL948" i="2" s="1"/>
  <c r="AL949" i="2" a="1"/>
  <c r="AL949" i="2" s="1"/>
  <c r="AL950" i="2" a="1"/>
  <c r="AL950" i="2" s="1"/>
  <c r="AL951" i="2" a="1"/>
  <c r="AL951" i="2" s="1"/>
  <c r="AL952" i="2" a="1"/>
  <c r="AL952" i="2"/>
  <c r="AL953" i="2" a="1"/>
  <c r="AL953" i="2"/>
  <c r="AL954" i="2" a="1"/>
  <c r="AL954" i="2" s="1"/>
  <c r="AL955" i="2" a="1"/>
  <c r="AL955" i="2" s="1"/>
  <c r="AL956" i="2" a="1"/>
  <c r="AL956" i="2" s="1"/>
  <c r="AL957" i="2" a="1"/>
  <c r="AL957" i="2" s="1"/>
  <c r="AL958" i="2" a="1"/>
  <c r="AL958" i="2" s="1"/>
  <c r="AL959" i="2" a="1"/>
  <c r="AL959" i="2" s="1"/>
  <c r="AL960" i="2" a="1"/>
  <c r="AL960" i="2" s="1"/>
  <c r="AL961" i="2" a="1"/>
  <c r="AL961" i="2" s="1"/>
  <c r="AL962" i="2" a="1"/>
  <c r="AL962" i="2" s="1"/>
  <c r="AL963" i="2" a="1"/>
  <c r="AL963" i="2" s="1"/>
  <c r="AL964" i="2" a="1"/>
  <c r="AL964" i="2" s="1"/>
  <c r="AL965" i="2" a="1"/>
  <c r="AL965" i="2"/>
  <c r="AL966" i="2" a="1"/>
  <c r="AL966" i="2" s="1"/>
  <c r="AL967" i="2" a="1"/>
  <c r="AL967" i="2"/>
  <c r="AL968" i="2" a="1"/>
  <c r="AL968" i="2" s="1"/>
  <c r="AL969" i="2" a="1"/>
  <c r="AL969" i="2" s="1"/>
  <c r="AL970" i="2" a="1"/>
  <c r="AL970" i="2" s="1"/>
  <c r="AL971" i="2" a="1"/>
  <c r="AL971" i="2" s="1"/>
  <c r="AL972" i="2" a="1"/>
  <c r="AL972" i="2" s="1"/>
  <c r="AL973" i="2" a="1"/>
  <c r="AL973" i="2" s="1"/>
  <c r="AL974" i="2" a="1"/>
  <c r="AL974" i="2" s="1"/>
  <c r="AL975" i="2" a="1"/>
  <c r="AL975" i="2" s="1"/>
  <c r="AL976" i="2" a="1"/>
  <c r="AL976" i="2"/>
  <c r="AL977" i="2" a="1"/>
  <c r="AL977" i="2" s="1"/>
  <c r="AL978" i="2" a="1"/>
  <c r="AL978" i="2" s="1"/>
  <c r="AL979" i="2" a="1"/>
  <c r="AL979" i="2" s="1"/>
  <c r="AL980" i="2" a="1"/>
  <c r="AL980" i="2" s="1"/>
  <c r="AL981" i="2" a="1"/>
  <c r="AL981" i="2" s="1"/>
  <c r="AL982" i="2" a="1"/>
  <c r="AL982" i="2" s="1"/>
  <c r="AL983" i="2" a="1"/>
  <c r="AL983" i="2"/>
  <c r="AL984" i="2" a="1"/>
  <c r="AL984" i="2" s="1"/>
  <c r="AL985" i="2" a="1"/>
  <c r="AL985" i="2"/>
  <c r="AL986" i="2" a="1"/>
  <c r="AL986" i="2" s="1"/>
  <c r="AL987" i="2" a="1"/>
  <c r="AL987" i="2" s="1"/>
  <c r="AL988" i="2" a="1"/>
  <c r="AL988" i="2" s="1"/>
  <c r="AL989" i="2" a="1"/>
  <c r="AL989" i="2" s="1"/>
  <c r="AL990" i="2" a="1"/>
  <c r="AL990" i="2" s="1"/>
  <c r="AL991" i="2" a="1"/>
  <c r="AL991" i="2" s="1"/>
  <c r="AL992" i="2" a="1"/>
  <c r="AL992" i="2" s="1"/>
  <c r="AL993" i="2" a="1"/>
  <c r="AL993" i="2" s="1"/>
  <c r="AL994" i="2" a="1"/>
  <c r="AL994" i="2" s="1"/>
  <c r="AL995" i="2" a="1"/>
  <c r="AL995" i="2" s="1"/>
  <c r="AL996" i="2" a="1"/>
  <c r="AL996" i="2" s="1"/>
  <c r="AL997" i="2" a="1"/>
  <c r="AL997" i="2" s="1"/>
  <c r="AL998" i="2" a="1"/>
  <c r="AL998" i="2" s="1"/>
  <c r="AL999" i="2" a="1"/>
  <c r="AL999" i="2" s="1"/>
  <c r="AL1000" i="2" a="1"/>
  <c r="AL1000" i="2" s="1"/>
  <c r="AL1001" i="2" a="1"/>
  <c r="AL1001" i="2" s="1"/>
  <c r="AL1002" i="2" a="1"/>
  <c r="AL1002" i="2" s="1"/>
  <c r="AL1003" i="2" a="1"/>
  <c r="AL1003" i="2"/>
  <c r="AL1004" i="2" a="1"/>
  <c r="AL1004" i="2" s="1"/>
  <c r="AL1005" i="2" a="1"/>
  <c r="AL1005" i="2" s="1"/>
  <c r="AL1006" i="2" a="1"/>
  <c r="AL1006" i="2" s="1"/>
  <c r="AL1007" i="2" a="1"/>
  <c r="AL1007" i="2" s="1"/>
  <c r="AL1008" i="2" a="1"/>
  <c r="AL1008" i="2"/>
  <c r="AL1009" i="2" a="1"/>
  <c r="AL1009" i="2" s="1"/>
  <c r="AL1010" i="2" a="1"/>
  <c r="AL1010" i="2" s="1"/>
  <c r="AL1011" i="2" a="1"/>
  <c r="AL1011" i="2" s="1"/>
  <c r="AL1012" i="2" a="1"/>
  <c r="AL1012" i="2" s="1"/>
  <c r="AL1013" i="2" a="1"/>
  <c r="AL1013" i="2" s="1"/>
  <c r="AL1014" i="2" a="1"/>
  <c r="AL1014" i="2"/>
  <c r="AL1015" i="2" a="1"/>
  <c r="AL1015" i="2" s="1"/>
  <c r="AL1016" i="2" a="1"/>
  <c r="AL1016" i="2" s="1"/>
  <c r="AL1017" i="2" a="1"/>
  <c r="AL1017" i="2" s="1"/>
  <c r="AL1018" i="2" a="1"/>
  <c r="AL1018" i="2" s="1"/>
  <c r="AL1019" i="2" a="1"/>
  <c r="AL1019" i="2" s="1"/>
  <c r="AL1020" i="2" a="1"/>
  <c r="AL1020" i="2" s="1"/>
  <c r="AL1021" i="2" a="1"/>
  <c r="AL1021" i="2" s="1"/>
  <c r="AL1022" i="2" a="1"/>
  <c r="AL1022" i="2" s="1"/>
  <c r="AL1023" i="2" a="1"/>
  <c r="AL1023" i="2" s="1"/>
  <c r="AL1024" i="2" a="1"/>
  <c r="AL1024" i="2"/>
  <c r="AL1025" i="2" a="1"/>
  <c r="AL1025" i="2"/>
  <c r="AL1026" i="2" a="1"/>
  <c r="AL1026" i="2" s="1"/>
  <c r="AL1027" i="2" a="1"/>
  <c r="AL1027" i="2" s="1"/>
  <c r="AL1028" i="2" a="1"/>
  <c r="AL1028" i="2" s="1"/>
  <c r="AL1029" i="2" a="1"/>
  <c r="AL1029" i="2" s="1"/>
  <c r="AL1030" i="2" a="1"/>
  <c r="AL1030" i="2" s="1"/>
  <c r="AL1031" i="2" a="1"/>
  <c r="AL1031" i="2" s="1"/>
  <c r="AL1032" i="2" a="1"/>
  <c r="AL1032" i="2" s="1"/>
  <c r="AL1033" i="2" a="1"/>
  <c r="AL1033" i="2" s="1"/>
  <c r="AL1034" i="2" a="1"/>
  <c r="AL1034" i="2" s="1"/>
  <c r="AL1035" i="2" a="1"/>
  <c r="AL1035" i="2" s="1"/>
  <c r="AL1036" i="2" a="1"/>
  <c r="AL1036" i="2"/>
  <c r="AL1037" i="2" a="1"/>
  <c r="AL1037" i="2" s="1"/>
  <c r="AL1038" i="2" a="1"/>
  <c r="AL1038" i="2" s="1"/>
  <c r="AL1039" i="2" a="1"/>
  <c r="AL1039" i="2" s="1"/>
  <c r="AL1040" i="2" a="1"/>
  <c r="AL1040" i="2" s="1"/>
  <c r="AL1041" i="2" a="1"/>
  <c r="AL1041" i="2" s="1"/>
  <c r="AL1042" i="2" a="1"/>
  <c r="AL1042" i="2" s="1"/>
  <c r="AL1043" i="2" a="1"/>
  <c r="AL1043" i="2"/>
  <c r="AL1044" i="2" a="1"/>
  <c r="AL1044" i="2"/>
  <c r="AL1045" i="2" a="1"/>
  <c r="AL1045" i="2" s="1"/>
  <c r="AL1046" i="2" a="1"/>
  <c r="AL1046" i="2" s="1"/>
  <c r="AL1047" i="2" a="1"/>
  <c r="AL1047" i="2" s="1"/>
  <c r="AL1048" i="2" a="1"/>
  <c r="AL1048" i="2"/>
  <c r="AL1049" i="2" a="1"/>
  <c r="AL1049" i="2" s="1"/>
  <c r="AL1050" i="2" a="1"/>
  <c r="AL1050" i="2"/>
  <c r="AL1051" i="2" a="1"/>
  <c r="AL1051" i="2" s="1"/>
  <c r="AL1052" i="2" a="1"/>
  <c r="AL1052" i="2" s="1"/>
  <c r="AL1053" i="2" a="1"/>
  <c r="AL1053" i="2" s="1"/>
  <c r="AL1054" i="2" a="1"/>
  <c r="AL1054" i="2" s="1"/>
  <c r="AL1055" i="2" a="1"/>
  <c r="AL1055" i="2" s="1"/>
  <c r="AL1056" i="2" a="1"/>
  <c r="AL1056" i="2" s="1"/>
  <c r="AL1057" i="2" a="1"/>
  <c r="AL1057" i="2" s="1"/>
  <c r="AL1058" i="2" a="1"/>
  <c r="AL1058" i="2" s="1"/>
  <c r="AL1059" i="2" a="1"/>
  <c r="AL1059" i="2" s="1"/>
  <c r="AL1060" i="2" a="1"/>
  <c r="AL1060" i="2" s="1"/>
  <c r="AL1061" i="2" a="1"/>
  <c r="AL1061" i="2" s="1"/>
  <c r="AL1062" i="2" a="1"/>
  <c r="AL1062" i="2"/>
  <c r="AL1063" i="2" a="1"/>
  <c r="AL1063" i="2" s="1"/>
  <c r="AL1064" i="2" a="1"/>
  <c r="AL1064" i="2" s="1"/>
  <c r="AL1065" i="2" a="1"/>
  <c r="AL1065" i="2" s="1"/>
  <c r="AL1066" i="2" a="1"/>
  <c r="AL1066" i="2"/>
  <c r="AL1067" i="2" a="1"/>
  <c r="AL1067" i="2"/>
  <c r="AL1068" i="2" a="1"/>
  <c r="AL1068" i="2" s="1"/>
  <c r="AL1069" i="2" a="1"/>
  <c r="AL1069" i="2" s="1"/>
  <c r="AL1070" i="2" a="1"/>
  <c r="AL1070" i="2" s="1"/>
  <c r="AL1071" i="2" a="1"/>
  <c r="AL1071" i="2" s="1"/>
  <c r="AL1072" i="2" a="1"/>
  <c r="AL1072" i="2" s="1"/>
  <c r="AL1073" i="2" a="1"/>
  <c r="AL1073" i="2" s="1"/>
  <c r="AL1074" i="2" a="1"/>
  <c r="AL1074" i="2"/>
  <c r="AL1075" i="2" a="1"/>
  <c r="AL1075" i="2" s="1"/>
  <c r="AL1076" i="2" a="1"/>
  <c r="AL1076" i="2" s="1"/>
  <c r="AL1077" i="2" a="1"/>
  <c r="AL1077" i="2" s="1"/>
  <c r="AL1078" i="2" a="1"/>
  <c r="AL1078" i="2" s="1"/>
  <c r="AL1079" i="2" a="1"/>
  <c r="AL1079" i="2"/>
  <c r="AL1080" i="2" a="1"/>
  <c r="AL1080" i="2" s="1"/>
  <c r="AL1081" i="2" a="1"/>
  <c r="AL1081" i="2" s="1"/>
  <c r="AL1082" i="2" a="1"/>
  <c r="AL1082" i="2" s="1"/>
  <c r="AL1083" i="2" a="1"/>
  <c r="AL1083" i="2" s="1"/>
  <c r="AL1084" i="2" a="1"/>
  <c r="AL1084" i="2"/>
  <c r="AL1085" i="2" a="1"/>
  <c r="AL1085" i="2" s="1"/>
  <c r="AL1086" i="2" a="1"/>
  <c r="AL1086" i="2" s="1"/>
  <c r="AL1087" i="2" a="1"/>
  <c r="AL1087" i="2" s="1"/>
  <c r="AL1088" i="2" a="1"/>
  <c r="AL1088" i="2" s="1"/>
  <c r="AL1089" i="2" a="1"/>
  <c r="AL1089" i="2" s="1"/>
  <c r="AL1090" i="2" a="1"/>
  <c r="AL1090" i="2" s="1"/>
  <c r="AL1091" i="2" a="1"/>
  <c r="AL1091" i="2"/>
  <c r="AL1092" i="2" a="1"/>
  <c r="AL1092" i="2" s="1"/>
  <c r="AL1093" i="2" a="1"/>
  <c r="AL1093" i="2"/>
  <c r="AL1094" i="2" a="1"/>
  <c r="AL1094" i="2" s="1"/>
  <c r="AL1095" i="2" a="1"/>
  <c r="AL1095" i="2" s="1"/>
  <c r="AL1096" i="2" a="1"/>
  <c r="AL1096" i="2" s="1"/>
  <c r="AL1097" i="2" a="1"/>
  <c r="AL1097" i="2"/>
  <c r="AL1098" i="2" a="1"/>
  <c r="AL1098" i="2" s="1"/>
  <c r="AL1099" i="2" a="1"/>
  <c r="AL1099" i="2" s="1"/>
  <c r="AL1100" i="2" a="1"/>
  <c r="AL1100" i="2" s="1"/>
  <c r="AL1101" i="2" a="1"/>
  <c r="AL1101" i="2" s="1"/>
  <c r="AL1102" i="2" a="1"/>
  <c r="AL1102" i="2" s="1"/>
  <c r="AL1103" i="2" a="1"/>
  <c r="AL1103" i="2" s="1"/>
  <c r="AL1104" i="2" a="1"/>
  <c r="AL1104" i="2"/>
  <c r="AL1105" i="2" a="1"/>
  <c r="AL1105" i="2"/>
  <c r="AL1106" i="2" a="1"/>
  <c r="AL1106" i="2" s="1"/>
  <c r="AL1107" i="2" a="1"/>
  <c r="AL1107" i="2" s="1"/>
  <c r="AL1108" i="2" a="1"/>
  <c r="AL1108" i="2" s="1"/>
  <c r="AL1109" i="2" a="1"/>
  <c r="AL1109" i="2" s="1"/>
  <c r="AL1110" i="2" a="1"/>
  <c r="AL1110" i="2" s="1"/>
  <c r="AL1111" i="2" a="1"/>
  <c r="AL1111" i="2"/>
  <c r="AL1112" i="2" a="1"/>
  <c r="AL1112" i="2" s="1"/>
  <c r="AL1113" i="2" a="1"/>
  <c r="AL1113" i="2" s="1"/>
  <c r="AL1114" i="2" a="1"/>
  <c r="AL1114" i="2" s="1"/>
  <c r="AL1115" i="2" a="1"/>
  <c r="AL1115" i="2"/>
  <c r="AL1116" i="2" a="1"/>
  <c r="AL1116" i="2" s="1"/>
  <c r="AL1117" i="2" a="1"/>
  <c r="AL1117" i="2" s="1"/>
  <c r="AL1118" i="2" a="1"/>
  <c r="AL1118" i="2" s="1"/>
  <c r="AL1119" i="2" a="1"/>
  <c r="AL1119" i="2" s="1"/>
  <c r="AL1120" i="2" a="1"/>
  <c r="AL1120" i="2"/>
  <c r="AL1121" i="2" a="1"/>
  <c r="AL1121" i="2" s="1"/>
  <c r="AL1122" i="2" a="1"/>
  <c r="AL1122" i="2" s="1"/>
  <c r="AL1123" i="2" a="1"/>
  <c r="AL1123" i="2" s="1"/>
  <c r="AL1124" i="2" a="1"/>
  <c r="AL1124" i="2" s="1"/>
  <c r="AL1125" i="2" a="1"/>
  <c r="AL1125" i="2" s="1"/>
  <c r="AL1126" i="2" a="1"/>
  <c r="AL1126" i="2" s="1"/>
  <c r="AL1127" i="2" a="1"/>
  <c r="AL1127" i="2"/>
  <c r="AL1128" i="2" a="1"/>
  <c r="AL1128" i="2" s="1"/>
  <c r="AL1129" i="2" a="1"/>
  <c r="AL1129" i="2"/>
  <c r="AL1130" i="2" a="1"/>
  <c r="AL1130" i="2" s="1"/>
  <c r="AL1131" i="2" a="1"/>
  <c r="AL1131" i="2" s="1"/>
  <c r="AL1132" i="2" a="1"/>
  <c r="AL1132" i="2"/>
  <c r="AL1133" i="2" a="1"/>
  <c r="AL1133" i="2" s="1"/>
  <c r="AL1134" i="2" a="1"/>
  <c r="AL1134" i="2" s="1"/>
  <c r="AL1135" i="2" a="1"/>
  <c r="AL1135" i="2" s="1"/>
  <c r="AL1136" i="2" a="1"/>
  <c r="AL1136" i="2" s="1"/>
  <c r="AL1137" i="2" a="1"/>
  <c r="AL1137" i="2" s="1"/>
  <c r="AL1138" i="2" a="1"/>
  <c r="AL1138" i="2" s="1"/>
  <c r="AL1139" i="2" a="1"/>
  <c r="AL1139" i="2" s="1"/>
  <c r="AL1140" i="2" a="1"/>
  <c r="AL1140" i="2" s="1"/>
  <c r="AL1141" i="2" a="1"/>
  <c r="AL1141" i="2" s="1"/>
  <c r="AL1142" i="2" a="1"/>
  <c r="AL1142" i="2" s="1"/>
  <c r="AL1143" i="2" a="1"/>
  <c r="AL1143" i="2" s="1"/>
  <c r="AL1144" i="2" a="1"/>
  <c r="AL1144" i="2" s="1"/>
  <c r="AL1145" i="2" a="1"/>
  <c r="AL1145" i="2"/>
  <c r="AL1146" i="2" a="1"/>
  <c r="AL1146" i="2" s="1"/>
  <c r="AL1147" i="2" a="1"/>
  <c r="AL1147" i="2" s="1"/>
  <c r="AL1148" i="2" a="1"/>
  <c r="AL1148" i="2" s="1"/>
  <c r="AL1149" i="2" a="1"/>
  <c r="AL1149" i="2" s="1"/>
  <c r="AL1150" i="2" a="1"/>
  <c r="AL1150" i="2" s="1"/>
  <c r="AL1151" i="2" a="1"/>
  <c r="AL1151" i="2"/>
  <c r="AL1152" i="2" a="1"/>
  <c r="AL1152" i="2" s="1"/>
  <c r="AL1153" i="2" a="1"/>
  <c r="AL1153" i="2" s="1"/>
  <c r="AL1154" i="2" a="1"/>
  <c r="AL1154" i="2" s="1"/>
  <c r="AL1155" i="2" a="1"/>
  <c r="AL1155" i="2" s="1"/>
  <c r="AL1156" i="2" a="1"/>
  <c r="AL1156" i="2" s="1"/>
  <c r="AL1157" i="2" a="1"/>
  <c r="AL1157" i="2" s="1"/>
  <c r="AL1158" i="2" a="1"/>
  <c r="AL1158" i="2" s="1"/>
  <c r="AL1159" i="2" a="1"/>
  <c r="AL1159" i="2"/>
  <c r="AL1160" i="2" a="1"/>
  <c r="AL1160" i="2" s="1"/>
  <c r="AL1161" i="2" a="1"/>
  <c r="AL1161" i="2" s="1"/>
  <c r="AL1162" i="2" a="1"/>
  <c r="AL1162" i="2"/>
  <c r="AL1163" i="2" a="1"/>
  <c r="AL1163" i="2" s="1"/>
  <c r="AL1164" i="2" a="1"/>
  <c r="AL1164" i="2"/>
  <c r="AL1165" i="2" a="1"/>
  <c r="AL1165" i="2" s="1"/>
  <c r="AL1166" i="2" a="1"/>
  <c r="AL1166" i="2" s="1"/>
  <c r="AL1167" i="2" a="1"/>
  <c r="AL1167" i="2" s="1"/>
  <c r="AL1168" i="2" a="1"/>
  <c r="AL1168" i="2" s="1"/>
  <c r="AL1169" i="2" a="1"/>
  <c r="AL1169" i="2"/>
  <c r="AL1170" i="2" a="1"/>
  <c r="AL1170" i="2" s="1"/>
  <c r="AL1171" i="2" a="1"/>
  <c r="AL1171" i="2" s="1"/>
  <c r="AL1172" i="2" a="1"/>
  <c r="AL1172" i="2" s="1"/>
  <c r="AL1173" i="2" a="1"/>
  <c r="AL1173" i="2"/>
  <c r="AL1174" i="2" a="1"/>
  <c r="AL1174" i="2" s="1"/>
  <c r="AL1175" i="2" a="1"/>
  <c r="AL1175" i="2" s="1"/>
  <c r="AL1176" i="2" a="1"/>
  <c r="AL1176" i="2" s="1"/>
  <c r="AL1177" i="2" a="1"/>
  <c r="AL1177" i="2" s="1"/>
  <c r="AL1178" i="2" a="1"/>
  <c r="AL1178" i="2" s="1"/>
  <c r="AL1179" i="2" a="1"/>
  <c r="AL1179" i="2"/>
  <c r="AL1180" i="2" a="1"/>
  <c r="AL1180" i="2" s="1"/>
  <c r="AL1181" i="2" a="1"/>
  <c r="AL1181" i="2" s="1"/>
  <c r="AL1182" i="2" a="1"/>
  <c r="AL1182" i="2" s="1"/>
  <c r="AL1183" i="2" a="1"/>
  <c r="AL1183" i="2"/>
  <c r="AL1184" i="2" a="1"/>
  <c r="AL1184" i="2" s="1"/>
  <c r="AL1185" i="2" a="1"/>
  <c r="AL1185" i="2"/>
  <c r="AL1186" i="2" a="1"/>
  <c r="AL1186" i="2" s="1"/>
  <c r="AL1187" i="2" a="1"/>
  <c r="AL1187" i="2"/>
  <c r="AL1188" i="2" a="1"/>
  <c r="AL1188" i="2" s="1"/>
  <c r="AL1189" i="2" a="1"/>
  <c r="AL1189" i="2" s="1"/>
  <c r="AL1190" i="2" a="1"/>
  <c r="AL1190" i="2" s="1"/>
  <c r="AL1191" i="2" a="1"/>
  <c r="AL1191" i="2" s="1"/>
  <c r="AL1192" i="2" a="1"/>
  <c r="AL1192" i="2"/>
  <c r="AL1193" i="2" a="1"/>
  <c r="AL1193" i="2"/>
  <c r="AL1194" i="2" a="1"/>
  <c r="AL1194" i="2" s="1"/>
  <c r="AL1195" i="2" a="1"/>
  <c r="AL1195" i="2" s="1"/>
  <c r="AL1196" i="2" a="1"/>
  <c r="AL1196" i="2" s="1"/>
  <c r="AL1197" i="2" a="1"/>
  <c r="AL1197" i="2" s="1"/>
  <c r="AL1198" i="2" a="1"/>
  <c r="AL1198" i="2"/>
  <c r="AL1199" i="2" a="1"/>
  <c r="AL1199" i="2" s="1"/>
  <c r="AL1200" i="2" a="1"/>
  <c r="AL1200" i="2"/>
  <c r="AL1201" i="2" a="1"/>
  <c r="AL1201" i="2" s="1"/>
  <c r="AL1202" i="2" a="1"/>
  <c r="AL1202" i="2" s="1"/>
  <c r="AL1203" i="2" a="1"/>
  <c r="AL1203" i="2" s="1"/>
  <c r="AL1204" i="2" a="1"/>
  <c r="AL1204" i="2" s="1"/>
  <c r="AL1205" i="2" a="1"/>
  <c r="AL1205" i="2"/>
  <c r="AL1206" i="2" a="1"/>
  <c r="AL1206" i="2" s="1"/>
  <c r="AL1207" i="2" a="1"/>
  <c r="AL1207" i="2" s="1"/>
  <c r="AL1208" i="2" a="1"/>
  <c r="AL1208" i="2"/>
  <c r="AL1209" i="2" a="1"/>
  <c r="AL1209" i="2"/>
  <c r="AL1210" i="2" a="1"/>
  <c r="AL1210" i="2" s="1"/>
  <c r="AL1211" i="2" a="1"/>
  <c r="AL1211" i="2" s="1"/>
  <c r="AL1212" i="2" a="1"/>
  <c r="AL1212" i="2"/>
  <c r="AL1213" i="2" a="1"/>
  <c r="AL1213" i="2" s="1"/>
  <c r="AL1214" i="2" a="1"/>
  <c r="AL1214" i="2" s="1"/>
  <c r="AL1215" i="2" a="1"/>
  <c r="AL1215" i="2" s="1"/>
  <c r="AL1216" i="2" a="1"/>
  <c r="AL1216" i="2" s="1"/>
  <c r="AL1217" i="2" a="1"/>
  <c r="AL1217" i="2"/>
  <c r="AL1218" i="2" a="1"/>
  <c r="AL1218" i="2"/>
  <c r="AL1219" i="2" a="1"/>
  <c r="AL1219" i="2" s="1"/>
  <c r="AL1220" i="2" a="1"/>
  <c r="AL1220" i="2"/>
  <c r="AL1221" i="2" a="1"/>
  <c r="AL1221" i="2" s="1"/>
  <c r="AL1222" i="2" a="1"/>
  <c r="AL1222" i="2" s="1"/>
  <c r="AL1223" i="2" a="1"/>
  <c r="AL1223" i="2" s="1"/>
  <c r="AL1224" i="2" a="1"/>
  <c r="AL1224" i="2"/>
  <c r="AL1225" i="2" a="1"/>
  <c r="AL1225" i="2" s="1"/>
  <c r="AL1226" i="2" a="1"/>
  <c r="AL1226" i="2"/>
  <c r="AL1227" i="2" a="1"/>
  <c r="AL1227" i="2" s="1"/>
  <c r="AL1228" i="2" a="1"/>
  <c r="AL1228" i="2" s="1"/>
  <c r="AL1229" i="2" a="1"/>
  <c r="AL1229" i="2" s="1"/>
  <c r="AL1230" i="2" a="1"/>
  <c r="AL1230" i="2" s="1"/>
  <c r="AL1231" i="2" a="1"/>
  <c r="AL1231" i="2" s="1"/>
  <c r="AL1232" i="2" a="1"/>
  <c r="AL1232" i="2"/>
  <c r="AL1233" i="2" a="1"/>
  <c r="AL1233" i="2"/>
  <c r="AL1234" i="2" a="1"/>
  <c r="AL1234" i="2" s="1"/>
  <c r="AL1235" i="2" a="1"/>
  <c r="AL1235" i="2"/>
  <c r="AL1236" i="2" a="1"/>
  <c r="AL1236" i="2" s="1"/>
  <c r="AL1237" i="2" a="1"/>
  <c r="AL1237" i="2" s="1"/>
  <c r="AL1238" i="2" a="1"/>
  <c r="AL1238" i="2" s="1"/>
  <c r="AL1239" i="2" a="1"/>
  <c r="AL1239" i="2" s="1"/>
  <c r="AL1240" i="2" a="1"/>
  <c r="AL1240" i="2" s="1"/>
  <c r="AL1241" i="2" a="1"/>
  <c r="AL1241" i="2" s="1"/>
  <c r="AL1242" i="2" a="1"/>
  <c r="AL1242" i="2" s="1"/>
  <c r="AL1243" i="2" a="1"/>
  <c r="AL1243" i="2" s="1"/>
  <c r="AL1244" i="2" a="1"/>
  <c r="AL1244" i="2"/>
  <c r="AL1245" i="2" a="1"/>
  <c r="AL1245" i="2"/>
  <c r="AL1246" i="2" a="1"/>
  <c r="AL1246" i="2" s="1"/>
  <c r="AL1247" i="2" a="1"/>
  <c r="AL1247" i="2" s="1"/>
  <c r="AL1248" i="2" a="1"/>
  <c r="AL1248" i="2"/>
  <c r="AL1249" i="2" a="1"/>
  <c r="AL1249" i="2" s="1"/>
  <c r="AL1250" i="2" a="1"/>
  <c r="AL1250" i="2" s="1"/>
  <c r="AL1251" i="2" a="1"/>
  <c r="AL1251" i="2"/>
  <c r="AL1252" i="2" a="1"/>
  <c r="AL1252" i="2" s="1"/>
  <c r="AL1253" i="2" a="1"/>
  <c r="AL1253" i="2" s="1"/>
  <c r="AL1254" i="2" a="1"/>
  <c r="AL1254" i="2" s="1"/>
  <c r="AL1255" i="2" a="1"/>
  <c r="AL1255" i="2" s="1"/>
  <c r="AL1256" i="2" a="1"/>
  <c r="AL1256" i="2" s="1"/>
  <c r="AL1257" i="2" a="1"/>
  <c r="AL1257" i="2" s="1"/>
  <c r="AL1258" i="2" a="1"/>
  <c r="AL1258" i="2" s="1"/>
  <c r="AL1259" i="2" a="1"/>
  <c r="AL1259" i="2"/>
  <c r="AL1260" i="2" a="1"/>
  <c r="AL1260" i="2" s="1"/>
  <c r="AL1261" i="2" a="1"/>
  <c r="AL1261" i="2" s="1"/>
  <c r="AL1262" i="2" a="1"/>
  <c r="AL1262" i="2" s="1"/>
  <c r="AL1263" i="2" a="1"/>
  <c r="AL1263" i="2"/>
  <c r="AL1264" i="2" a="1"/>
  <c r="AL1264" i="2"/>
  <c r="AL1265" i="2" a="1"/>
  <c r="AL1265" i="2" s="1"/>
  <c r="AL1266" i="2" a="1"/>
  <c r="AL1266" i="2" s="1"/>
  <c r="AL1267" i="2" a="1"/>
  <c r="AL1267" i="2" s="1"/>
  <c r="AL1268" i="2" a="1"/>
  <c r="AL1268" i="2" s="1"/>
  <c r="AL1269" i="2" a="1"/>
  <c r="AL1269" i="2" s="1"/>
  <c r="AL1270" i="2" a="1"/>
  <c r="AL1270" i="2" s="1"/>
  <c r="AL1271" i="2" a="1"/>
  <c r="AL1271" i="2" s="1"/>
  <c r="AL1272" i="2" a="1"/>
  <c r="AL1272" i="2"/>
  <c r="AL1273" i="2" a="1"/>
  <c r="AL1273" i="2" s="1"/>
  <c r="AL1274" i="2" a="1"/>
  <c r="AL1274" i="2" s="1"/>
  <c r="AL1275" i="2" a="1"/>
  <c r="AL1275" i="2" s="1"/>
  <c r="AL1276" i="2" a="1"/>
  <c r="AL1276" i="2" s="1"/>
  <c r="AL1277" i="2" a="1"/>
  <c r="AL1277" i="2"/>
  <c r="AL1278" i="2" a="1"/>
  <c r="AL1278" i="2" s="1"/>
  <c r="AL1279" i="2" a="1"/>
  <c r="AL1279" i="2" s="1"/>
  <c r="AL1280" i="2" a="1"/>
  <c r="AL1280" i="2"/>
  <c r="AL1281" i="2" a="1"/>
  <c r="AL1281" i="2"/>
  <c r="AL1282" i="2" a="1"/>
  <c r="AL1282" i="2" s="1"/>
  <c r="AL1283" i="2" a="1"/>
  <c r="AL1283" i="2" s="1"/>
  <c r="AL1284" i="2" a="1"/>
  <c r="AL1284" i="2"/>
  <c r="AL1285" i="2" a="1"/>
  <c r="AL1285" i="2"/>
  <c r="AL1286" i="2" a="1"/>
  <c r="AL1286" i="2"/>
  <c r="AL1287" i="2" a="1"/>
  <c r="AL1287" i="2" s="1"/>
  <c r="AL1288" i="2" a="1"/>
  <c r="AL1288" i="2" s="1"/>
  <c r="AL1289" i="2" a="1"/>
  <c r="AL1289" i="2"/>
  <c r="AL1290" i="2" a="1"/>
  <c r="AL1290" i="2"/>
  <c r="AL1291" i="2" a="1"/>
  <c r="AL1291" i="2" s="1"/>
  <c r="AL1292" i="2" a="1"/>
  <c r="AL1292" i="2"/>
  <c r="AL1293" i="2" a="1"/>
  <c r="AL1293" i="2"/>
  <c r="AL1294" i="2" a="1"/>
  <c r="AL1294" i="2" s="1"/>
  <c r="AL1295" i="2" a="1"/>
  <c r="AL1295" i="2"/>
  <c r="AL1296" i="2" a="1"/>
  <c r="AL1296" i="2" s="1"/>
  <c r="AL1297" i="2" a="1"/>
  <c r="AL1297" i="2"/>
  <c r="AL1298" i="2" a="1"/>
  <c r="AL1298" i="2" s="1"/>
  <c r="AL1299" i="2" a="1"/>
  <c r="AL1299" i="2"/>
  <c r="AL1300" i="2" a="1"/>
  <c r="AL1300" i="2" s="1"/>
  <c r="AL1301" i="2" a="1"/>
  <c r="AL1301" i="2"/>
  <c r="AL1302" i="2" a="1"/>
  <c r="AL1302" i="2"/>
  <c r="AL1303" i="2" a="1"/>
  <c r="AL1303" i="2"/>
  <c r="AL1304" i="2" a="1"/>
  <c r="AL1304" i="2"/>
  <c r="AL1305" i="2" a="1"/>
  <c r="AL1305" i="2"/>
  <c r="AL1306" i="2" a="1"/>
  <c r="AL1306" i="2" s="1"/>
  <c r="AL1307" i="2" a="1"/>
  <c r="AL1307" i="2" s="1"/>
  <c r="AL1308" i="2" a="1"/>
  <c r="AL1308" i="2" s="1"/>
  <c r="AL1309" i="2" a="1"/>
  <c r="AL1309" i="2" s="1"/>
  <c r="AL1310" i="2" a="1"/>
  <c r="AL1310" i="2"/>
  <c r="AL1311" i="2" a="1"/>
  <c r="AL1311" i="2"/>
  <c r="AL1312" i="2" a="1"/>
  <c r="AL1312" i="2" s="1"/>
  <c r="AL1313" i="2" a="1"/>
  <c r="AL1313" i="2"/>
  <c r="AL1314" i="2" a="1"/>
  <c r="AL1314" i="2"/>
  <c r="AL1315" i="2" a="1"/>
  <c r="AL1315" i="2" s="1"/>
  <c r="AL1316" i="2" a="1"/>
  <c r="AL1316" i="2"/>
  <c r="AL1317" i="2" a="1"/>
  <c r="AL1317" i="2" s="1"/>
  <c r="AL1318" i="2" a="1"/>
  <c r="AL1318" i="2" s="1"/>
  <c r="AL1319" i="2" a="1"/>
  <c r="AL1319" i="2" s="1"/>
  <c r="AL1320" i="2" a="1"/>
  <c r="AL1320" i="2"/>
  <c r="AL1321" i="2" a="1"/>
  <c r="AL1321" i="2"/>
  <c r="AL1322" i="2" a="1"/>
  <c r="AL1322" i="2" s="1"/>
  <c r="AL1323" i="2" a="1"/>
  <c r="AL1323" i="2"/>
  <c r="AL1324" i="2" a="1"/>
  <c r="AL1324" i="2" s="1"/>
  <c r="AL1325" i="2" a="1"/>
  <c r="AL1325" i="2" s="1"/>
  <c r="AL1326" i="2" a="1"/>
  <c r="AL1326" i="2"/>
  <c r="AL1327" i="2" a="1"/>
  <c r="AL1327" i="2"/>
  <c r="AL1328" i="2" a="1"/>
  <c r="AL1328" i="2"/>
  <c r="AL1329" i="2" a="1"/>
  <c r="AL1329" i="2" s="1"/>
  <c r="AL1330" i="2" a="1"/>
  <c r="AL1330" i="2" s="1"/>
  <c r="AL1331" i="2" a="1"/>
  <c r="AL1331" i="2" s="1"/>
  <c r="AL1332" i="2" a="1"/>
  <c r="AL1332" i="2"/>
  <c r="AL1333" i="2" a="1"/>
  <c r="AL1333" i="2" s="1"/>
  <c r="AL1334" i="2" a="1"/>
  <c r="AL1334" i="2"/>
  <c r="AL1335" i="2" a="1"/>
  <c r="AL1335" i="2"/>
  <c r="AL1336" i="2" a="1"/>
  <c r="AL1336" i="2" s="1"/>
  <c r="AL1337" i="2" a="1"/>
  <c r="AL1337" i="2" s="1"/>
  <c r="AL1338" i="2" a="1"/>
  <c r="AL1338" i="2" s="1"/>
  <c r="AL1339" i="2" a="1"/>
  <c r="AL1339" i="2"/>
  <c r="AL1340" i="2" a="1"/>
  <c r="AL1340" i="2" s="1"/>
  <c r="AL1341" i="2" a="1"/>
  <c r="AL1341" i="2" s="1"/>
  <c r="AL1342" i="2" a="1"/>
  <c r="AL1342" i="2" s="1"/>
  <c r="AL1343" i="2" a="1"/>
  <c r="AL1343" i="2" s="1"/>
  <c r="AL1344" i="2" a="1"/>
  <c r="AL1344" i="2"/>
  <c r="AL1345" i="2" a="1"/>
  <c r="AL1345" i="2" s="1"/>
  <c r="AL1346" i="2" a="1"/>
  <c r="AL1346" i="2"/>
  <c r="AL1347" i="2" a="1"/>
  <c r="AL1347" i="2"/>
  <c r="AL1348" i="2" a="1"/>
  <c r="AL1348" i="2" s="1"/>
  <c r="AL1349" i="2" a="1"/>
  <c r="AL1349" i="2" s="1"/>
  <c r="AL1350" i="2" a="1"/>
  <c r="AL1350" i="2"/>
  <c r="AL1351" i="2" a="1"/>
  <c r="AL1351" i="2" s="1"/>
  <c r="AL1352" i="2" a="1"/>
  <c r="AL1352" i="2" s="1"/>
  <c r="AL1353" i="2" a="1"/>
  <c r="AL1353" i="2"/>
  <c r="AL1354" i="2" a="1"/>
  <c r="AL1354" i="2" s="1"/>
  <c r="AL1355" i="2" a="1"/>
  <c r="AL1355" i="2" s="1"/>
  <c r="AL1356" i="2" a="1"/>
  <c r="AL1356" i="2"/>
  <c r="AL1357" i="2" a="1"/>
  <c r="AL1357" i="2"/>
  <c r="AL1358" i="2" a="1"/>
  <c r="AL1358" i="2"/>
  <c r="AL1359" i="2" a="1"/>
  <c r="AL1359" i="2" s="1"/>
  <c r="AL1360" i="2" a="1"/>
  <c r="AL1360" i="2" s="1"/>
  <c r="AL1361" i="2" a="1"/>
  <c r="AL1361" i="2" s="1"/>
  <c r="AL1362" i="2" a="1"/>
  <c r="AL1362" i="2"/>
  <c r="AL1363" i="2" a="1"/>
  <c r="AL1363" i="2" s="1"/>
  <c r="AL1364" i="2" a="1"/>
  <c r="AL1364" i="2"/>
  <c r="AL1365" i="2" a="1"/>
  <c r="AL1365" i="2"/>
  <c r="AL1366" i="2" a="1"/>
  <c r="AL1366" i="2" s="1"/>
  <c r="AL1367" i="2" a="1"/>
  <c r="AL1367" i="2" s="1"/>
  <c r="AL1368" i="2" a="1"/>
  <c r="AL1368" i="2" s="1"/>
  <c r="AL1369" i="2" a="1"/>
  <c r="AL1369" i="2"/>
  <c r="AL1370" i="2" a="1"/>
  <c r="AL1370" i="2" s="1"/>
  <c r="AL1371" i="2" a="1"/>
  <c r="AL1371" i="2"/>
  <c r="AL1372" i="2" a="1"/>
  <c r="AL1372" i="2" s="1"/>
  <c r="AL1373" i="2" a="1"/>
  <c r="AL1373" i="2" s="1"/>
  <c r="AL1374" i="2" a="1"/>
  <c r="AL1374" i="2" s="1"/>
  <c r="AL1375" i="2" a="1"/>
  <c r="AL1375" i="2"/>
  <c r="AL1376" i="2" a="1"/>
  <c r="AL1376" i="2"/>
  <c r="AL1377" i="2" a="1"/>
  <c r="AL1377" i="2"/>
  <c r="AL1378" i="2" a="1"/>
  <c r="AL1378" i="2" s="1"/>
  <c r="AL1379" i="2" a="1"/>
  <c r="AL1379" i="2" s="1"/>
  <c r="AL1380" i="2" a="1"/>
  <c r="AL1380" i="2" s="1"/>
  <c r="AL1381" i="2" a="1"/>
  <c r="AL1381" i="2" s="1"/>
  <c r="AL1382" i="2" a="1"/>
  <c r="AL1382" i="2" s="1"/>
  <c r="AL1383" i="2" a="1"/>
  <c r="AL1383" i="2" s="1"/>
  <c r="AL1384" i="2" a="1"/>
  <c r="AL1384" i="2" s="1"/>
  <c r="AL1385" i="2" a="1"/>
  <c r="AL1385" i="2" s="1"/>
  <c r="AL1386" i="2" a="1"/>
  <c r="AL1386" i="2"/>
  <c r="AL1387" i="2" a="1"/>
  <c r="AL1387" i="2"/>
  <c r="AL1388" i="2" a="1"/>
  <c r="AL1388" i="2" s="1"/>
  <c r="AL1389" i="2" a="1"/>
  <c r="AL1389" i="2"/>
  <c r="AL1390" i="2" a="1"/>
  <c r="AL1390" i="2" s="1"/>
  <c r="AL1391" i="2" a="1"/>
  <c r="AL1391" i="2" s="1"/>
  <c r="AL1392" i="2" a="1"/>
  <c r="AL1392" i="2"/>
  <c r="AL1393" i="2" a="1"/>
  <c r="AL1393" i="2"/>
  <c r="AL1394" i="2" a="1"/>
  <c r="AL1394" i="2"/>
  <c r="AL1395" i="2" a="1"/>
  <c r="AL1395" i="2" s="1"/>
  <c r="AL1396" i="2" a="1"/>
  <c r="AL1396" i="2" s="1"/>
  <c r="AL1397" i="2" a="1"/>
  <c r="AL1397" i="2" s="1"/>
  <c r="AL1398" i="2" a="1"/>
  <c r="AL1398" i="2" s="1"/>
  <c r="AL1399" i="2" a="1"/>
  <c r="AL1399" i="2" s="1"/>
  <c r="AL1400" i="2" a="1"/>
  <c r="AL1400" i="2"/>
  <c r="AL1401" i="2" a="1"/>
  <c r="AL1401" i="2"/>
  <c r="AL1402" i="2" a="1"/>
  <c r="AL1402" i="2" s="1"/>
  <c r="AL1403" i="2" a="1"/>
  <c r="AL1403" i="2" s="1"/>
  <c r="AL1404" i="2" a="1"/>
  <c r="AL1404" i="2"/>
  <c r="AL1405" i="2" a="1"/>
  <c r="AL1405" i="2" s="1"/>
  <c r="AL1406" i="2" a="1"/>
  <c r="AL1406" i="2" s="1"/>
  <c r="AL1407" i="2" a="1"/>
  <c r="AL1407" i="2"/>
  <c r="AL1408" i="2" a="1"/>
  <c r="AL1408" i="2" s="1"/>
  <c r="AL1409" i="2" a="1"/>
  <c r="AL1409" i="2" s="1"/>
  <c r="AL1410" i="2" a="1"/>
  <c r="AL1410" i="2" s="1"/>
  <c r="AL1411" i="2" a="1"/>
  <c r="AL1411" i="2" s="1"/>
  <c r="AL1412" i="2" a="1"/>
  <c r="AL1412" i="2" s="1"/>
  <c r="AL1413" i="2" a="1"/>
  <c r="AL1413" i="2" s="1"/>
  <c r="AL1414" i="2" a="1"/>
  <c r="AL1414" i="2" s="1"/>
  <c r="AL1415" i="2" a="1"/>
  <c r="AL1415" i="2" s="1"/>
  <c r="AL1416" i="2" a="1"/>
  <c r="AL1416" i="2"/>
  <c r="AL1417" i="2" a="1"/>
  <c r="AL1417" i="2" s="1"/>
  <c r="AL1418" i="2" a="1"/>
  <c r="AL1418" i="2" s="1"/>
  <c r="AL1419" i="2" a="1"/>
  <c r="AL1419" i="2" s="1"/>
  <c r="AL1420" i="2" a="1"/>
  <c r="AL1420" i="2" s="1"/>
  <c r="AL1421" i="2" a="1"/>
  <c r="AL1421" i="2" s="1"/>
  <c r="AL1422" i="2" a="1"/>
  <c r="AL1422" i="2" s="1"/>
  <c r="AL1423" i="2" a="1"/>
  <c r="AL1423" i="2"/>
  <c r="AL1424" i="2" a="1"/>
  <c r="AL1424" i="2" s="1"/>
  <c r="AL1425" i="2" a="1"/>
  <c r="AL1425" i="2" s="1"/>
  <c r="AL1426" i="2" a="1"/>
  <c r="AL1426" i="2" s="1"/>
  <c r="AL1427" i="2" a="1"/>
  <c r="AL1427" i="2" s="1"/>
  <c r="AL1428" i="2" a="1"/>
  <c r="AL1428" i="2" s="1"/>
  <c r="AL1429" i="2" a="1"/>
  <c r="AL1429" i="2"/>
  <c r="AL1430" i="2" a="1"/>
  <c r="AL1430" i="2" s="1"/>
  <c r="AL1431" i="2" a="1"/>
  <c r="AL1431" i="2"/>
  <c r="AL1432" i="2" a="1"/>
  <c r="AL1432" i="2" s="1"/>
  <c r="AL1433" i="2" a="1"/>
  <c r="AL1433" i="2" s="1"/>
  <c r="AL1434" i="2" a="1"/>
  <c r="AL1434" i="2" s="1"/>
  <c r="AL1435" i="2" a="1"/>
  <c r="AL1435" i="2"/>
  <c r="AL1436" i="2" a="1"/>
  <c r="AL1436" i="2" s="1"/>
  <c r="AL1437" i="2" a="1"/>
  <c r="AL1437" i="2" s="1"/>
  <c r="AL1438" i="2" a="1"/>
  <c r="AL1438" i="2" s="1"/>
  <c r="AL1439" i="2" a="1"/>
  <c r="AL1439" i="2" s="1"/>
  <c r="AL1440" i="2" a="1"/>
  <c r="AL1440" i="2"/>
  <c r="AL1441" i="2" a="1"/>
  <c r="AL1441" i="2" s="1"/>
  <c r="AL1442" i="2" a="1"/>
  <c r="AL1442" i="2" s="1"/>
  <c r="AL1443" i="2" a="1"/>
  <c r="AL1443" i="2" s="1"/>
  <c r="AL1444" i="2" a="1"/>
  <c r="AL1444" i="2" s="1"/>
  <c r="AL1445" i="2" a="1"/>
  <c r="AL1445" i="2" s="1"/>
  <c r="AL1446" i="2" a="1"/>
  <c r="AL1446" i="2" s="1"/>
  <c r="AL1447" i="2" a="1"/>
  <c r="AL1447" i="2"/>
  <c r="AL1448" i="2" a="1"/>
  <c r="AL1448" i="2" s="1"/>
  <c r="AL1449" i="2" a="1"/>
  <c r="AL1449" i="2" s="1"/>
  <c r="AL1450" i="2" a="1"/>
  <c r="AL1450" i="2" s="1"/>
  <c r="AL1451" i="2" a="1"/>
  <c r="AL1451" i="2" s="1"/>
  <c r="AL1452" i="2" a="1"/>
  <c r="AL1452" i="2"/>
  <c r="AL1453" i="2" a="1"/>
  <c r="AL1453" i="2" s="1"/>
  <c r="AL1454" i="2" a="1"/>
  <c r="AL1454" i="2" s="1"/>
  <c r="AL1455" i="2" a="1"/>
  <c r="AL1455" i="2"/>
  <c r="AL1456" i="2" a="1"/>
  <c r="AL1456" i="2" s="1"/>
  <c r="AL1457" i="2" a="1"/>
  <c r="AL1457" i="2" s="1"/>
  <c r="AL1458" i="2" a="1"/>
  <c r="AL1458" i="2" s="1"/>
  <c r="AL1459" i="2" a="1"/>
  <c r="AL1459" i="2"/>
  <c r="AL1460" i="2" a="1"/>
  <c r="AL1460" i="2" s="1"/>
  <c r="AL1461" i="2" a="1"/>
  <c r="AL1461" i="2" s="1"/>
  <c r="AL1462" i="2" a="1"/>
  <c r="AL1462" i="2" s="1"/>
  <c r="AL1463" i="2" a="1"/>
  <c r="AL1463" i="2" s="1"/>
  <c r="AL1464" i="2" a="1"/>
  <c r="AL1464" i="2"/>
  <c r="AL1465" i="2" a="1"/>
  <c r="AL1465" i="2" s="1"/>
  <c r="AL1466" i="2" a="1"/>
  <c r="AL1466" i="2" s="1"/>
  <c r="AL1467" i="2" a="1"/>
  <c r="AL1467" i="2" s="1"/>
  <c r="AL1468" i="2" a="1"/>
  <c r="AL1468" i="2" s="1"/>
  <c r="AL1469" i="2" a="1"/>
  <c r="AL1469" i="2" s="1"/>
  <c r="AL1470" i="2" a="1"/>
  <c r="AL1470" i="2"/>
  <c r="AL1471" i="2" a="1"/>
  <c r="AL1471" i="2"/>
  <c r="AK2" i="2" a="1"/>
  <c r="AK2" i="2" s="1"/>
  <c r="AK3" i="2" a="1"/>
  <c r="AK3" i="2" s="1"/>
  <c r="AK4" i="2" a="1"/>
  <c r="AK4" i="2" s="1"/>
  <c r="AK5" i="2" a="1"/>
  <c r="AK5" i="2"/>
  <c r="AK6" i="2" a="1"/>
  <c r="AK6" i="2" s="1"/>
  <c r="AK7" i="2" a="1"/>
  <c r="AK7" i="2"/>
  <c r="AK8" i="2" a="1"/>
  <c r="AK8" i="2"/>
  <c r="AK9" i="2" a="1"/>
  <c r="AK9" i="2" s="1"/>
  <c r="AK10" i="2" a="1"/>
  <c r="AK10" i="2" s="1"/>
  <c r="AK11" i="2" a="1"/>
  <c r="AK11" i="2" s="1"/>
  <c r="AK12" i="2" a="1"/>
  <c r="AK12" i="2" s="1"/>
  <c r="AK13" i="2" a="1"/>
  <c r="AK13" i="2" s="1"/>
  <c r="AK14" i="2" a="1"/>
  <c r="AK14" i="2" s="1"/>
  <c r="AK15" i="2" a="1"/>
  <c r="AK15" i="2" s="1"/>
  <c r="AK16" i="2" a="1"/>
  <c r="AK16" i="2"/>
  <c r="AK17" i="2" a="1"/>
  <c r="AK17" i="2" s="1"/>
  <c r="AK18" i="2" a="1"/>
  <c r="AK18" i="2" s="1"/>
  <c r="AK19" i="2" a="1"/>
  <c r="AK19" i="2" s="1"/>
  <c r="AK20" i="2" a="1"/>
  <c r="AK20" i="2" s="1"/>
  <c r="AK21" i="2" a="1"/>
  <c r="AK21" i="2" s="1"/>
  <c r="AK22" i="2" a="1"/>
  <c r="AK22" i="2" s="1"/>
  <c r="AK23" i="2" a="1"/>
  <c r="AK23" i="2" s="1"/>
  <c r="AK24" i="2" a="1"/>
  <c r="AK24" i="2" s="1"/>
  <c r="AK25" i="2" a="1"/>
  <c r="AK25" i="2"/>
  <c r="AK26" i="2" a="1"/>
  <c r="AK26" i="2"/>
  <c r="AK27" i="2" a="1"/>
  <c r="AK27" i="2" s="1"/>
  <c r="AK28" i="2" a="1"/>
  <c r="AK28" i="2" s="1"/>
  <c r="AK29" i="2" a="1"/>
  <c r="AK29" i="2" s="1"/>
  <c r="AK30" i="2" a="1"/>
  <c r="AK30" i="2" s="1"/>
  <c r="AK31" i="2" a="1"/>
  <c r="AK31" i="2"/>
  <c r="AK32" i="2" a="1"/>
  <c r="AK32" i="2" s="1"/>
  <c r="AK33" i="2" a="1"/>
  <c r="AK33" i="2" s="1"/>
  <c r="AK34" i="2" a="1"/>
  <c r="AK34" i="2"/>
  <c r="AK35" i="2" a="1"/>
  <c r="AK35" i="2"/>
  <c r="AK36" i="2" a="1"/>
  <c r="AK36" i="2" s="1"/>
  <c r="AK37" i="2" a="1"/>
  <c r="AK37" i="2" s="1"/>
  <c r="AK38" i="2" a="1"/>
  <c r="AK38" i="2" s="1"/>
  <c r="AK39" i="2" a="1"/>
  <c r="AK39" i="2" s="1"/>
  <c r="AK40" i="2" a="1"/>
  <c r="AK40" i="2" s="1"/>
  <c r="AK41" i="2" a="1"/>
  <c r="AK41" i="2" s="1"/>
  <c r="AK42" i="2" a="1"/>
  <c r="AK42" i="2" s="1"/>
  <c r="AK43" i="2" a="1"/>
  <c r="AK43" i="2" s="1"/>
  <c r="AK44" i="2" a="1"/>
  <c r="AK44" i="2" s="1"/>
  <c r="AK45" i="2" a="1"/>
  <c r="AK45" i="2" s="1"/>
  <c r="AK46" i="2" a="1"/>
  <c r="AK46" i="2" s="1"/>
  <c r="AK47" i="2" a="1"/>
  <c r="AK47" i="2" s="1"/>
  <c r="AK48" i="2" a="1"/>
  <c r="AK48" i="2"/>
  <c r="AK49" i="2" a="1"/>
  <c r="AK49" i="2" s="1"/>
  <c r="AK50" i="2" a="1"/>
  <c r="AK50" i="2"/>
  <c r="AK51" i="2" a="1"/>
  <c r="AK51" i="2" s="1"/>
  <c r="AK52" i="2" a="1"/>
  <c r="AK52" i="2" s="1"/>
  <c r="AK53" i="2" a="1"/>
  <c r="AK53" i="2" s="1"/>
  <c r="AK54" i="2" a="1"/>
  <c r="AK54" i="2" s="1"/>
  <c r="AK55" i="2" a="1"/>
  <c r="AK55" i="2" s="1"/>
  <c r="AK56" i="2" a="1"/>
  <c r="AK56" i="2" s="1"/>
  <c r="AK57" i="2" a="1"/>
  <c r="AK57" i="2" s="1"/>
  <c r="AK58" i="2" a="1"/>
  <c r="AK58" i="2"/>
  <c r="AK59" i="2" a="1"/>
  <c r="AK59" i="2"/>
  <c r="AK60" i="2" a="1"/>
  <c r="AK60" i="2"/>
  <c r="AK61" i="2" a="1"/>
  <c r="AK61" i="2" s="1"/>
  <c r="AK62" i="2" a="1"/>
  <c r="AK62" i="2" s="1"/>
  <c r="AK63" i="2" a="1"/>
  <c r="AK63" i="2" s="1"/>
  <c r="AK64" i="2" a="1"/>
  <c r="AK64" i="2" s="1"/>
  <c r="AK65" i="2" a="1"/>
  <c r="AK65" i="2" s="1"/>
  <c r="AK66" i="2" a="1"/>
  <c r="AK66" i="2"/>
  <c r="AK67" i="2" a="1"/>
  <c r="AK67" i="2" s="1"/>
  <c r="AK68" i="2" a="1"/>
  <c r="AK68" i="2" s="1"/>
  <c r="AK69" i="2" a="1"/>
  <c r="AK69" i="2" s="1"/>
  <c r="AK70" i="2" a="1"/>
  <c r="AK70" i="2" s="1"/>
  <c r="AK71" i="2" a="1"/>
  <c r="AK71" i="2" s="1"/>
  <c r="AK72" i="2" a="1"/>
  <c r="AK72" i="2" s="1"/>
  <c r="AK73" i="2" a="1"/>
  <c r="AK73" i="2"/>
  <c r="AK74" i="2" a="1"/>
  <c r="AK74" i="2"/>
  <c r="AK75" i="2" a="1"/>
  <c r="AK75" i="2" s="1"/>
  <c r="AK76" i="2" a="1"/>
  <c r="AK76" i="2" s="1"/>
  <c r="AK77" i="2" a="1"/>
  <c r="AK77" i="2" s="1"/>
  <c r="AK78" i="2" a="1"/>
  <c r="AK78" i="2" s="1"/>
  <c r="AK79" i="2" a="1"/>
  <c r="AK79" i="2" s="1"/>
  <c r="AK80" i="2" a="1"/>
  <c r="AK80" i="2" s="1"/>
  <c r="AK81" i="2" a="1"/>
  <c r="AK81" i="2" s="1"/>
  <c r="AK82" i="2" a="1"/>
  <c r="AK82" i="2"/>
  <c r="AK83" i="2" a="1"/>
  <c r="AK83" i="2" s="1"/>
  <c r="AK84" i="2" a="1"/>
  <c r="AK84" i="2" s="1"/>
  <c r="AK85" i="2" a="1"/>
  <c r="AK85" i="2" s="1"/>
  <c r="AK86" i="2" a="1"/>
  <c r="AK86" i="2"/>
  <c r="AK87" i="2" a="1"/>
  <c r="AK87" i="2" s="1"/>
  <c r="AK88" i="2" a="1"/>
  <c r="AK88" i="2" s="1"/>
  <c r="AK89" i="2" a="1"/>
  <c r="AK89" i="2" s="1"/>
  <c r="AK90" i="2" a="1"/>
  <c r="AK90" i="2"/>
  <c r="AK91" i="2" a="1"/>
  <c r="AK91" i="2" s="1"/>
  <c r="AK92" i="2" a="1"/>
  <c r="AK92" i="2" s="1"/>
  <c r="AK93" i="2" a="1"/>
  <c r="AK93" i="2" s="1"/>
  <c r="AK94" i="2" a="1"/>
  <c r="AK94" i="2"/>
  <c r="AK95" i="2" a="1"/>
  <c r="AK95" i="2" s="1"/>
  <c r="AK96" i="2" a="1"/>
  <c r="AK96" i="2"/>
  <c r="AK97" i="2" a="1"/>
  <c r="AK97" i="2" s="1"/>
  <c r="AK98" i="2" a="1"/>
  <c r="AK98" i="2"/>
  <c r="AK99" i="2" a="1"/>
  <c r="AK99" i="2" s="1"/>
  <c r="AK100" i="2" a="1"/>
  <c r="AK100" i="2"/>
  <c r="AK101" i="2" a="1"/>
  <c r="AK101" i="2" s="1"/>
  <c r="AK102" i="2" a="1"/>
  <c r="AK102" i="2" s="1"/>
  <c r="AK103" i="2" a="1"/>
  <c r="AK103" i="2" s="1"/>
  <c r="AK104" i="2" a="1"/>
  <c r="AK104" i="2" s="1"/>
  <c r="AK105" i="2" a="1"/>
  <c r="AK105" i="2" s="1"/>
  <c r="AK106" i="2" a="1"/>
  <c r="AK106" i="2" s="1"/>
  <c r="AK107" i="2" a="1"/>
  <c r="AK107" i="2" s="1"/>
  <c r="AK108" i="2" a="1"/>
  <c r="AK108" i="2" s="1"/>
  <c r="AK109" i="2" a="1"/>
  <c r="AK109" i="2"/>
  <c r="AK110" i="2" a="1"/>
  <c r="AK110" i="2" s="1"/>
  <c r="AK111" i="2" a="1"/>
  <c r="AK111" i="2" s="1"/>
  <c r="AK112" i="2" a="1"/>
  <c r="AK112" i="2" s="1"/>
  <c r="AK113" i="2" a="1"/>
  <c r="AK113" i="2" s="1"/>
  <c r="AK114" i="2" a="1"/>
  <c r="AK114" i="2" s="1"/>
  <c r="AK115" i="2" a="1"/>
  <c r="AK115" i="2" s="1"/>
  <c r="AK116" i="2" a="1"/>
  <c r="AK116" i="2" s="1"/>
  <c r="AK117" i="2" a="1"/>
  <c r="AK117" i="2" s="1"/>
  <c r="AK118" i="2" a="1"/>
  <c r="AK118" i="2" s="1"/>
  <c r="AK119" i="2" a="1"/>
  <c r="AK119" i="2"/>
  <c r="AK120" i="2" a="1"/>
  <c r="AK120" i="2" s="1"/>
  <c r="AK121" i="2" a="1"/>
  <c r="AK121" i="2"/>
  <c r="AK122" i="2" a="1"/>
  <c r="AK122" i="2" s="1"/>
  <c r="AK123" i="2" a="1"/>
  <c r="AK123" i="2" s="1"/>
  <c r="AK124" i="2" a="1"/>
  <c r="AK124" i="2" s="1"/>
  <c r="AK125" i="2" a="1"/>
  <c r="AK125" i="2"/>
  <c r="AK126" i="2" a="1"/>
  <c r="AK126" i="2" s="1"/>
  <c r="AK127" i="2" a="1"/>
  <c r="AK127" i="2" s="1"/>
  <c r="AK128" i="2" a="1"/>
  <c r="AK128" i="2"/>
  <c r="AK129" i="2" a="1"/>
  <c r="AK129" i="2" s="1"/>
  <c r="AK130" i="2" a="1"/>
  <c r="AK130" i="2"/>
  <c r="AK131" i="2" a="1"/>
  <c r="AK131" i="2" s="1"/>
  <c r="AK132" i="2" a="1"/>
  <c r="AK132" i="2"/>
  <c r="AK133" i="2" a="1"/>
  <c r="AK133" i="2" s="1"/>
  <c r="AK134" i="2" a="1"/>
  <c r="AK134" i="2" s="1"/>
  <c r="AK135" i="2" a="1"/>
  <c r="AK135" i="2" s="1"/>
  <c r="AK136" i="2" a="1"/>
  <c r="AK136" i="2"/>
  <c r="AK137" i="2" a="1"/>
  <c r="AK137" i="2" s="1"/>
  <c r="AK138" i="2" a="1"/>
  <c r="AK138" i="2"/>
  <c r="AK139" i="2" a="1"/>
  <c r="AK139" i="2" s="1"/>
  <c r="AK140" i="2" a="1"/>
  <c r="AK140" i="2"/>
  <c r="AK141" i="2" a="1"/>
  <c r="AK141" i="2" s="1"/>
  <c r="AK142" i="2" a="1"/>
  <c r="AK142" i="2" s="1"/>
  <c r="AK143" i="2" a="1"/>
  <c r="AK143" i="2" s="1"/>
  <c r="AK144" i="2" a="1"/>
  <c r="AK144" i="2" s="1"/>
  <c r="AK145" i="2" a="1"/>
  <c r="AK145" i="2"/>
  <c r="AK146" i="2" a="1"/>
  <c r="AK146" i="2"/>
  <c r="AK147" i="2" a="1"/>
  <c r="AK147" i="2" s="1"/>
  <c r="AK148" i="2" a="1"/>
  <c r="AK148" i="2" s="1"/>
  <c r="AK149" i="2" a="1"/>
  <c r="AK149" i="2" s="1"/>
  <c r="AK150" i="2" a="1"/>
  <c r="AK150" i="2" s="1"/>
  <c r="AK151" i="2" a="1"/>
  <c r="AK151" i="2"/>
  <c r="AK152" i="2" a="1"/>
  <c r="AK152" i="2" s="1"/>
  <c r="AK153" i="2" a="1"/>
  <c r="AK153" i="2" s="1"/>
  <c r="AK154" i="2" a="1"/>
  <c r="AK154" i="2"/>
  <c r="AK155" i="2" a="1"/>
  <c r="AK155" i="2" s="1"/>
  <c r="AK156" i="2" a="1"/>
  <c r="AK156" i="2"/>
  <c r="AK157" i="2" a="1"/>
  <c r="AK157" i="2" s="1"/>
  <c r="AK158" i="2" a="1"/>
  <c r="AK158" i="2" s="1"/>
  <c r="AK159" i="2" a="1"/>
  <c r="AK159" i="2" s="1"/>
  <c r="AK160" i="2" a="1"/>
  <c r="AK160" i="2"/>
  <c r="AK161" i="2" a="1"/>
  <c r="AK161" i="2"/>
  <c r="AK162" i="2" a="1"/>
  <c r="AK162" i="2" s="1"/>
  <c r="AK163" i="2" a="1"/>
  <c r="AK163" i="2" s="1"/>
  <c r="AK164" i="2" a="1"/>
  <c r="AK164" i="2"/>
  <c r="AK165" i="2" a="1"/>
  <c r="AK165" i="2" s="1"/>
  <c r="AK166" i="2" a="1"/>
  <c r="AK166" i="2" s="1"/>
  <c r="AK167" i="2" a="1"/>
  <c r="AK167" i="2" s="1"/>
  <c r="AK168" i="2" a="1"/>
  <c r="AK168" i="2"/>
  <c r="AK169" i="2" a="1"/>
  <c r="AK169" i="2" s="1"/>
  <c r="AK170" i="2" a="1"/>
  <c r="AK170" i="2" s="1"/>
  <c r="AK171" i="2" a="1"/>
  <c r="AK171" i="2" s="1"/>
  <c r="AK172" i="2" a="1"/>
  <c r="AK172" i="2"/>
  <c r="AK173" i="2" a="1"/>
  <c r="AK173" i="2"/>
  <c r="AK174" i="2" a="1"/>
  <c r="AK174" i="2" s="1"/>
  <c r="AK175" i="2" a="1"/>
  <c r="AK175" i="2" s="1"/>
  <c r="AK176" i="2" a="1"/>
  <c r="AK176" i="2" s="1"/>
  <c r="AK177" i="2" a="1"/>
  <c r="AK177" i="2" s="1"/>
  <c r="AK178" i="2" a="1"/>
  <c r="AK178" i="2" s="1"/>
  <c r="AK179" i="2" a="1"/>
  <c r="AK179" i="2" s="1"/>
  <c r="AK180" i="2" a="1"/>
  <c r="AK180" i="2" s="1"/>
  <c r="AK181" i="2" a="1"/>
  <c r="AK181" i="2" s="1"/>
  <c r="AK182" i="2" a="1"/>
  <c r="AK182" i="2" s="1"/>
  <c r="AK183" i="2" a="1"/>
  <c r="AK183" i="2" s="1"/>
  <c r="AK184" i="2" a="1"/>
  <c r="AK184" i="2" s="1"/>
  <c r="AK185" i="2" a="1"/>
  <c r="AK185" i="2"/>
  <c r="AK186" i="2" a="1"/>
  <c r="AK186" i="2" s="1"/>
  <c r="AK187" i="2" a="1"/>
  <c r="AK187" i="2" s="1"/>
  <c r="AK188" i="2" a="1"/>
  <c r="AK188" i="2" s="1"/>
  <c r="AK189" i="2" a="1"/>
  <c r="AK189" i="2" s="1"/>
  <c r="AK190" i="2" a="1"/>
  <c r="AK190" i="2" s="1"/>
  <c r="AK191" i="2" a="1"/>
  <c r="AK191" i="2"/>
  <c r="AK192" i="2" a="1"/>
  <c r="AK192" i="2" s="1"/>
  <c r="AK193" i="2" a="1"/>
  <c r="AK193" i="2"/>
  <c r="AK194" i="2" a="1"/>
  <c r="AK194" i="2" s="1"/>
  <c r="AK195" i="2" a="1"/>
  <c r="AK195" i="2" s="1"/>
  <c r="AK196" i="2" a="1"/>
  <c r="AK196" i="2" s="1"/>
  <c r="AK197" i="2" a="1"/>
  <c r="AK197" i="2" s="1"/>
  <c r="AK198" i="2" a="1"/>
  <c r="AK198" i="2"/>
  <c r="AK199" i="2" a="1"/>
  <c r="AK199" i="2" s="1"/>
  <c r="AK200" i="2" a="1"/>
  <c r="AK200" i="2"/>
  <c r="AK201" i="2" a="1"/>
  <c r="AK201" i="2" s="1"/>
  <c r="AK202" i="2" a="1"/>
  <c r="AK202" i="2"/>
  <c r="AK203" i="2" a="1"/>
  <c r="AK203" i="2" s="1"/>
  <c r="AK204" i="2" a="1"/>
  <c r="AK204" i="2" s="1"/>
  <c r="AK205" i="2" a="1"/>
  <c r="AK205" i="2" s="1"/>
  <c r="AK206" i="2" a="1"/>
  <c r="AK206" i="2"/>
  <c r="AK207" i="2" a="1"/>
  <c r="AK207" i="2" s="1"/>
  <c r="AK208" i="2" a="1"/>
  <c r="AK208" i="2" s="1"/>
  <c r="AK209" i="2" a="1"/>
  <c r="AK209" i="2" s="1"/>
  <c r="AK210" i="2" a="1"/>
  <c r="AK210" i="2" s="1"/>
  <c r="AK211" i="2" a="1"/>
  <c r="AK211" i="2" s="1"/>
  <c r="AK212" i="2" a="1"/>
  <c r="AK212" i="2" s="1"/>
  <c r="AK213" i="2" a="1"/>
  <c r="AK213" i="2" s="1"/>
  <c r="AK214" i="2" a="1"/>
  <c r="AK214" i="2" s="1"/>
  <c r="AK215" i="2" a="1"/>
  <c r="AK215" i="2" s="1"/>
  <c r="AK216" i="2" a="1"/>
  <c r="AK216" i="2" s="1"/>
  <c r="AK217" i="2" a="1"/>
  <c r="AK217" i="2" s="1"/>
  <c r="AK218" i="2" a="1"/>
  <c r="AK218" i="2" s="1"/>
  <c r="AK219" i="2" a="1"/>
  <c r="AK219" i="2" s="1"/>
  <c r="AK220" i="2" a="1"/>
  <c r="AK220" i="2" s="1"/>
  <c r="AK221" i="2" a="1"/>
  <c r="AK221" i="2"/>
  <c r="AK222" i="2" a="1"/>
  <c r="AK222" i="2" s="1"/>
  <c r="AK223" i="2" a="1"/>
  <c r="AK223" i="2" s="1"/>
  <c r="AK224" i="2" a="1"/>
  <c r="AK224" i="2" s="1"/>
  <c r="AK225" i="2" a="1"/>
  <c r="AK225" i="2" s="1"/>
  <c r="AK226" i="2" a="1"/>
  <c r="AK226" i="2" s="1"/>
  <c r="AK227" i="2" a="1"/>
  <c r="AK227" i="2" s="1"/>
  <c r="AK228" i="2" a="1"/>
  <c r="AK228" i="2"/>
  <c r="AK229" i="2" a="1"/>
  <c r="AK229" i="2" s="1"/>
  <c r="AK230" i="2" a="1"/>
  <c r="AK230" i="2" s="1"/>
  <c r="AK231" i="2" a="1"/>
  <c r="AK231" i="2" s="1"/>
  <c r="AK232" i="2" a="1"/>
  <c r="AK232" i="2" s="1"/>
  <c r="AK233" i="2" a="1"/>
  <c r="AK233" i="2" s="1"/>
  <c r="AK234" i="2" a="1"/>
  <c r="AK234" i="2"/>
  <c r="AK235" i="2" a="1"/>
  <c r="AK235" i="2" s="1"/>
  <c r="AK236" i="2" a="1"/>
  <c r="AK236" i="2"/>
  <c r="AK237" i="2" a="1"/>
  <c r="AK237" i="2" s="1"/>
  <c r="AK238" i="2" a="1"/>
  <c r="AK238" i="2" s="1"/>
  <c r="AK239" i="2" a="1"/>
  <c r="AK239" i="2" s="1"/>
  <c r="AK240" i="2" a="1"/>
  <c r="AK240" i="2" s="1"/>
  <c r="AK241" i="2" a="1"/>
  <c r="AK241" i="2" s="1"/>
  <c r="AK242" i="2" a="1"/>
  <c r="AK242" i="2" s="1"/>
  <c r="AK243" i="2" a="1"/>
  <c r="AK243" i="2" s="1"/>
  <c r="AK244" i="2" a="1"/>
  <c r="AK244" i="2" s="1"/>
  <c r="AK245" i="2" a="1"/>
  <c r="AK245" i="2"/>
  <c r="AK246" i="2" a="1"/>
  <c r="AK246" i="2" s="1"/>
  <c r="AK247" i="2" a="1"/>
  <c r="AK247" i="2" s="1"/>
  <c r="AK248" i="2" a="1"/>
  <c r="AK248" i="2"/>
  <c r="AK249" i="2" a="1"/>
  <c r="AK249" i="2" s="1"/>
  <c r="AK250" i="2" a="1"/>
  <c r="AK250" i="2" s="1"/>
  <c r="AK251" i="2" a="1"/>
  <c r="AK251" i="2" s="1"/>
  <c r="AK252" i="2" a="1"/>
  <c r="AK252" i="2" s="1"/>
  <c r="AK253" i="2" a="1"/>
  <c r="AK253" i="2" s="1"/>
  <c r="AK254" i="2" a="1"/>
  <c r="AK254" i="2" s="1"/>
  <c r="AK255" i="2" a="1"/>
  <c r="AK255" i="2" s="1"/>
  <c r="AK256" i="2" a="1"/>
  <c r="AK256" i="2" s="1"/>
  <c r="AK257" i="2" a="1"/>
  <c r="AK257" i="2" s="1"/>
  <c r="AK258" i="2" a="1"/>
  <c r="AK258" i="2" s="1"/>
  <c r="AK259" i="2" a="1"/>
  <c r="AK259" i="2" s="1"/>
  <c r="AK260" i="2" a="1"/>
  <c r="AK260" i="2"/>
  <c r="AK261" i="2" a="1"/>
  <c r="AK261" i="2" s="1"/>
  <c r="AK262" i="2" a="1"/>
  <c r="AK262" i="2" s="1"/>
  <c r="AK263" i="2" a="1"/>
  <c r="AK263" i="2"/>
  <c r="AK264" i="2" a="1"/>
  <c r="AK264" i="2" s="1"/>
  <c r="AK265" i="2" a="1"/>
  <c r="AK265" i="2" s="1"/>
  <c r="AK266" i="2" a="1"/>
  <c r="AK266" i="2" s="1"/>
  <c r="AK267" i="2" a="1"/>
  <c r="AK267" i="2" s="1"/>
  <c r="AK268" i="2" a="1"/>
  <c r="AK268" i="2" s="1"/>
  <c r="AK269" i="2" a="1"/>
  <c r="AK269" i="2"/>
  <c r="AK270" i="2" a="1"/>
  <c r="AK270" i="2"/>
  <c r="AK271" i="2" a="1"/>
  <c r="AK271" i="2" s="1"/>
  <c r="AK272" i="2" a="1"/>
  <c r="AK272" i="2" s="1"/>
  <c r="AK273" i="2" a="1"/>
  <c r="AK273" i="2" s="1"/>
  <c r="AK274" i="2" a="1"/>
  <c r="AK274" i="2"/>
  <c r="AK275" i="2" a="1"/>
  <c r="AK275" i="2" s="1"/>
  <c r="AK276" i="2" a="1"/>
  <c r="AK276" i="2"/>
  <c r="AK277" i="2" a="1"/>
  <c r="AK277" i="2" s="1"/>
  <c r="AK278" i="2" a="1"/>
  <c r="AK278" i="2" s="1"/>
  <c r="AK279" i="2" a="1"/>
  <c r="AK279" i="2" s="1"/>
  <c r="AK280" i="2" a="1"/>
  <c r="AK280" i="2"/>
  <c r="AK281" i="2" a="1"/>
  <c r="AK281" i="2" s="1"/>
  <c r="AK282" i="2" a="1"/>
  <c r="AK282" i="2"/>
  <c r="AK283" i="2" a="1"/>
  <c r="AK283" i="2" s="1"/>
  <c r="AK284" i="2" a="1"/>
  <c r="AK284" i="2" s="1"/>
  <c r="AK285" i="2" a="1"/>
  <c r="AK285" i="2" s="1"/>
  <c r="AK286" i="2" a="1"/>
  <c r="AK286" i="2" s="1"/>
  <c r="AK287" i="2" a="1"/>
  <c r="AK287" i="2"/>
  <c r="AK288" i="2" a="1"/>
  <c r="AK288" i="2" s="1"/>
  <c r="AK289" i="2" a="1"/>
  <c r="AK289" i="2"/>
  <c r="AK290" i="2" a="1"/>
  <c r="AK290" i="2" s="1"/>
  <c r="AK291" i="2" a="1"/>
  <c r="AK291" i="2" s="1"/>
  <c r="AK292" i="2" a="1"/>
  <c r="AK292" i="2" s="1"/>
  <c r="AK293" i="2" a="1"/>
  <c r="AK293" i="2" s="1"/>
  <c r="AK294" i="2" a="1"/>
  <c r="AK294" i="2" s="1"/>
  <c r="AK295" i="2" a="1"/>
  <c r="AK295" i="2" s="1"/>
  <c r="AK296" i="2" a="1"/>
  <c r="AK296" i="2"/>
  <c r="AK297" i="2" a="1"/>
  <c r="AK297" i="2" s="1"/>
  <c r="AK298" i="2" a="1"/>
  <c r="AK298" i="2" s="1"/>
  <c r="AK299" i="2" a="1"/>
  <c r="AK299" i="2" s="1"/>
  <c r="AK300" i="2" a="1"/>
  <c r="AK300" i="2" s="1"/>
  <c r="AK301" i="2" a="1"/>
  <c r="AK301" i="2" s="1"/>
  <c r="AK302" i="2" a="1"/>
  <c r="AK302" i="2"/>
  <c r="AK303" i="2" a="1"/>
  <c r="AK303" i="2" s="1"/>
  <c r="AK304" i="2" a="1"/>
  <c r="AK304" i="2"/>
  <c r="AK305" i="2" a="1"/>
  <c r="AK305" i="2"/>
  <c r="AK306" i="2" a="1"/>
  <c r="AK306" i="2" s="1"/>
  <c r="AK307" i="2" a="1"/>
  <c r="AK307" i="2"/>
  <c r="AK308" i="2" a="1"/>
  <c r="AK308" i="2" s="1"/>
  <c r="AK309" i="2" a="1"/>
  <c r="AK309" i="2" s="1"/>
  <c r="AK310" i="2" a="1"/>
  <c r="AK310" i="2" s="1"/>
  <c r="AK311" i="2" a="1"/>
  <c r="AK311" i="2" s="1"/>
  <c r="AK312" i="2" a="1"/>
  <c r="AK312" i="2"/>
  <c r="AK313" i="2" a="1"/>
  <c r="AK313" i="2" s="1"/>
  <c r="AK314" i="2" a="1"/>
  <c r="AK314" i="2" s="1"/>
  <c r="AK315" i="2" a="1"/>
  <c r="AK315" i="2" s="1"/>
  <c r="AK316" i="2" a="1"/>
  <c r="AK316" i="2" s="1"/>
  <c r="AK317" i="2" a="1"/>
  <c r="AK317" i="2" s="1"/>
  <c r="AK318" i="2" a="1"/>
  <c r="AK318" i="2" s="1"/>
  <c r="AK319" i="2" a="1"/>
  <c r="AK319" i="2"/>
  <c r="AK320" i="2" a="1"/>
  <c r="AK320" i="2" s="1"/>
  <c r="AK321" i="2" a="1"/>
  <c r="AK321" i="2" s="1"/>
  <c r="AK322" i="2" a="1"/>
  <c r="AK322" i="2" s="1"/>
  <c r="AK323" i="2" a="1"/>
  <c r="AK323" i="2" s="1"/>
  <c r="AK324" i="2" a="1"/>
  <c r="AK324" i="2" s="1"/>
  <c r="AK325" i="2" a="1"/>
  <c r="AK325" i="2" s="1"/>
  <c r="AK326" i="2" a="1"/>
  <c r="AK326" i="2" s="1"/>
  <c r="AK327" i="2" a="1"/>
  <c r="AK327" i="2" s="1"/>
  <c r="AK328" i="2" a="1"/>
  <c r="AK328" i="2" s="1"/>
  <c r="AK329" i="2" a="1"/>
  <c r="AK329" i="2"/>
  <c r="AK330" i="2" a="1"/>
  <c r="AK330" i="2" s="1"/>
  <c r="AK331" i="2" a="1"/>
  <c r="AK331" i="2"/>
  <c r="AK332" i="2" a="1"/>
  <c r="AK332" i="2" s="1"/>
  <c r="AK333" i="2" a="1"/>
  <c r="AK333" i="2" s="1"/>
  <c r="AK334" i="2" a="1"/>
  <c r="AK334" i="2" s="1"/>
  <c r="AK335" i="2" a="1"/>
  <c r="AK335" i="2" s="1"/>
  <c r="AK336" i="2" a="1"/>
  <c r="AK336" i="2" s="1"/>
  <c r="AK337" i="2" a="1"/>
  <c r="AK337" i="2" s="1"/>
  <c r="AK338" i="2" a="1"/>
  <c r="AK338" i="2" s="1"/>
  <c r="AK339" i="2" a="1"/>
  <c r="AK339" i="2" s="1"/>
  <c r="AK340" i="2" a="1"/>
  <c r="AK340" i="2"/>
  <c r="AK341" i="2" a="1"/>
  <c r="AK341" i="2" s="1"/>
  <c r="AK342" i="2" a="1"/>
  <c r="AK342" i="2" s="1"/>
  <c r="AK343" i="2" a="1"/>
  <c r="AK343" i="2" s="1"/>
  <c r="AK344" i="2" a="1"/>
  <c r="AK344" i="2" s="1"/>
  <c r="AK345" i="2" a="1"/>
  <c r="AK345" i="2" s="1"/>
  <c r="AK346" i="2" a="1"/>
  <c r="AK346" i="2" s="1"/>
  <c r="AK347" i="2" a="1"/>
  <c r="AK347" i="2" s="1"/>
  <c r="AK348" i="2" a="1"/>
  <c r="AK348" i="2" s="1"/>
  <c r="AK349" i="2" a="1"/>
  <c r="AK349" i="2" s="1"/>
  <c r="AK350" i="2" a="1"/>
  <c r="AK350" i="2"/>
  <c r="AK351" i="2" a="1"/>
  <c r="AK351" i="2" s="1"/>
  <c r="AK352" i="2" a="1"/>
  <c r="AK352" i="2" s="1"/>
  <c r="AK353" i="2" a="1"/>
  <c r="AK353" i="2" s="1"/>
  <c r="AK354" i="2" a="1"/>
  <c r="AK354" i="2" s="1"/>
  <c r="AK355" i="2" a="1"/>
  <c r="AK355" i="2" s="1"/>
  <c r="AK356" i="2" a="1"/>
  <c r="AK356" i="2"/>
  <c r="AK357" i="2" a="1"/>
  <c r="AK357" i="2" s="1"/>
  <c r="AK358" i="2" a="1"/>
  <c r="AK358" i="2"/>
  <c r="AK359" i="2" a="1"/>
  <c r="AK359" i="2" s="1"/>
  <c r="AK360" i="2" a="1"/>
  <c r="AK360" i="2" s="1"/>
  <c r="AK361" i="2" a="1"/>
  <c r="AK361" i="2" s="1"/>
  <c r="AK362" i="2" a="1"/>
  <c r="AK362" i="2" s="1"/>
  <c r="AK363" i="2" a="1"/>
  <c r="AK363" i="2" s="1"/>
  <c r="AK364" i="2" a="1"/>
  <c r="AK364" i="2" s="1"/>
  <c r="AK365" i="2" a="1"/>
  <c r="AK365" i="2" s="1"/>
  <c r="AK366" i="2" a="1"/>
  <c r="AK366" i="2" s="1"/>
  <c r="AK367" i="2" a="1"/>
  <c r="AK367" i="2" s="1"/>
  <c r="AK368" i="2" a="1"/>
  <c r="AK368" i="2"/>
  <c r="AK369" i="2" a="1"/>
  <c r="AK369" i="2" s="1"/>
  <c r="AK370" i="2" a="1"/>
  <c r="AK370" i="2" s="1"/>
  <c r="AK371" i="2" a="1"/>
  <c r="AK371" i="2"/>
  <c r="AK372" i="2" a="1"/>
  <c r="AK372" i="2" s="1"/>
  <c r="AK373" i="2" a="1"/>
  <c r="AK373" i="2" s="1"/>
  <c r="AK374" i="2" a="1"/>
  <c r="AK374" i="2"/>
  <c r="AK375" i="2" a="1"/>
  <c r="AK375" i="2" s="1"/>
  <c r="AK376" i="2" a="1"/>
  <c r="AK376" i="2"/>
  <c r="AK377" i="2" a="1"/>
  <c r="AK377" i="2" s="1"/>
  <c r="AK378" i="2" a="1"/>
  <c r="AK378" i="2"/>
  <c r="AK379" i="2" a="1"/>
  <c r="AK379" i="2"/>
  <c r="AK380" i="2" a="1"/>
  <c r="AK380" i="2" s="1"/>
  <c r="AK381" i="2" a="1"/>
  <c r="AK381" i="2" s="1"/>
  <c r="AK382" i="2" a="1"/>
  <c r="AK382" i="2" s="1"/>
  <c r="AK383" i="2" a="1"/>
  <c r="AK383" i="2" s="1"/>
  <c r="AK384" i="2" a="1"/>
  <c r="AK384" i="2" s="1"/>
  <c r="AK385" i="2" a="1"/>
  <c r="AK385" i="2" s="1"/>
  <c r="AK386" i="2" a="1"/>
  <c r="AK386" i="2" s="1"/>
  <c r="AK387" i="2" a="1"/>
  <c r="AK387" i="2" s="1"/>
  <c r="AK388" i="2" a="1"/>
  <c r="AK388" i="2"/>
  <c r="AK389" i="2" a="1"/>
  <c r="AK389" i="2" s="1"/>
  <c r="AK390" i="2" a="1"/>
  <c r="AK390" i="2" s="1"/>
  <c r="AK391" i="2" a="1"/>
  <c r="AK391" i="2" s="1"/>
  <c r="AK392" i="2" a="1"/>
  <c r="AK392" i="2" s="1"/>
  <c r="AK393" i="2" a="1"/>
  <c r="AK393" i="2" s="1"/>
  <c r="AK394" i="2" a="1"/>
  <c r="AK394" i="2" s="1"/>
  <c r="AK395" i="2" a="1"/>
  <c r="AK395" i="2" s="1"/>
  <c r="AK396" i="2" a="1"/>
  <c r="AK396" i="2" s="1"/>
  <c r="AK397" i="2" a="1"/>
  <c r="AK397" i="2" s="1"/>
  <c r="AK398" i="2" a="1"/>
  <c r="AK398" i="2" s="1"/>
  <c r="AK399" i="2" a="1"/>
  <c r="AK399" i="2" s="1"/>
  <c r="AK400" i="2" a="1"/>
  <c r="AK400" i="2"/>
  <c r="AK401" i="2" a="1"/>
  <c r="AK401" i="2" s="1"/>
  <c r="AK402" i="2" a="1"/>
  <c r="AK402" i="2" s="1"/>
  <c r="AK403" i="2" a="1"/>
  <c r="AK403" i="2" s="1"/>
  <c r="AK404" i="2" a="1"/>
  <c r="AK404" i="2" s="1"/>
  <c r="AK405" i="2" a="1"/>
  <c r="AK405" i="2" s="1"/>
  <c r="AK406" i="2" a="1"/>
  <c r="AK406" i="2" s="1"/>
  <c r="AK407" i="2" a="1"/>
  <c r="AK407" i="2" s="1"/>
  <c r="AK408" i="2" a="1"/>
  <c r="AK408" i="2" s="1"/>
  <c r="AK409" i="2" a="1"/>
  <c r="AK409" i="2"/>
  <c r="AK410" i="2" a="1"/>
  <c r="AK410" i="2" s="1"/>
  <c r="AK411" i="2" a="1"/>
  <c r="AK411" i="2" s="1"/>
  <c r="AK412" i="2" a="1"/>
  <c r="AK412" i="2" s="1"/>
  <c r="AK413" i="2" a="1"/>
  <c r="AK413" i="2" s="1"/>
  <c r="AK414" i="2" a="1"/>
  <c r="AK414" i="2" s="1"/>
  <c r="AK415" i="2" a="1"/>
  <c r="AK415" i="2"/>
  <c r="AK416" i="2" a="1"/>
  <c r="AK416" i="2"/>
  <c r="AK417" i="2" a="1"/>
  <c r="AK417" i="2" s="1"/>
  <c r="AK418" i="2" a="1"/>
  <c r="AK418" i="2" s="1"/>
  <c r="AK419" i="2" a="1"/>
  <c r="AK419" i="2" s="1"/>
  <c r="AK420" i="2" a="1"/>
  <c r="AK420" i="2" s="1"/>
  <c r="AK421" i="2" a="1"/>
  <c r="AK421" i="2" s="1"/>
  <c r="AK422" i="2" a="1"/>
  <c r="AK422" i="2" s="1"/>
  <c r="AK423" i="2" a="1"/>
  <c r="AK423" i="2" s="1"/>
  <c r="AK424" i="2" a="1"/>
  <c r="AK424" i="2" s="1"/>
  <c r="AK425" i="2" a="1"/>
  <c r="AK425" i="2"/>
  <c r="AK426" i="2" a="1"/>
  <c r="AK426" i="2"/>
  <c r="AK427" i="2" a="1"/>
  <c r="AK427" i="2" s="1"/>
  <c r="AK428" i="2" a="1"/>
  <c r="AK428" i="2" s="1"/>
  <c r="AK429" i="2" a="1"/>
  <c r="AK429" i="2" s="1"/>
  <c r="AK430" i="2" a="1"/>
  <c r="AK430" i="2"/>
  <c r="AK431" i="2" a="1"/>
  <c r="AK431" i="2" s="1"/>
  <c r="AK432" i="2" a="1"/>
  <c r="AK432" i="2" s="1"/>
  <c r="AK433" i="2" a="1"/>
  <c r="AK433" i="2" s="1"/>
  <c r="AK434" i="2" a="1"/>
  <c r="AK434" i="2" s="1"/>
  <c r="AK435" i="2" a="1"/>
  <c r="AK435" i="2" s="1"/>
  <c r="AK436" i="2" a="1"/>
  <c r="AK436" i="2"/>
  <c r="AK437" i="2" a="1"/>
  <c r="AK437" i="2" s="1"/>
  <c r="AK438" i="2" a="1"/>
  <c r="AK438" i="2" s="1"/>
  <c r="AK439" i="2" a="1"/>
  <c r="AK439" i="2" s="1"/>
  <c r="AK440" i="2" a="1"/>
  <c r="AK440" i="2" s="1"/>
  <c r="AK441" i="2" a="1"/>
  <c r="AK441" i="2" s="1"/>
  <c r="AK442" i="2" a="1"/>
  <c r="AK442" i="2"/>
  <c r="AK443" i="2" a="1"/>
  <c r="AK443" i="2" s="1"/>
  <c r="AK444" i="2" a="1"/>
  <c r="AK444" i="2" s="1"/>
  <c r="AK445" i="2" a="1"/>
  <c r="AK445" i="2" s="1"/>
  <c r="AK446" i="2" a="1"/>
  <c r="AK446" i="2" s="1"/>
  <c r="AK447" i="2" a="1"/>
  <c r="AK447" i="2" s="1"/>
  <c r="AK448" i="2" a="1"/>
  <c r="AK448" i="2" s="1"/>
  <c r="AK449" i="2" a="1"/>
  <c r="AK449" i="2" s="1"/>
  <c r="AK450" i="2" a="1"/>
  <c r="AK450" i="2" s="1"/>
  <c r="AK451" i="2" a="1"/>
  <c r="AK451" i="2" s="1"/>
  <c r="AK452" i="2" a="1"/>
  <c r="AK452" i="2" s="1"/>
  <c r="AK453" i="2" a="1"/>
  <c r="AK453" i="2" s="1"/>
  <c r="AK454" i="2" a="1"/>
  <c r="AK454" i="2" s="1"/>
  <c r="AK455" i="2" a="1"/>
  <c r="AK455" i="2" s="1"/>
  <c r="AK456" i="2" a="1"/>
  <c r="AK456" i="2" s="1"/>
  <c r="AK457" i="2" a="1"/>
  <c r="AK457" i="2" s="1"/>
  <c r="AK458" i="2" a="1"/>
  <c r="AK458" i="2" s="1"/>
  <c r="AK459" i="2" a="1"/>
  <c r="AK459" i="2" s="1"/>
  <c r="AK460" i="2" a="1"/>
  <c r="AK460" i="2" s="1"/>
  <c r="AK461" i="2" a="1"/>
  <c r="AK461" i="2" s="1"/>
  <c r="AK462" i="2" a="1"/>
  <c r="AK462" i="2" s="1"/>
  <c r="AK463" i="2" a="1"/>
  <c r="AK463" i="2" s="1"/>
  <c r="AK464" i="2" a="1"/>
  <c r="AK464" i="2" s="1"/>
  <c r="AK465" i="2" a="1"/>
  <c r="AK465" i="2" s="1"/>
  <c r="AK466" i="2" a="1"/>
  <c r="AK466" i="2" s="1"/>
  <c r="AK467" i="2" a="1"/>
  <c r="AK467" i="2" s="1"/>
  <c r="AK468" i="2" a="1"/>
  <c r="AK468" i="2"/>
  <c r="AK469" i="2" a="1"/>
  <c r="AK469" i="2" s="1"/>
  <c r="AK470" i="2" a="1"/>
  <c r="AK470" i="2" s="1"/>
  <c r="AK471" i="2" a="1"/>
  <c r="AK471" i="2" s="1"/>
  <c r="AK472" i="2" a="1"/>
  <c r="AK472" i="2" s="1"/>
  <c r="AK473" i="2" a="1"/>
  <c r="AK473" i="2" s="1"/>
  <c r="AK474" i="2" a="1"/>
  <c r="AK474" i="2"/>
  <c r="AK475" i="2" a="1"/>
  <c r="AK475" i="2" s="1"/>
  <c r="AK476" i="2" a="1"/>
  <c r="AK476" i="2" s="1"/>
  <c r="AK477" i="2" a="1"/>
  <c r="AK477" i="2" s="1"/>
  <c r="AK478" i="2" a="1"/>
  <c r="AK478" i="2" s="1"/>
  <c r="AK479" i="2" a="1"/>
  <c r="AK479" i="2" s="1"/>
  <c r="AK480" i="2" a="1"/>
  <c r="AK480" i="2" s="1"/>
  <c r="AK481" i="2" a="1"/>
  <c r="AK481" i="2" s="1"/>
  <c r="AK482" i="2" a="1"/>
  <c r="AK482" i="2" s="1"/>
  <c r="AK483" i="2" a="1"/>
  <c r="AK483" i="2" s="1"/>
  <c r="AK484" i="2" a="1"/>
  <c r="AK484" i="2" s="1"/>
  <c r="AK485" i="2" a="1"/>
  <c r="AK485" i="2"/>
  <c r="AK486" i="2" a="1"/>
  <c r="AK486" i="2" s="1"/>
  <c r="AK487" i="2" a="1"/>
  <c r="AK487" i="2"/>
  <c r="AK488" i="2" a="1"/>
  <c r="AK488" i="2" s="1"/>
  <c r="AK489" i="2" a="1"/>
  <c r="AK489" i="2" s="1"/>
  <c r="AK490" i="2" a="1"/>
  <c r="AK490" i="2"/>
  <c r="AK491" i="2" a="1"/>
  <c r="AK491" i="2" s="1"/>
  <c r="AK492" i="2" a="1"/>
  <c r="AK492" i="2"/>
  <c r="AK493" i="2" a="1"/>
  <c r="AK493" i="2" s="1"/>
  <c r="AK494" i="2" a="1"/>
  <c r="AK494" i="2" s="1"/>
  <c r="AK495" i="2" a="1"/>
  <c r="AK495" i="2" s="1"/>
  <c r="AK496" i="2" a="1"/>
  <c r="AK496" i="2" s="1"/>
  <c r="AK497" i="2" a="1"/>
  <c r="AK497" i="2"/>
  <c r="AK498" i="2" a="1"/>
  <c r="AK498" i="2" s="1"/>
  <c r="AK499" i="2" a="1"/>
  <c r="AK499" i="2"/>
  <c r="AK500" i="2" a="1"/>
  <c r="AK500" i="2" s="1"/>
  <c r="AK501" i="2" a="1"/>
  <c r="AK501" i="2" s="1"/>
  <c r="AK502" i="2" a="1"/>
  <c r="AK502" i="2" s="1"/>
  <c r="AK503" i="2" a="1"/>
  <c r="AK503" i="2" s="1"/>
  <c r="AK504" i="2" a="1"/>
  <c r="AK504" i="2" s="1"/>
  <c r="AK505" i="2" a="1"/>
  <c r="AK505" i="2"/>
  <c r="AK506" i="2" a="1"/>
  <c r="AK506" i="2" s="1"/>
  <c r="AK507" i="2" a="1"/>
  <c r="AK507" i="2" s="1"/>
  <c r="AK508" i="2" a="1"/>
  <c r="AK508" i="2" s="1"/>
  <c r="AK509" i="2" a="1"/>
  <c r="AK509" i="2" s="1"/>
  <c r="AK510" i="2" a="1"/>
  <c r="AK510" i="2" s="1"/>
  <c r="AK511" i="2" a="1"/>
  <c r="AK511" i="2" s="1"/>
  <c r="AK512" i="2" a="1"/>
  <c r="AK512" i="2" s="1"/>
  <c r="AK513" i="2" a="1"/>
  <c r="AK513" i="2"/>
  <c r="AK514" i="2" a="1"/>
  <c r="AK514" i="2" s="1"/>
  <c r="AK515" i="2" a="1"/>
  <c r="AK515" i="2" s="1"/>
  <c r="AK516" i="2" a="1"/>
  <c r="AK516" i="2" s="1"/>
  <c r="AK517" i="2" a="1"/>
  <c r="AK517" i="2" s="1"/>
  <c r="AK518" i="2" a="1"/>
  <c r="AK518" i="2" s="1"/>
  <c r="AK519" i="2" a="1"/>
  <c r="AK519" i="2"/>
  <c r="AK520" i="2" a="1"/>
  <c r="AK520" i="2" s="1"/>
  <c r="AK521" i="2" a="1"/>
  <c r="AK521" i="2" s="1"/>
  <c r="AK522" i="2" a="1"/>
  <c r="AK522" i="2"/>
  <c r="AK523" i="2" a="1"/>
  <c r="AK523" i="2" s="1"/>
  <c r="AK524" i="2" a="1"/>
  <c r="AK524" i="2" s="1"/>
  <c r="AK525" i="2" a="1"/>
  <c r="AK525" i="2" s="1"/>
  <c r="AK526" i="2" a="1"/>
  <c r="AK526" i="2" s="1"/>
  <c r="AK527" i="2" a="1"/>
  <c r="AK527" i="2" s="1"/>
  <c r="AK528" i="2" a="1"/>
  <c r="AK528" i="2"/>
  <c r="AK529" i="2" a="1"/>
  <c r="AK529" i="2" s="1"/>
  <c r="AK530" i="2" a="1"/>
  <c r="AK530" i="2" s="1"/>
  <c r="AK531" i="2" a="1"/>
  <c r="AK531" i="2"/>
  <c r="AK532" i="2" a="1"/>
  <c r="AK532" i="2" s="1"/>
  <c r="AK533" i="2" a="1"/>
  <c r="AK533" i="2" s="1"/>
  <c r="AK534" i="2" a="1"/>
  <c r="AK534" i="2" s="1"/>
  <c r="AK535" i="2" a="1"/>
  <c r="AK535" i="2" s="1"/>
  <c r="AK536" i="2" a="1"/>
  <c r="AK536" i="2" s="1"/>
  <c r="AK537" i="2" a="1"/>
  <c r="AK537" i="2" s="1"/>
  <c r="AK538" i="2" a="1"/>
  <c r="AK538" i="2" s="1"/>
  <c r="AK539" i="2" a="1"/>
  <c r="AK539" i="2" s="1"/>
  <c r="AK540" i="2" a="1"/>
  <c r="AK540" i="2" s="1"/>
  <c r="AK541" i="2" a="1"/>
  <c r="AK541" i="2" s="1"/>
  <c r="AK542" i="2" a="1"/>
  <c r="AK542" i="2" s="1"/>
  <c r="AK543" i="2" a="1"/>
  <c r="AK543" i="2"/>
  <c r="AK544" i="2" a="1"/>
  <c r="AK544" i="2" s="1"/>
  <c r="AK545" i="2" a="1"/>
  <c r="AK545" i="2" s="1"/>
  <c r="AK546" i="2" a="1"/>
  <c r="AK546" i="2"/>
  <c r="AK547" i="2" a="1"/>
  <c r="AK547" i="2" s="1"/>
  <c r="AK548" i="2" a="1"/>
  <c r="AK548" i="2" s="1"/>
  <c r="AK549" i="2" a="1"/>
  <c r="AK549" i="2" s="1"/>
  <c r="AK550" i="2" a="1"/>
  <c r="AK550" i="2" s="1"/>
  <c r="AK551" i="2" a="1"/>
  <c r="AK551" i="2" s="1"/>
  <c r="AK552" i="2" a="1"/>
  <c r="AK552" i="2" s="1"/>
  <c r="AK553" i="2" a="1"/>
  <c r="AK553" i="2" s="1"/>
  <c r="AK554" i="2" a="1"/>
  <c r="AK554" i="2" s="1"/>
  <c r="AK555" i="2" a="1"/>
  <c r="AK555" i="2" s="1"/>
  <c r="AK556" i="2" a="1"/>
  <c r="AK556" i="2" s="1"/>
  <c r="AK557" i="2" a="1"/>
  <c r="AK557" i="2" s="1"/>
  <c r="AK558" i="2" a="1"/>
  <c r="AK558" i="2" s="1"/>
  <c r="AK559" i="2" a="1"/>
  <c r="AK559" i="2" s="1"/>
  <c r="AK560" i="2" a="1"/>
  <c r="AK560" i="2" s="1"/>
  <c r="AK561" i="2" a="1"/>
  <c r="AK561" i="2" s="1"/>
  <c r="AK562" i="2" a="1"/>
  <c r="AK562" i="2" s="1"/>
  <c r="AK563" i="2" a="1"/>
  <c r="AK563" i="2" s="1"/>
  <c r="AK564" i="2" a="1"/>
  <c r="AK564" i="2"/>
  <c r="AK565" i="2" a="1"/>
  <c r="AK565" i="2" s="1"/>
  <c r="AK566" i="2" a="1"/>
  <c r="AK566" i="2" s="1"/>
  <c r="AK567" i="2" a="1"/>
  <c r="AK567" i="2"/>
  <c r="AK568" i="2" a="1"/>
  <c r="AK568" i="2" s="1"/>
  <c r="AK569" i="2" a="1"/>
  <c r="AK569" i="2" s="1"/>
  <c r="AK570" i="2" a="1"/>
  <c r="AK570" i="2" s="1"/>
  <c r="AK571" i="2" a="1"/>
  <c r="AK571" i="2"/>
  <c r="AK572" i="2" a="1"/>
  <c r="AK572" i="2" s="1"/>
  <c r="AK573" i="2" a="1"/>
  <c r="AK573" i="2"/>
  <c r="AK574" i="2" a="1"/>
  <c r="AK574" i="2" s="1"/>
  <c r="AK575" i="2" a="1"/>
  <c r="AK575" i="2" s="1"/>
  <c r="AK576" i="2" a="1"/>
  <c r="AK576" i="2" s="1"/>
  <c r="AK577" i="2" a="1"/>
  <c r="AK577" i="2" s="1"/>
  <c r="AK578" i="2" a="1"/>
  <c r="AK578" i="2" s="1"/>
  <c r="AK579" i="2" a="1"/>
  <c r="AK579" i="2" s="1"/>
  <c r="AK580" i="2" a="1"/>
  <c r="AK580" i="2" s="1"/>
  <c r="AK581" i="2" a="1"/>
  <c r="AK581" i="2" s="1"/>
  <c r="AK582" i="2" a="1"/>
  <c r="AK582" i="2" s="1"/>
  <c r="AK583" i="2" a="1"/>
  <c r="AK583" i="2" s="1"/>
  <c r="AK584" i="2" a="1"/>
  <c r="AK584" i="2" s="1"/>
  <c r="AK585" i="2" a="1"/>
  <c r="AK585" i="2" s="1"/>
  <c r="AK586" i="2" a="1"/>
  <c r="AK586" i="2" s="1"/>
  <c r="AK587" i="2" a="1"/>
  <c r="AK587" i="2" s="1"/>
  <c r="AK588" i="2" a="1"/>
  <c r="AK588" i="2" s="1"/>
  <c r="AK589" i="2" a="1"/>
  <c r="AK589" i="2" s="1"/>
  <c r="AK590" i="2" a="1"/>
  <c r="AK590" i="2" s="1"/>
  <c r="AK591" i="2" a="1"/>
  <c r="AK591" i="2"/>
  <c r="AK592" i="2" a="1"/>
  <c r="AK592" i="2" s="1"/>
  <c r="AK593" i="2" a="1"/>
  <c r="AK593" i="2"/>
  <c r="AK594" i="2" a="1"/>
  <c r="AK594" i="2" s="1"/>
  <c r="AK595" i="2" a="1"/>
  <c r="AK595" i="2" s="1"/>
  <c r="AK596" i="2" a="1"/>
  <c r="AK596" i="2" s="1"/>
  <c r="AK597" i="2" a="1"/>
  <c r="AK597" i="2" s="1"/>
  <c r="AK598" i="2" a="1"/>
  <c r="AK598" i="2" s="1"/>
  <c r="AK599" i="2" a="1"/>
  <c r="AK599" i="2" s="1"/>
  <c r="AK600" i="2" a="1"/>
  <c r="AK600" i="2" s="1"/>
  <c r="AK601" i="2" a="1"/>
  <c r="AK601" i="2"/>
  <c r="AK602" i="2" a="1"/>
  <c r="AK602" i="2" s="1"/>
  <c r="AK603" i="2" a="1"/>
  <c r="AK603" i="2"/>
  <c r="AK604" i="2" a="1"/>
  <c r="AK604" i="2" s="1"/>
  <c r="AK605" i="2" a="1"/>
  <c r="AK605" i="2" s="1"/>
  <c r="AK606" i="2" a="1"/>
  <c r="AK606" i="2" s="1"/>
  <c r="AK607" i="2" a="1"/>
  <c r="AK607" i="2" s="1"/>
  <c r="AK608" i="2" a="1"/>
  <c r="AK608" i="2" s="1"/>
  <c r="AK609" i="2" a="1"/>
  <c r="AK609" i="2" s="1"/>
  <c r="AK610" i="2" a="1"/>
  <c r="AK610" i="2" s="1"/>
  <c r="AK611" i="2" a="1"/>
  <c r="AK611" i="2" s="1"/>
  <c r="AK612" i="2" a="1"/>
  <c r="AK612" i="2" s="1"/>
  <c r="AK613" i="2" a="1"/>
  <c r="AK613" i="2" s="1"/>
  <c r="AK614" i="2" a="1"/>
  <c r="AK614" i="2" s="1"/>
  <c r="AK615" i="2" a="1"/>
  <c r="AK615" i="2"/>
  <c r="AK616" i="2" a="1"/>
  <c r="AK616" i="2" s="1"/>
  <c r="AK617" i="2" a="1"/>
  <c r="AK617" i="2" s="1"/>
  <c r="AK618" i="2" a="1"/>
  <c r="AK618" i="2" s="1"/>
  <c r="AK619" i="2" a="1"/>
  <c r="AK619" i="2" s="1"/>
  <c r="AK620" i="2" a="1"/>
  <c r="AK620" i="2" s="1"/>
  <c r="AK621" i="2" a="1"/>
  <c r="AK621" i="2" s="1"/>
  <c r="AK622" i="2" a="1"/>
  <c r="AK622" i="2" s="1"/>
  <c r="AK623" i="2" a="1"/>
  <c r="AK623" i="2" s="1"/>
  <c r="AK624" i="2" a="1"/>
  <c r="AK624" i="2" s="1"/>
  <c r="AK625" i="2" a="1"/>
  <c r="AK625" i="2" s="1"/>
  <c r="AK626" i="2" a="1"/>
  <c r="AK626" i="2" s="1"/>
  <c r="AK627" i="2" a="1"/>
  <c r="AK627" i="2" s="1"/>
  <c r="AK628" i="2" a="1"/>
  <c r="AK628" i="2" s="1"/>
  <c r="AK629" i="2" a="1"/>
  <c r="AK629" i="2" s="1"/>
  <c r="AK630" i="2" a="1"/>
  <c r="AK630" i="2"/>
  <c r="AK631" i="2" a="1"/>
  <c r="AK631" i="2" s="1"/>
  <c r="AK632" i="2" a="1"/>
  <c r="AK632" i="2" s="1"/>
  <c r="AK633" i="2" a="1"/>
  <c r="AK633" i="2"/>
  <c r="AK634" i="2" a="1"/>
  <c r="AK634" i="2" s="1"/>
  <c r="AK635" i="2" a="1"/>
  <c r="AK635" i="2" s="1"/>
  <c r="AK636" i="2" a="1"/>
  <c r="AK636" i="2" s="1"/>
  <c r="AK637" i="2" a="1"/>
  <c r="AK637" i="2" s="1"/>
  <c r="AK638" i="2" a="1"/>
  <c r="AK638" i="2" s="1"/>
  <c r="AK639" i="2" a="1"/>
  <c r="AK639" i="2"/>
  <c r="AK640" i="2" a="1"/>
  <c r="AK640" i="2" s="1"/>
  <c r="AK641" i="2" a="1"/>
  <c r="AK641" i="2" s="1"/>
  <c r="AK642" i="2" a="1"/>
  <c r="AK642" i="2" s="1"/>
  <c r="AK643" i="2" a="1"/>
  <c r="AK643" i="2" s="1"/>
  <c r="AK644" i="2" a="1"/>
  <c r="AK644" i="2" s="1"/>
  <c r="AK645" i="2" a="1"/>
  <c r="AK645" i="2" s="1"/>
  <c r="AK646" i="2" a="1"/>
  <c r="AK646" i="2" s="1"/>
  <c r="AK647" i="2" a="1"/>
  <c r="AK647" i="2" s="1"/>
  <c r="AK648" i="2" a="1"/>
  <c r="AK648" i="2" s="1"/>
  <c r="AK649" i="2" a="1"/>
  <c r="AK649" i="2" s="1"/>
  <c r="AK650" i="2" a="1"/>
  <c r="AK650" i="2" s="1"/>
  <c r="AK651" i="2" a="1"/>
  <c r="AK651" i="2"/>
  <c r="AK652" i="2" a="1"/>
  <c r="AK652" i="2" s="1"/>
  <c r="AK653" i="2" a="1"/>
  <c r="AK653" i="2" s="1"/>
  <c r="AK654" i="2" a="1"/>
  <c r="AK654" i="2"/>
  <c r="AK655" i="2" a="1"/>
  <c r="AK655" i="2" s="1"/>
  <c r="AK656" i="2" a="1"/>
  <c r="AK656" i="2" s="1"/>
  <c r="AK657" i="2" a="1"/>
  <c r="AK657" i="2"/>
  <c r="AK658" i="2" a="1"/>
  <c r="AK658" i="2" s="1"/>
  <c r="AK659" i="2" a="1"/>
  <c r="AK659" i="2" s="1"/>
  <c r="AK660" i="2" a="1"/>
  <c r="AK660" i="2" s="1"/>
  <c r="AK661" i="2" a="1"/>
  <c r="AK661" i="2" s="1"/>
  <c r="AK662" i="2" a="1"/>
  <c r="AK662" i="2" s="1"/>
  <c r="AK663" i="2" a="1"/>
  <c r="AK663" i="2"/>
  <c r="AK664" i="2" a="1"/>
  <c r="AK664" i="2" s="1"/>
  <c r="AK665" i="2" a="1"/>
  <c r="AK665" i="2" s="1"/>
  <c r="AK666" i="2" a="1"/>
  <c r="AK666" i="2"/>
  <c r="AK667" i="2" a="1"/>
  <c r="AK667" i="2" s="1"/>
  <c r="AK668" i="2" a="1"/>
  <c r="AK668" i="2" s="1"/>
  <c r="AK669" i="2" a="1"/>
  <c r="AK669" i="2"/>
  <c r="AK670" i="2" a="1"/>
  <c r="AK670" i="2" s="1"/>
  <c r="AK671" i="2" a="1"/>
  <c r="AK671" i="2" s="1"/>
  <c r="AK672" i="2" a="1"/>
  <c r="AK672" i="2"/>
  <c r="AK673" i="2" a="1"/>
  <c r="AK673" i="2" s="1"/>
  <c r="AK674" i="2" a="1"/>
  <c r="AK674" i="2" s="1"/>
  <c r="AK675" i="2" a="1"/>
  <c r="AK675" i="2"/>
  <c r="AK676" i="2" a="1"/>
  <c r="AK676" i="2" s="1"/>
  <c r="AK677" i="2" a="1"/>
  <c r="AK677" i="2" s="1"/>
  <c r="AK678" i="2" a="1"/>
  <c r="AK678" i="2" s="1"/>
  <c r="AK679" i="2" a="1"/>
  <c r="AK679" i="2" s="1"/>
  <c r="AK680" i="2" a="1"/>
  <c r="AK680" i="2" s="1"/>
  <c r="AK681" i="2" a="1"/>
  <c r="AK681" i="2"/>
  <c r="AK682" i="2" a="1"/>
  <c r="AK682" i="2"/>
  <c r="AK683" i="2" a="1"/>
  <c r="AK683" i="2" s="1"/>
  <c r="AK684" i="2" a="1"/>
  <c r="AK684" i="2" s="1"/>
  <c r="AK685" i="2" a="1"/>
  <c r="AK685" i="2" s="1"/>
  <c r="AK686" i="2" a="1"/>
  <c r="AK686" i="2"/>
  <c r="AK687" i="2" a="1"/>
  <c r="AK687" i="2" s="1"/>
  <c r="AK688" i="2" a="1"/>
  <c r="AK688" i="2" s="1"/>
  <c r="AK689" i="2" a="1"/>
  <c r="AK689" i="2" s="1"/>
  <c r="AK690" i="2" a="1"/>
  <c r="AK690" i="2" s="1"/>
  <c r="AK691" i="2" a="1"/>
  <c r="AK691" i="2" s="1"/>
  <c r="AK692" i="2" a="1"/>
  <c r="AK692" i="2"/>
  <c r="AK693" i="2" a="1"/>
  <c r="AK693" i="2" s="1"/>
  <c r="AK694" i="2" a="1"/>
  <c r="AK694" i="2" s="1"/>
  <c r="AK695" i="2" a="1"/>
  <c r="AK695" i="2" s="1"/>
  <c r="AK696" i="2" a="1"/>
  <c r="AK696" i="2"/>
  <c r="AK697" i="2" a="1"/>
  <c r="AK697" i="2" s="1"/>
  <c r="AK698" i="2" a="1"/>
  <c r="AK698" i="2" s="1"/>
  <c r="AK699" i="2" a="1"/>
  <c r="AK699" i="2" s="1"/>
  <c r="AK700" i="2" a="1"/>
  <c r="AK700" i="2" s="1"/>
  <c r="AK701" i="2" a="1"/>
  <c r="AK701" i="2"/>
  <c r="AK702" i="2" a="1"/>
  <c r="AK702" i="2" s="1"/>
  <c r="AK703" i="2" a="1"/>
  <c r="AK703" i="2" s="1"/>
  <c r="AK704" i="2" a="1"/>
  <c r="AK704" i="2" s="1"/>
  <c r="AK705" i="2" a="1"/>
  <c r="AK705" i="2" s="1"/>
  <c r="AK706" i="2" a="1"/>
  <c r="AK706" i="2" s="1"/>
  <c r="AK707" i="2" a="1"/>
  <c r="AK707" i="2" s="1"/>
  <c r="AK708" i="2" a="1"/>
  <c r="AK708" i="2" s="1"/>
  <c r="AK709" i="2" a="1"/>
  <c r="AK709" i="2" s="1"/>
  <c r="AK710" i="2" a="1"/>
  <c r="AK710" i="2"/>
  <c r="AK711" i="2" a="1"/>
  <c r="AK711" i="2" s="1"/>
  <c r="AK712" i="2" a="1"/>
  <c r="AK712" i="2"/>
  <c r="AK713" i="2" a="1"/>
  <c r="AK713" i="2" s="1"/>
  <c r="AK714" i="2" a="1"/>
  <c r="AK714" i="2" s="1"/>
  <c r="AK715" i="2" a="1"/>
  <c r="AK715" i="2" s="1"/>
  <c r="AK716" i="2" a="1"/>
  <c r="AK716" i="2" s="1"/>
  <c r="AK717" i="2" a="1"/>
  <c r="AK717" i="2" s="1"/>
  <c r="AK718" i="2" a="1"/>
  <c r="AK718" i="2" s="1"/>
  <c r="AK719" i="2" a="1"/>
  <c r="AK719" i="2" s="1"/>
  <c r="AK720" i="2" a="1"/>
  <c r="AK720" i="2"/>
  <c r="AK721" i="2" a="1"/>
  <c r="AK721" i="2" s="1"/>
  <c r="AK722" i="2" a="1"/>
  <c r="AK722" i="2" s="1"/>
  <c r="AK723" i="2" a="1"/>
  <c r="AK723" i="2"/>
  <c r="AK724" i="2" a="1"/>
  <c r="AK724" i="2" s="1"/>
  <c r="AK725" i="2" a="1"/>
  <c r="AK725" i="2"/>
  <c r="AK726" i="2" a="1"/>
  <c r="AK726" i="2" s="1"/>
  <c r="AK727" i="2" a="1"/>
  <c r="AK727" i="2" s="1"/>
  <c r="AK728" i="2" a="1"/>
  <c r="AK728" i="2"/>
  <c r="AK729" i="2" a="1"/>
  <c r="AK729" i="2"/>
  <c r="AK730" i="2" a="1"/>
  <c r="AK730" i="2" s="1"/>
  <c r="AK731" i="2" a="1"/>
  <c r="AK731" i="2" s="1"/>
  <c r="AK732" i="2" a="1"/>
  <c r="AK732" i="2" s="1"/>
  <c r="AK733" i="2" a="1"/>
  <c r="AK733" i="2" s="1"/>
  <c r="AK734" i="2" a="1"/>
  <c r="AK734" i="2" s="1"/>
  <c r="AK735" i="2" a="1"/>
  <c r="AK735" i="2" s="1"/>
  <c r="AK736" i="2" a="1"/>
  <c r="AK736" i="2" s="1"/>
  <c r="AK737" i="2" a="1"/>
  <c r="AK737" i="2" s="1"/>
  <c r="AK738" i="2" a="1"/>
  <c r="AK738" i="2" s="1"/>
  <c r="AK739" i="2" a="1"/>
  <c r="AK739" i="2" s="1"/>
  <c r="AK740" i="2" a="1"/>
  <c r="AK740" i="2" s="1"/>
  <c r="AK741" i="2" a="1"/>
  <c r="AK741" i="2" s="1"/>
  <c r="AK742" i="2" a="1"/>
  <c r="AK742" i="2" s="1"/>
  <c r="AK743" i="2" a="1"/>
  <c r="AK743" i="2" s="1"/>
  <c r="AK744" i="2" a="1"/>
  <c r="AK744" i="2"/>
  <c r="AK745" i="2" a="1"/>
  <c r="AK745" i="2" s="1"/>
  <c r="AK746" i="2" a="1"/>
  <c r="AK746" i="2" s="1"/>
  <c r="AK747" i="2" a="1"/>
  <c r="AK747" i="2" s="1"/>
  <c r="AK748" i="2" a="1"/>
  <c r="AK748" i="2" s="1"/>
  <c r="AK749" i="2" a="1"/>
  <c r="AK749" i="2" s="1"/>
  <c r="AK750" i="2" a="1"/>
  <c r="AK750" i="2" s="1"/>
  <c r="AK751" i="2" a="1"/>
  <c r="AK751" i="2" s="1"/>
  <c r="AK752" i="2" a="1"/>
  <c r="AK752" i="2"/>
  <c r="AK753" i="2" a="1"/>
  <c r="AK753" i="2"/>
  <c r="AK754" i="2" a="1"/>
  <c r="AK754" i="2" s="1"/>
  <c r="AK755" i="2" a="1"/>
  <c r="AK755" i="2" s="1"/>
  <c r="AK756" i="2" a="1"/>
  <c r="AK756" i="2" s="1"/>
  <c r="AK757" i="2" a="1"/>
  <c r="AK757" i="2" s="1"/>
  <c r="AK758" i="2" a="1"/>
  <c r="AK758" i="2" s="1"/>
  <c r="AK759" i="2" a="1"/>
  <c r="AK759" i="2" s="1"/>
  <c r="AK760" i="2" a="1"/>
  <c r="AK760" i="2" s="1"/>
  <c r="AK761" i="2" a="1"/>
  <c r="AK761" i="2" s="1"/>
  <c r="AK762" i="2" a="1"/>
  <c r="AK762" i="2"/>
  <c r="AK763" i="2" a="1"/>
  <c r="AK763" i="2" s="1"/>
  <c r="AK764" i="2" a="1"/>
  <c r="AK764" i="2" s="1"/>
  <c r="AK765" i="2" a="1"/>
  <c r="AK765" i="2" s="1"/>
  <c r="AK766" i="2" a="1"/>
  <c r="AK766" i="2"/>
  <c r="AK767" i="2" a="1"/>
  <c r="AK767" i="2" s="1"/>
  <c r="AK768" i="2" a="1"/>
  <c r="AK768" i="2" s="1"/>
  <c r="AK769" i="2" a="1"/>
  <c r="AK769" i="2" s="1"/>
  <c r="AK770" i="2" a="1"/>
  <c r="AK770" i="2" s="1"/>
  <c r="AK771" i="2" a="1"/>
  <c r="AK771" i="2" s="1"/>
  <c r="AK772" i="2" a="1"/>
  <c r="AK772" i="2" s="1"/>
  <c r="AK773" i="2" a="1"/>
  <c r="AK773" i="2" s="1"/>
  <c r="AK774" i="2" a="1"/>
  <c r="AK774" i="2" s="1"/>
  <c r="AK775" i="2" a="1"/>
  <c r="AK775" i="2" s="1"/>
  <c r="AK776" i="2" a="1"/>
  <c r="AK776" i="2" s="1"/>
  <c r="AK777" i="2" a="1"/>
  <c r="AK777" i="2" s="1"/>
  <c r="AK778" i="2" a="1"/>
  <c r="AK778" i="2" s="1"/>
  <c r="AK779" i="2" a="1"/>
  <c r="AK779" i="2" s="1"/>
  <c r="AK780" i="2" a="1"/>
  <c r="AK780" i="2" s="1"/>
  <c r="AK781" i="2" a="1"/>
  <c r="AK781" i="2" s="1"/>
  <c r="AK782" i="2" a="1"/>
  <c r="AK782" i="2" s="1"/>
  <c r="AK783" i="2" a="1"/>
  <c r="AK783" i="2" s="1"/>
  <c r="AK784" i="2" a="1"/>
  <c r="AK784" i="2" s="1"/>
  <c r="AK785" i="2" a="1"/>
  <c r="AK785" i="2" s="1"/>
  <c r="AK786" i="2" a="1"/>
  <c r="AK786" i="2"/>
  <c r="AK787" i="2" a="1"/>
  <c r="AK787" i="2" s="1"/>
  <c r="AK788" i="2" a="1"/>
  <c r="AK788" i="2" s="1"/>
  <c r="AK789" i="2" a="1"/>
  <c r="AK789" i="2" s="1"/>
  <c r="AK790" i="2" a="1"/>
  <c r="AK790" i="2" s="1"/>
  <c r="AK791" i="2" a="1"/>
  <c r="AK791" i="2" s="1"/>
  <c r="AK792" i="2" a="1"/>
  <c r="AK792" i="2" s="1"/>
  <c r="AK793" i="2" a="1"/>
  <c r="AK793" i="2" s="1"/>
  <c r="AK794" i="2" a="1"/>
  <c r="AK794" i="2" s="1"/>
  <c r="AK795" i="2" a="1"/>
  <c r="AK795" i="2" s="1"/>
  <c r="AK796" i="2" a="1"/>
  <c r="AK796" i="2" s="1"/>
  <c r="AK797" i="2" a="1"/>
  <c r="AK797" i="2"/>
  <c r="AK798" i="2" a="1"/>
  <c r="AK798" i="2"/>
  <c r="AK799" i="2" a="1"/>
  <c r="AK799" i="2" s="1"/>
  <c r="AK800" i="2" a="1"/>
  <c r="AK800" i="2" s="1"/>
  <c r="AK801" i="2" a="1"/>
  <c r="AK801" i="2" s="1"/>
  <c r="AK802" i="2" a="1"/>
  <c r="AK802" i="2" s="1"/>
  <c r="AK803" i="2" a="1"/>
  <c r="AK803" i="2" s="1"/>
  <c r="AK804" i="2" a="1"/>
  <c r="AK804" i="2"/>
  <c r="AK805" i="2" a="1"/>
  <c r="AK805" i="2" s="1"/>
  <c r="AK806" i="2" a="1"/>
  <c r="AK806" i="2"/>
  <c r="AK807" i="2" a="1"/>
  <c r="AK807" i="2" s="1"/>
  <c r="AK808" i="2" a="1"/>
  <c r="AK808" i="2" s="1"/>
  <c r="AK809" i="2" a="1"/>
  <c r="AK809" i="2"/>
  <c r="AK810" i="2" a="1"/>
  <c r="AK810" i="2" s="1"/>
  <c r="AK811" i="2" a="1"/>
  <c r="AK811" i="2" s="1"/>
  <c r="AK812" i="2" a="1"/>
  <c r="AK812" i="2" s="1"/>
  <c r="AK813" i="2" a="1"/>
  <c r="AK813" i="2" s="1"/>
  <c r="AK814" i="2" a="1"/>
  <c r="AK814" i="2" s="1"/>
  <c r="AK815" i="2" a="1"/>
  <c r="AK815" i="2"/>
  <c r="AK816" i="2" a="1"/>
  <c r="AK816" i="2"/>
  <c r="AK817" i="2" a="1"/>
  <c r="AK817" i="2" s="1"/>
  <c r="AK818" i="2" a="1"/>
  <c r="AK818" i="2" s="1"/>
  <c r="AK819" i="2" a="1"/>
  <c r="AK819" i="2" s="1"/>
  <c r="AK820" i="2" a="1"/>
  <c r="AK820" i="2"/>
  <c r="AK821" i="2" a="1"/>
  <c r="AK821" i="2" s="1"/>
  <c r="AK822" i="2" a="1"/>
  <c r="AK822" i="2" s="1"/>
  <c r="AK823" i="2" a="1"/>
  <c r="AK823" i="2" s="1"/>
  <c r="AK824" i="2" a="1"/>
  <c r="AK824" i="2" s="1"/>
  <c r="AK825" i="2" a="1"/>
  <c r="AK825" i="2" s="1"/>
  <c r="AK826" i="2" a="1"/>
  <c r="AK826" i="2" s="1"/>
  <c r="AK827" i="2" a="1"/>
  <c r="AK827" i="2" s="1"/>
  <c r="AK828" i="2" a="1"/>
  <c r="AK828" i="2" s="1"/>
  <c r="AK829" i="2" a="1"/>
  <c r="AK829" i="2" s="1"/>
  <c r="AK830" i="2" a="1"/>
  <c r="AK830" i="2" s="1"/>
  <c r="AK831" i="2" a="1"/>
  <c r="AK831" i="2" s="1"/>
  <c r="AK832" i="2" a="1"/>
  <c r="AK832" i="2" s="1"/>
  <c r="AK833" i="2" a="1"/>
  <c r="AK833" i="2"/>
  <c r="AK834" i="2" a="1"/>
  <c r="AK834" i="2" s="1"/>
  <c r="AK835" i="2" a="1"/>
  <c r="AK835" i="2" s="1"/>
  <c r="AK836" i="2" a="1"/>
  <c r="AK836" i="2"/>
  <c r="AK837" i="2" a="1"/>
  <c r="AK837" i="2" s="1"/>
  <c r="AK838" i="2" a="1"/>
  <c r="AK838" i="2" s="1"/>
  <c r="AK839" i="2" a="1"/>
  <c r="AK839" i="2" s="1"/>
  <c r="AK840" i="2" a="1"/>
  <c r="AK840" i="2" s="1"/>
  <c r="AK841" i="2" a="1"/>
  <c r="AK841" i="2" s="1"/>
  <c r="AK842" i="2" a="1"/>
  <c r="AK842" i="2" s="1"/>
  <c r="AK843" i="2" a="1"/>
  <c r="AK843" i="2" s="1"/>
  <c r="AK844" i="2" a="1"/>
  <c r="AK844" i="2" s="1"/>
  <c r="AK845" i="2" a="1"/>
  <c r="AK845" i="2"/>
  <c r="AK846" i="2" a="1"/>
  <c r="AK846" i="2" s="1"/>
  <c r="AK847" i="2" a="1"/>
  <c r="AK847" i="2" s="1"/>
  <c r="AK848" i="2" a="1"/>
  <c r="AK848" i="2" s="1"/>
  <c r="AK849" i="2" a="1"/>
  <c r="AK849" i="2" s="1"/>
  <c r="AK850" i="2" a="1"/>
  <c r="AK850" i="2" s="1"/>
  <c r="AK851" i="2" a="1"/>
  <c r="AK851" i="2"/>
  <c r="AK852" i="2" a="1"/>
  <c r="AK852" i="2"/>
  <c r="AK853" i="2" a="1"/>
  <c r="AK853" i="2" s="1"/>
  <c r="AK854" i="2" a="1"/>
  <c r="AK854" i="2"/>
  <c r="AK855" i="2" a="1"/>
  <c r="AK855" i="2" s="1"/>
  <c r="AK856" i="2" a="1"/>
  <c r="AK856" i="2" s="1"/>
  <c r="AK857" i="2" a="1"/>
  <c r="AK857" i="2" s="1"/>
  <c r="AK858" i="2" a="1"/>
  <c r="AK858" i="2" s="1"/>
  <c r="AK859" i="2" a="1"/>
  <c r="AK859" i="2" s="1"/>
  <c r="AK860" i="2" a="1"/>
  <c r="AK860" i="2" s="1"/>
  <c r="AK861" i="2" a="1"/>
  <c r="AK861" i="2" s="1"/>
  <c r="AK862" i="2" a="1"/>
  <c r="AK862" i="2" s="1"/>
  <c r="AK863" i="2" a="1"/>
  <c r="AK863" i="2" s="1"/>
  <c r="AK864" i="2" a="1"/>
  <c r="AK864" i="2" s="1"/>
  <c r="AK865" i="2" a="1"/>
  <c r="AK865" i="2" s="1"/>
  <c r="AK866" i="2" a="1"/>
  <c r="AK866" i="2" s="1"/>
  <c r="AK867" i="2" a="1"/>
  <c r="AK867" i="2" s="1"/>
  <c r="AK868" i="2" a="1"/>
  <c r="AK868" i="2" s="1"/>
  <c r="AK869" i="2" a="1"/>
  <c r="AK869" i="2"/>
  <c r="AK870" i="2" a="1"/>
  <c r="AK870" i="2" s="1"/>
  <c r="AK871" i="2" a="1"/>
  <c r="AK871" i="2" s="1"/>
  <c r="AK872" i="2" a="1"/>
  <c r="AK872" i="2"/>
  <c r="AK873" i="2" a="1"/>
  <c r="AK873" i="2" s="1"/>
  <c r="AK874" i="2" a="1"/>
  <c r="AK874" i="2" s="1"/>
  <c r="AK875" i="2" a="1"/>
  <c r="AK875" i="2" s="1"/>
  <c r="AK876" i="2" a="1"/>
  <c r="AK876" i="2"/>
  <c r="AK877" i="2" a="1"/>
  <c r="AK877" i="2" s="1"/>
  <c r="AK878" i="2" a="1"/>
  <c r="AK878" i="2" s="1"/>
  <c r="AK879" i="2" a="1"/>
  <c r="AK879" i="2" s="1"/>
  <c r="AK880" i="2" a="1"/>
  <c r="AK880" i="2"/>
  <c r="AK881" i="2" a="1"/>
  <c r="AK881" i="2" s="1"/>
  <c r="AK882" i="2" a="1"/>
  <c r="AK882" i="2" s="1"/>
  <c r="AK883" i="2" a="1"/>
  <c r="AK883" i="2" s="1"/>
  <c r="AK884" i="2" a="1"/>
  <c r="AK884" i="2" s="1"/>
  <c r="AK885" i="2" a="1"/>
  <c r="AK885" i="2" s="1"/>
  <c r="AK886" i="2" a="1"/>
  <c r="AK886" i="2" s="1"/>
  <c r="AK887" i="2" a="1"/>
  <c r="AK887" i="2" s="1"/>
  <c r="AK888" i="2" a="1"/>
  <c r="AK888" i="2" s="1"/>
  <c r="AK889" i="2" a="1"/>
  <c r="AK889" i="2" s="1"/>
  <c r="AK890" i="2" a="1"/>
  <c r="AK890" i="2" s="1"/>
  <c r="AK891" i="2" a="1"/>
  <c r="AK891" i="2" s="1"/>
  <c r="AK892" i="2" a="1"/>
  <c r="AK892" i="2"/>
  <c r="AK893" i="2" a="1"/>
  <c r="AK893" i="2" s="1"/>
  <c r="AK894" i="2" a="1"/>
  <c r="AK894" i="2" s="1"/>
  <c r="AK895" i="2" a="1"/>
  <c r="AK895" i="2" s="1"/>
  <c r="AK896" i="2" a="1"/>
  <c r="AK896" i="2" s="1"/>
  <c r="AK897" i="2" a="1"/>
  <c r="AK897" i="2" s="1"/>
  <c r="AK898" i="2" a="1"/>
  <c r="AK898" i="2" s="1"/>
  <c r="AK899" i="2" a="1"/>
  <c r="AK899" i="2" s="1"/>
  <c r="AK900" i="2" a="1"/>
  <c r="AK900" i="2" s="1"/>
  <c r="AK901" i="2" a="1"/>
  <c r="AK901" i="2" s="1"/>
  <c r="AK902" i="2" a="1"/>
  <c r="AK902" i="2" s="1"/>
  <c r="AK903" i="2" a="1"/>
  <c r="AK903" i="2" s="1"/>
  <c r="AK904" i="2" a="1"/>
  <c r="AK904" i="2" s="1"/>
  <c r="AK905" i="2" a="1"/>
  <c r="AK905" i="2" s="1"/>
  <c r="AK906" i="2" a="1"/>
  <c r="AK906" i="2" s="1"/>
  <c r="AK907" i="2" a="1"/>
  <c r="AK907" i="2" s="1"/>
  <c r="AK908" i="2" a="1"/>
  <c r="AK908" i="2"/>
  <c r="AK909" i="2" a="1"/>
  <c r="AK909" i="2" s="1"/>
  <c r="AK910" i="2" a="1"/>
  <c r="AK910" i="2" s="1"/>
  <c r="AK911" i="2" a="1"/>
  <c r="AK911" i="2" s="1"/>
  <c r="AK912" i="2" a="1"/>
  <c r="AK912" i="2" s="1"/>
  <c r="AK913" i="2" a="1"/>
  <c r="AK913" i="2" s="1"/>
  <c r="AK914" i="2" a="1"/>
  <c r="AK914" i="2" s="1"/>
  <c r="AK915" i="2" a="1"/>
  <c r="AK915" i="2" s="1"/>
  <c r="AK916" i="2" a="1"/>
  <c r="AK916" i="2" s="1"/>
  <c r="AK917" i="2" a="1"/>
  <c r="AK917" i="2"/>
  <c r="AK918" i="2" a="1"/>
  <c r="AK918" i="2" s="1"/>
  <c r="AK919" i="2" a="1"/>
  <c r="AK919" i="2" s="1"/>
  <c r="AK920" i="2" a="1"/>
  <c r="AK920" i="2" s="1"/>
  <c r="AK921" i="2" a="1"/>
  <c r="AK921" i="2" s="1"/>
  <c r="AK922" i="2" a="1"/>
  <c r="AK922" i="2" s="1"/>
  <c r="AK923" i="2" a="1"/>
  <c r="AK923" i="2"/>
  <c r="AK924" i="2" a="1"/>
  <c r="AK924" i="2" s="1"/>
  <c r="AK925" i="2" a="1"/>
  <c r="AK925" i="2" s="1"/>
  <c r="AK926" i="2" a="1"/>
  <c r="AK926" i="2" s="1"/>
  <c r="AK927" i="2" a="1"/>
  <c r="AK927" i="2" s="1"/>
  <c r="AK928" i="2" a="1"/>
  <c r="AK928" i="2" s="1"/>
  <c r="AK929" i="2" a="1"/>
  <c r="AK929" i="2" s="1"/>
  <c r="AK930" i="2" a="1"/>
  <c r="AK930" i="2"/>
  <c r="AK931" i="2" a="1"/>
  <c r="AK931" i="2" s="1"/>
  <c r="AK932" i="2" a="1"/>
  <c r="AK932" i="2" s="1"/>
  <c r="AK933" i="2" a="1"/>
  <c r="AK933" i="2" s="1"/>
  <c r="AK934" i="2" a="1"/>
  <c r="AK934" i="2" s="1"/>
  <c r="AK935" i="2" a="1"/>
  <c r="AK935" i="2"/>
  <c r="AK936" i="2" a="1"/>
  <c r="AK936" i="2" s="1"/>
  <c r="AK937" i="2" a="1"/>
  <c r="AK937" i="2" s="1"/>
  <c r="AK938" i="2" a="1"/>
  <c r="AK938" i="2" s="1"/>
  <c r="AK939" i="2" a="1"/>
  <c r="AK939" i="2" s="1"/>
  <c r="AK940" i="2" a="1"/>
  <c r="AK940" i="2" s="1"/>
  <c r="AK941" i="2" a="1"/>
  <c r="AK941" i="2" s="1"/>
  <c r="AK942" i="2" a="1"/>
  <c r="AK942" i="2" s="1"/>
  <c r="AK943" i="2" a="1"/>
  <c r="AK943" i="2" s="1"/>
  <c r="AK944" i="2" a="1"/>
  <c r="AK944" i="2" s="1"/>
  <c r="AK945" i="2" a="1"/>
  <c r="AK945" i="2" s="1"/>
  <c r="AK946" i="2" a="1"/>
  <c r="AK946" i="2" s="1"/>
  <c r="AK947" i="2" a="1"/>
  <c r="AK947" i="2" s="1"/>
  <c r="AK948" i="2" a="1"/>
  <c r="AK948" i="2" s="1"/>
  <c r="AK949" i="2" a="1"/>
  <c r="AK949" i="2" s="1"/>
  <c r="AK950" i="2" a="1"/>
  <c r="AK950" i="2" s="1"/>
  <c r="AK951" i="2" a="1"/>
  <c r="AK951" i="2" s="1"/>
  <c r="AK952" i="2" a="1"/>
  <c r="AK952" i="2"/>
  <c r="AK953" i="2" a="1"/>
  <c r="AK953" i="2" s="1"/>
  <c r="AK954" i="2" a="1"/>
  <c r="AK954" i="2" s="1"/>
  <c r="AK955" i="2" a="1"/>
  <c r="AK955" i="2" s="1"/>
  <c r="AK956" i="2" a="1"/>
  <c r="AK956" i="2" s="1"/>
  <c r="AK957" i="2" a="1"/>
  <c r="AK957" i="2" s="1"/>
  <c r="AK958" i="2" a="1"/>
  <c r="AK958" i="2"/>
  <c r="AK959" i="2" a="1"/>
  <c r="AK959" i="2"/>
  <c r="AK960" i="2" a="1"/>
  <c r="AK960" i="2" s="1"/>
  <c r="AK961" i="2" a="1"/>
  <c r="AK961" i="2" s="1"/>
  <c r="AK962" i="2" a="1"/>
  <c r="AK962" i="2" s="1"/>
  <c r="AK963" i="2" a="1"/>
  <c r="AK963" i="2" s="1"/>
  <c r="AK964" i="2" a="1"/>
  <c r="AK964" i="2" s="1"/>
  <c r="AK965" i="2" a="1"/>
  <c r="AK965" i="2"/>
  <c r="AK966" i="2" a="1"/>
  <c r="AK966" i="2"/>
  <c r="AK967" i="2" a="1"/>
  <c r="AK967" i="2" s="1"/>
  <c r="AK968" i="2" a="1"/>
  <c r="AK968" i="2"/>
  <c r="AK969" i="2" a="1"/>
  <c r="AK969" i="2" s="1"/>
  <c r="AK970" i="2" a="1"/>
  <c r="AK970" i="2" s="1"/>
  <c r="AK971" i="2" a="1"/>
  <c r="AK971" i="2"/>
  <c r="AK972" i="2" a="1"/>
  <c r="AK972" i="2" s="1"/>
  <c r="AK973" i="2" a="1"/>
  <c r="AK973" i="2" s="1"/>
  <c r="AK974" i="2" a="1"/>
  <c r="AK974" i="2"/>
  <c r="AK975" i="2" a="1"/>
  <c r="AK975" i="2" s="1"/>
  <c r="AK976" i="2" a="1"/>
  <c r="AK976" i="2"/>
  <c r="AK977" i="2" a="1"/>
  <c r="AK977" i="2" s="1"/>
  <c r="AK978" i="2" a="1"/>
  <c r="AK978" i="2" s="1"/>
  <c r="AK979" i="2" a="1"/>
  <c r="AK979" i="2" s="1"/>
  <c r="AK980" i="2" a="1"/>
  <c r="AK980" i="2" s="1"/>
  <c r="AK981" i="2" a="1"/>
  <c r="AK981" i="2" s="1"/>
  <c r="AK982" i="2" a="1"/>
  <c r="AK982" i="2" s="1"/>
  <c r="AK983" i="2" a="1"/>
  <c r="AK983" i="2"/>
  <c r="AK984" i="2" a="1"/>
  <c r="AK984" i="2" s="1"/>
  <c r="AK985" i="2" a="1"/>
  <c r="AK985" i="2"/>
  <c r="AK986" i="2" a="1"/>
  <c r="AK986" i="2" s="1"/>
  <c r="AK987" i="2" a="1"/>
  <c r="AK987" i="2" s="1"/>
  <c r="AK988" i="2" a="1"/>
  <c r="AK988" i="2" s="1"/>
  <c r="AK989" i="2" a="1"/>
  <c r="AK989" i="2"/>
  <c r="AK990" i="2" a="1"/>
  <c r="AK990" i="2" s="1"/>
  <c r="AK991" i="2" a="1"/>
  <c r="AK991" i="2" s="1"/>
  <c r="AK992" i="2" a="1"/>
  <c r="AK992" i="2" s="1"/>
  <c r="AK993" i="2" a="1"/>
  <c r="AK993" i="2" s="1"/>
  <c r="AK994" i="2" a="1"/>
  <c r="AK994" i="2" s="1"/>
  <c r="AK995" i="2" a="1"/>
  <c r="AK995" i="2" s="1"/>
  <c r="AK996" i="2" a="1"/>
  <c r="AK996" i="2"/>
  <c r="AK997" i="2" a="1"/>
  <c r="AK997" i="2"/>
  <c r="AK998" i="2" a="1"/>
  <c r="AK998" i="2" s="1"/>
  <c r="AK999" i="2" a="1"/>
  <c r="AK999" i="2" s="1"/>
  <c r="AK1000" i="2" a="1"/>
  <c r="AK1000" i="2" s="1"/>
  <c r="AK1001" i="2" a="1"/>
  <c r="AK1001" i="2"/>
  <c r="AK1002" i="2" a="1"/>
  <c r="AK1002" i="2" s="1"/>
  <c r="AK1003" i="2" a="1"/>
  <c r="AK1003" i="2" s="1"/>
  <c r="AK1004" i="2" a="1"/>
  <c r="AK1004" i="2"/>
  <c r="AK1005" i="2" a="1"/>
  <c r="AK1005" i="2" s="1"/>
  <c r="AK1006" i="2" a="1"/>
  <c r="AK1006" i="2" s="1"/>
  <c r="AK1007" i="2" a="1"/>
  <c r="AK1007" i="2" s="1"/>
  <c r="AK1008" i="2" a="1"/>
  <c r="AK1008" i="2" s="1"/>
  <c r="AK1009" i="2" a="1"/>
  <c r="AK1009" i="2" s="1"/>
  <c r="AK1010" i="2" a="1"/>
  <c r="AK1010" i="2" s="1"/>
  <c r="AK1011" i="2" a="1"/>
  <c r="AK1011" i="2" s="1"/>
  <c r="AK1012" i="2" a="1"/>
  <c r="AK1012" i="2"/>
  <c r="AK1013" i="2" a="1"/>
  <c r="AK1013" i="2" s="1"/>
  <c r="AK1014" i="2" a="1"/>
  <c r="AK1014" i="2"/>
  <c r="AK1015" i="2" a="1"/>
  <c r="AK1015" i="2" s="1"/>
  <c r="AK1016" i="2" a="1"/>
  <c r="AK1016" i="2" s="1"/>
  <c r="AK1017" i="2" a="1"/>
  <c r="AK1017" i="2" s="1"/>
  <c r="AK1018" i="2" a="1"/>
  <c r="AK1018" i="2" s="1"/>
  <c r="AK1019" i="2" a="1"/>
  <c r="AK1019" i="2" s="1"/>
  <c r="AK1020" i="2" a="1"/>
  <c r="AK1020" i="2" s="1"/>
  <c r="AK1021" i="2" a="1"/>
  <c r="AK1021" i="2" s="1"/>
  <c r="AK1022" i="2" a="1"/>
  <c r="AK1022" i="2" s="1"/>
  <c r="AK1023" i="2" a="1"/>
  <c r="AK1023" i="2" s="1"/>
  <c r="AK1024" i="2" a="1"/>
  <c r="AK1024" i="2"/>
  <c r="AK1025" i="2" a="1"/>
  <c r="AK1025" i="2" s="1"/>
  <c r="AK1026" i="2" a="1"/>
  <c r="AK1026" i="2" s="1"/>
  <c r="AK1027" i="2" a="1"/>
  <c r="AK1027" i="2" s="1"/>
  <c r="AK1028" i="2" a="1"/>
  <c r="AK1028" i="2"/>
  <c r="AK1029" i="2" a="1"/>
  <c r="AK1029" i="2" s="1"/>
  <c r="AK1030" i="2" a="1"/>
  <c r="AK1030" i="2" s="1"/>
  <c r="AK1031" i="2" a="1"/>
  <c r="AK1031" i="2" s="1"/>
  <c r="AK1032" i="2" a="1"/>
  <c r="AK1032" i="2" s="1"/>
  <c r="AK1033" i="2" a="1"/>
  <c r="AK1033" i="2" s="1"/>
  <c r="AK1034" i="2" a="1"/>
  <c r="AK1034" i="2" s="1"/>
  <c r="AK1035" i="2" a="1"/>
  <c r="AK1035" i="2" s="1"/>
  <c r="AK1036" i="2" a="1"/>
  <c r="AK1036" i="2" s="1"/>
  <c r="AK1037" i="2" a="1"/>
  <c r="AK1037" i="2" s="1"/>
  <c r="AK1038" i="2" a="1"/>
  <c r="AK1038" i="2"/>
  <c r="AK1039" i="2" a="1"/>
  <c r="AK1039" i="2" s="1"/>
  <c r="AK1040" i="2" a="1"/>
  <c r="AK1040" i="2" s="1"/>
  <c r="AK1041" i="2" a="1"/>
  <c r="AK1041" i="2" s="1"/>
  <c r="AK1042" i="2" a="1"/>
  <c r="AK1042" i="2"/>
  <c r="AK1043" i="2" a="1"/>
  <c r="AK1043" i="2"/>
  <c r="AK1044" i="2" a="1"/>
  <c r="AK1044" i="2" s="1"/>
  <c r="AK1045" i="2" a="1"/>
  <c r="AK1045" i="2" s="1"/>
  <c r="AK1046" i="2" a="1"/>
  <c r="AK1046" i="2" s="1"/>
  <c r="AK1047" i="2" a="1"/>
  <c r="AK1047" i="2" s="1"/>
  <c r="AK1048" i="2" a="1"/>
  <c r="AK1048" i="2" s="1"/>
  <c r="AK1049" i="2" a="1"/>
  <c r="AK1049" i="2" s="1"/>
  <c r="AK1050" i="2" a="1"/>
  <c r="AK1050" i="2" s="1"/>
  <c r="AK1051" i="2" a="1"/>
  <c r="AK1051" i="2" s="1"/>
  <c r="AK1052" i="2" a="1"/>
  <c r="AK1052" i="2" s="1"/>
  <c r="AK1053" i="2" a="1"/>
  <c r="AK1053" i="2" s="1"/>
  <c r="AK1054" i="2" a="1"/>
  <c r="AK1054" i="2" s="1"/>
  <c r="AK1055" i="2" a="1"/>
  <c r="AK1055" i="2"/>
  <c r="AK1056" i="2" a="1"/>
  <c r="AK1056" i="2" s="1"/>
  <c r="AK1057" i="2" a="1"/>
  <c r="AK1057" i="2" s="1"/>
  <c r="AK1058" i="2" a="1"/>
  <c r="AK1058" i="2" s="1"/>
  <c r="AK1059" i="2" a="1"/>
  <c r="AK1059" i="2" s="1"/>
  <c r="AK1060" i="2" a="1"/>
  <c r="AK1060" i="2" s="1"/>
  <c r="AK1061" i="2" a="1"/>
  <c r="AK1061" i="2" s="1"/>
  <c r="AK1062" i="2" a="1"/>
  <c r="AK1062" i="2" s="1"/>
  <c r="AK1063" i="2" a="1"/>
  <c r="AK1063" i="2" s="1"/>
  <c r="AK1064" i="2" a="1"/>
  <c r="AK1064" i="2" s="1"/>
  <c r="AK1065" i="2" a="1"/>
  <c r="AK1065" i="2" s="1"/>
  <c r="AK1066" i="2" a="1"/>
  <c r="AK1066" i="2"/>
  <c r="AK1067" i="2" a="1"/>
  <c r="AK1067" i="2" s="1"/>
  <c r="AK1068" i="2" a="1"/>
  <c r="AK1068" i="2" s="1"/>
  <c r="AK1069" i="2" a="1"/>
  <c r="AK1069" i="2" s="1"/>
  <c r="AK1070" i="2" a="1"/>
  <c r="AK1070" i="2" s="1"/>
  <c r="AK1071" i="2" a="1"/>
  <c r="AK1071" i="2" s="1"/>
  <c r="AK1072" i="2" a="1"/>
  <c r="AK1072" i="2" s="1"/>
  <c r="AK1073" i="2" a="1"/>
  <c r="AK1073" i="2" s="1"/>
  <c r="AK1074" i="2" a="1"/>
  <c r="AK1074" i="2"/>
  <c r="AK1075" i="2" a="1"/>
  <c r="AK1075" i="2" s="1"/>
  <c r="AK1076" i="2" a="1"/>
  <c r="AK1076" i="2" s="1"/>
  <c r="AK1077" i="2" a="1"/>
  <c r="AK1077" i="2" s="1"/>
  <c r="AK1078" i="2" a="1"/>
  <c r="AK1078" i="2" s="1"/>
  <c r="AK1079" i="2" a="1"/>
  <c r="AK1079" i="2"/>
  <c r="AK1080" i="2" a="1"/>
  <c r="AK1080" i="2" s="1"/>
  <c r="AK1081" i="2" a="1"/>
  <c r="AK1081" i="2" s="1"/>
  <c r="AK1082" i="2" a="1"/>
  <c r="AK1082" i="2"/>
  <c r="AK1083" i="2" a="1"/>
  <c r="AK1083" i="2" s="1"/>
  <c r="AK1084" i="2" a="1"/>
  <c r="AK1084" i="2"/>
  <c r="AK1085" i="2" a="1"/>
  <c r="AK1085" i="2" s="1"/>
  <c r="AK1086" i="2" a="1"/>
  <c r="AK1086" i="2"/>
  <c r="AK1087" i="2" a="1"/>
  <c r="AK1087" i="2" s="1"/>
  <c r="AK1088" i="2" a="1"/>
  <c r="AK1088" i="2" s="1"/>
  <c r="AK1089" i="2" a="1"/>
  <c r="AK1089" i="2" s="1"/>
  <c r="AK1090" i="2" a="1"/>
  <c r="AK1090" i="2" s="1"/>
  <c r="AK1091" i="2" a="1"/>
  <c r="AK1091" i="2" s="1"/>
  <c r="AK1092" i="2" a="1"/>
  <c r="AK1092" i="2" s="1"/>
  <c r="AK1093" i="2" a="1"/>
  <c r="AK1093" i="2" s="1"/>
  <c r="AK1094" i="2" a="1"/>
  <c r="AK1094" i="2" s="1"/>
  <c r="AK1095" i="2" a="1"/>
  <c r="AK1095" i="2" s="1"/>
  <c r="AK1096" i="2" a="1"/>
  <c r="AK1096" i="2"/>
  <c r="AK1097" i="2" a="1"/>
  <c r="AK1097" i="2"/>
  <c r="AK1098" i="2" a="1"/>
  <c r="AK1098" i="2" s="1"/>
  <c r="AK1099" i="2" a="1"/>
  <c r="AK1099" i="2" s="1"/>
  <c r="AK1100" i="2" a="1"/>
  <c r="AK1100" i="2" s="1"/>
  <c r="AK1101" i="2" a="1"/>
  <c r="AK1101" i="2" s="1"/>
  <c r="AK1102" i="2" a="1"/>
  <c r="AK1102" i="2" s="1"/>
  <c r="AK1103" i="2" a="1"/>
  <c r="AK1103" i="2" s="1"/>
  <c r="AK1104" i="2" a="1"/>
  <c r="AK1104" i="2" s="1"/>
  <c r="AK1105" i="2" a="1"/>
  <c r="AK1105" i="2" s="1"/>
  <c r="AK1106" i="2" a="1"/>
  <c r="AK1106" i="2" s="1"/>
  <c r="AK1107" i="2" a="1"/>
  <c r="AK1107" i="2" s="1"/>
  <c r="AK1108" i="2" a="1"/>
  <c r="AK1108" i="2" s="1"/>
  <c r="AK1109" i="2" a="1"/>
  <c r="AK1109" i="2" s="1"/>
  <c r="AK1110" i="2" a="1"/>
  <c r="AK1110" i="2" s="1"/>
  <c r="AK1111" i="2" a="1"/>
  <c r="AK1111" i="2" s="1"/>
  <c r="AK1112" i="2" a="1"/>
  <c r="AK1112" i="2" s="1"/>
  <c r="AK1113" i="2" a="1"/>
  <c r="AK1113" i="2" s="1"/>
  <c r="AK1114" i="2" a="1"/>
  <c r="AK1114" i="2" s="1"/>
  <c r="AK1115" i="2" a="1"/>
  <c r="AK1115" i="2"/>
  <c r="AK1116" i="2" a="1"/>
  <c r="AK1116" i="2"/>
  <c r="AK1117" i="2" a="1"/>
  <c r="AK1117" i="2" s="1"/>
  <c r="AK1118" i="2" a="1"/>
  <c r="AK1118" i="2" s="1"/>
  <c r="AK1119" i="2" a="1"/>
  <c r="AK1119" i="2" s="1"/>
  <c r="AK1120" i="2" a="1"/>
  <c r="AK1120" i="2"/>
  <c r="AK1121" i="2" a="1"/>
  <c r="AK1121" i="2" s="1"/>
  <c r="AK1122" i="2" a="1"/>
  <c r="AK1122" i="2" s="1"/>
  <c r="AK1123" i="2" a="1"/>
  <c r="AK1123" i="2" s="1"/>
  <c r="AK1124" i="2" a="1"/>
  <c r="AK1124" i="2" s="1"/>
  <c r="AK1125" i="2" a="1"/>
  <c r="AK1125" i="2" s="1"/>
  <c r="AK1126" i="2" a="1"/>
  <c r="AK1126" i="2" s="1"/>
  <c r="AK1127" i="2" a="1"/>
  <c r="AK1127" i="2" s="1"/>
  <c r="AK1128" i="2" a="1"/>
  <c r="AK1128" i="2"/>
  <c r="AK1129" i="2" a="1"/>
  <c r="AK1129" i="2"/>
  <c r="AK1130" i="2" a="1"/>
  <c r="AK1130" i="2" s="1"/>
  <c r="AK1131" i="2" a="1"/>
  <c r="AK1131" i="2" s="1"/>
  <c r="AK1132" i="2" a="1"/>
  <c r="AK1132" i="2" s="1"/>
  <c r="AK1133" i="2" a="1"/>
  <c r="AK1133" i="2"/>
  <c r="AK1134" i="2" a="1"/>
  <c r="AK1134" i="2" s="1"/>
  <c r="AK1135" i="2" a="1"/>
  <c r="AK1135" i="2" s="1"/>
  <c r="AK1136" i="2" a="1"/>
  <c r="AK1136" i="2" s="1"/>
  <c r="AK1137" i="2" a="1"/>
  <c r="AK1137" i="2" s="1"/>
  <c r="AK1138" i="2" a="1"/>
  <c r="AK1138" i="2"/>
  <c r="AK1139" i="2" a="1"/>
  <c r="AK1139" i="2" s="1"/>
  <c r="AK1140" i="2" a="1"/>
  <c r="AK1140" i="2"/>
  <c r="AK1141" i="2" a="1"/>
  <c r="AK1141" i="2" s="1"/>
  <c r="AK1142" i="2" a="1"/>
  <c r="AK1142" i="2" s="1"/>
  <c r="AK1143" i="2" a="1"/>
  <c r="AK1143" i="2" s="1"/>
  <c r="AK1144" i="2" a="1"/>
  <c r="AK1144" i="2" s="1"/>
  <c r="AK1145" i="2" a="1"/>
  <c r="AK1145" i="2" s="1"/>
  <c r="AK1146" i="2" a="1"/>
  <c r="AK1146" i="2" s="1"/>
  <c r="AK1147" i="2" a="1"/>
  <c r="AK1147" i="2" s="1"/>
  <c r="AK1148" i="2" a="1"/>
  <c r="AK1148" i="2" s="1"/>
  <c r="AK1149" i="2" a="1"/>
  <c r="AK1149" i="2" s="1"/>
  <c r="AK1150" i="2" a="1"/>
  <c r="AK1150" i="2" s="1"/>
  <c r="AK1151" i="2" a="1"/>
  <c r="AK1151" i="2"/>
  <c r="AK1152" i="2" a="1"/>
  <c r="AK1152" i="2" s="1"/>
  <c r="AK1153" i="2" a="1"/>
  <c r="AK1153" i="2" s="1"/>
  <c r="AK1154" i="2" a="1"/>
  <c r="AK1154" i="2"/>
  <c r="AK1155" i="2" a="1"/>
  <c r="AK1155" i="2" s="1"/>
  <c r="AK1156" i="2" a="1"/>
  <c r="AK1156" i="2" s="1"/>
  <c r="AK1157" i="2" a="1"/>
  <c r="AK1157" i="2" s="1"/>
  <c r="AK1158" i="2" a="1"/>
  <c r="AK1158" i="2" s="1"/>
  <c r="AK1159" i="2" a="1"/>
  <c r="AK1159" i="2" s="1"/>
  <c r="AK1160" i="2" a="1"/>
  <c r="AK1160" i="2" s="1"/>
  <c r="AK1161" i="2" a="1"/>
  <c r="AK1161" i="2" s="1"/>
  <c r="AK1162" i="2" a="1"/>
  <c r="AK1162" i="2" s="1"/>
  <c r="AK1163" i="2" a="1"/>
  <c r="AK1163" i="2" s="1"/>
  <c r="AK1164" i="2" a="1"/>
  <c r="AK1164" i="2"/>
  <c r="AK1165" i="2" a="1"/>
  <c r="AK1165" i="2" s="1"/>
  <c r="AK1166" i="2" a="1"/>
  <c r="AK1166" i="2" s="1"/>
  <c r="AK1167" i="2" a="1"/>
  <c r="AK1167" i="2" s="1"/>
  <c r="AK1168" i="2" a="1"/>
  <c r="AK1168" i="2" s="1"/>
  <c r="AK1169" i="2" a="1"/>
  <c r="AK1169" i="2"/>
  <c r="AK1170" i="2" a="1"/>
  <c r="AK1170" i="2" s="1"/>
  <c r="AK1171" i="2" a="1"/>
  <c r="AK1171" i="2" s="1"/>
  <c r="AK1172" i="2" a="1"/>
  <c r="AK1172" i="2" s="1"/>
  <c r="AK1173" i="2" a="1"/>
  <c r="AK1173" i="2" s="1"/>
  <c r="AK1174" i="2" a="1"/>
  <c r="AK1174" i="2"/>
  <c r="AK1175" i="2" a="1"/>
  <c r="AK1175" i="2"/>
  <c r="AK1176" i="2" a="1"/>
  <c r="AK1176" i="2" s="1"/>
  <c r="AK1177" i="2" a="1"/>
  <c r="AK1177" i="2"/>
  <c r="AK1178" i="2" a="1"/>
  <c r="AK1178" i="2" s="1"/>
  <c r="AK1179" i="2" a="1"/>
  <c r="AK1179" i="2" s="1"/>
  <c r="AK1180" i="2" a="1"/>
  <c r="AK1180" i="2" s="1"/>
  <c r="AK1181" i="2" a="1"/>
  <c r="AK1181" i="2" s="1"/>
  <c r="AK1182" i="2" a="1"/>
  <c r="AK1182" i="2"/>
  <c r="AK1183" i="2" a="1"/>
  <c r="AK1183" i="2" s="1"/>
  <c r="AK1184" i="2" a="1"/>
  <c r="AK1184" i="2"/>
  <c r="AK1185" i="2" a="1"/>
  <c r="AK1185" i="2" s="1"/>
  <c r="AK1186" i="2" a="1"/>
  <c r="AK1186" i="2"/>
  <c r="AK1187" i="2" a="1"/>
  <c r="AK1187" i="2"/>
  <c r="AK1188" i="2" a="1"/>
  <c r="AK1188" i="2" s="1"/>
  <c r="AK1189" i="2" a="1"/>
  <c r="AK1189" i="2" s="1"/>
  <c r="AK1190" i="2" a="1"/>
  <c r="AK1190" i="2" s="1"/>
  <c r="AK1191" i="2" a="1"/>
  <c r="AK1191" i="2" s="1"/>
  <c r="AK1192" i="2" a="1"/>
  <c r="AK1192" i="2" s="1"/>
  <c r="AK1193" i="2" a="1"/>
  <c r="AK1193" i="2" s="1"/>
  <c r="AK1194" i="2" a="1"/>
  <c r="AK1194" i="2" s="1"/>
  <c r="AK1195" i="2" a="1"/>
  <c r="AK1195" i="2" s="1"/>
  <c r="AK1196" i="2" a="1"/>
  <c r="AK1196" i="2" s="1"/>
  <c r="AK1197" i="2" a="1"/>
  <c r="AK1197" i="2" s="1"/>
  <c r="AK1198" i="2" a="1"/>
  <c r="AK1198" i="2" s="1"/>
  <c r="AK1199" i="2" a="1"/>
  <c r="AK1199" i="2" s="1"/>
  <c r="AK1200" i="2" a="1"/>
  <c r="AK1200" i="2" s="1"/>
  <c r="AK1201" i="2" a="1"/>
  <c r="AK1201" i="2" s="1"/>
  <c r="AK1202" i="2" a="1"/>
  <c r="AK1202" i="2" s="1"/>
  <c r="AK1203" i="2" a="1"/>
  <c r="AK1203" i="2" s="1"/>
  <c r="AK1204" i="2" a="1"/>
  <c r="AK1204" i="2" s="1"/>
  <c r="AK1205" i="2" a="1"/>
  <c r="AK1205" i="2"/>
  <c r="AK1206" i="2" a="1"/>
  <c r="AK1206" i="2" s="1"/>
  <c r="AK1207" i="2" a="1"/>
  <c r="AK1207" i="2" s="1"/>
  <c r="AK1208" i="2" a="1"/>
  <c r="AK1208" i="2" s="1"/>
  <c r="AK1209" i="2" a="1"/>
  <c r="AK1209" i="2" s="1"/>
  <c r="AK1210" i="2" a="1"/>
  <c r="AK1210" i="2" s="1"/>
  <c r="AK1211" i="2" a="1"/>
  <c r="AK1211" i="2" s="1"/>
  <c r="AK1212" i="2" a="1"/>
  <c r="AK1212" i="2"/>
  <c r="AK1213" i="2" a="1"/>
  <c r="AK1213" i="2"/>
  <c r="AK1214" i="2" a="1"/>
  <c r="AK1214" i="2" s="1"/>
  <c r="AK1215" i="2" a="1"/>
  <c r="AK1215" i="2" s="1"/>
  <c r="AK1216" i="2" a="1"/>
  <c r="AK1216" i="2" s="1"/>
  <c r="AK1217" i="2" a="1"/>
  <c r="AK1217" i="2" s="1"/>
  <c r="AK1218" i="2" a="1"/>
  <c r="AK1218" i="2" s="1"/>
  <c r="AK1219" i="2" a="1"/>
  <c r="AK1219" i="2" s="1"/>
  <c r="AK1220" i="2" a="1"/>
  <c r="AK1220" i="2"/>
  <c r="AK1221" i="2" a="1"/>
  <c r="AK1221" i="2" s="1"/>
  <c r="AK1222" i="2" a="1"/>
  <c r="AK1222" i="2" s="1"/>
  <c r="AK1223" i="2" a="1"/>
  <c r="AK1223" i="2" s="1"/>
  <c r="AK1224" i="2" a="1"/>
  <c r="AK1224" i="2" s="1"/>
  <c r="AK1225" i="2" a="1"/>
  <c r="AK1225" i="2" s="1"/>
  <c r="AK1226" i="2" a="1"/>
  <c r="AK1226" i="2" s="1"/>
  <c r="AK1227" i="2" a="1"/>
  <c r="AK1227" i="2" s="1"/>
  <c r="AK1228" i="2" a="1"/>
  <c r="AK1228" i="2"/>
  <c r="AK1229" i="2" a="1"/>
  <c r="AK1229" i="2" s="1"/>
  <c r="AK1230" i="2" a="1"/>
  <c r="AK1230" i="2"/>
  <c r="AK1231" i="2" a="1"/>
  <c r="AK1231" i="2" s="1"/>
  <c r="AK1232" i="2" a="1"/>
  <c r="AK1232" i="2" s="1"/>
  <c r="AK1233" i="2" a="1"/>
  <c r="AK1233" i="2" s="1"/>
  <c r="AK1234" i="2" a="1"/>
  <c r="AK1234" i="2" s="1"/>
  <c r="AK1235" i="2" a="1"/>
  <c r="AK1235" i="2" s="1"/>
  <c r="AK1236" i="2" a="1"/>
  <c r="AK1236" i="2" s="1"/>
  <c r="AK1237" i="2" a="1"/>
  <c r="AK1237" i="2" s="1"/>
  <c r="AK1238" i="2" a="1"/>
  <c r="AK1238" i="2"/>
  <c r="AK1239" i="2" a="1"/>
  <c r="AK1239" i="2" s="1"/>
  <c r="AK1240" i="2" a="1"/>
  <c r="AK1240" i="2" s="1"/>
  <c r="AK1241" i="2" a="1"/>
  <c r="AK1241" i="2" s="1"/>
  <c r="AK1242" i="2" a="1"/>
  <c r="AK1242" i="2" s="1"/>
  <c r="AK1243" i="2" a="1"/>
  <c r="AK1243" i="2" s="1"/>
  <c r="AK1244" i="2" a="1"/>
  <c r="AK1244" i="2"/>
  <c r="AK1245" i="2" a="1"/>
  <c r="AK1245" i="2" s="1"/>
  <c r="AK1246" i="2" a="1"/>
  <c r="AK1246" i="2" s="1"/>
  <c r="AK1247" i="2" a="1"/>
  <c r="AK1247" i="2" s="1"/>
  <c r="AK1248" i="2" a="1"/>
  <c r="AK1248" i="2" s="1"/>
  <c r="AK1249" i="2" a="1"/>
  <c r="AK1249" i="2" s="1"/>
  <c r="AK1250" i="2" a="1"/>
  <c r="AK1250" i="2" s="1"/>
  <c r="AK1251" i="2" a="1"/>
  <c r="AK1251" i="2" s="1"/>
  <c r="AK1252" i="2" a="1"/>
  <c r="AK1252" i="2" s="1"/>
  <c r="AK1253" i="2" a="1"/>
  <c r="AK1253" i="2" s="1"/>
  <c r="AK1254" i="2" a="1"/>
  <c r="AK1254" i="2" s="1"/>
  <c r="AK1255" i="2" a="1"/>
  <c r="AK1255" i="2" s="1"/>
  <c r="AK1256" i="2" a="1"/>
  <c r="AK1256" i="2" s="1"/>
  <c r="AK1257" i="2" a="1"/>
  <c r="AK1257" i="2" s="1"/>
  <c r="AK1258" i="2" a="1"/>
  <c r="AK1258" i="2"/>
  <c r="AK1259" i="2" a="1"/>
  <c r="AK1259" i="2" s="1"/>
  <c r="AK1260" i="2" a="1"/>
  <c r="AK1260" i="2"/>
  <c r="AK1261" i="2" a="1"/>
  <c r="AK1261" i="2" s="1"/>
  <c r="AK1262" i="2" a="1"/>
  <c r="AK1262" i="2" s="1"/>
  <c r="AK1263" i="2" a="1"/>
  <c r="AK1263" i="2" s="1"/>
  <c r="AK1264" i="2" a="1"/>
  <c r="AK1264" i="2" s="1"/>
  <c r="AK1265" i="2" a="1"/>
  <c r="AK1265" i="2" s="1"/>
  <c r="AK1266" i="2" a="1"/>
  <c r="AK1266" i="2" s="1"/>
  <c r="AK1267" i="2" a="1"/>
  <c r="AK1267" i="2" s="1"/>
  <c r="AK1268" i="2" a="1"/>
  <c r="AK1268" i="2" s="1"/>
  <c r="AK1269" i="2" a="1"/>
  <c r="AK1269" i="2" s="1"/>
  <c r="AK1270" i="2" a="1"/>
  <c r="AK1270" i="2"/>
  <c r="AK1271" i="2" a="1"/>
  <c r="AK1271" i="2" s="1"/>
  <c r="AK1272" i="2" a="1"/>
  <c r="AK1272" i="2" s="1"/>
  <c r="AK1273" i="2" a="1"/>
  <c r="AK1273" i="2" s="1"/>
  <c r="AK1274" i="2" a="1"/>
  <c r="AK1274" i="2" s="1"/>
  <c r="AK1275" i="2" a="1"/>
  <c r="AK1275" i="2"/>
  <c r="AK1276" i="2" a="1"/>
  <c r="AK1276" i="2" s="1"/>
  <c r="AK1277" i="2" a="1"/>
  <c r="AK1277" i="2" s="1"/>
  <c r="AK1278" i="2" a="1"/>
  <c r="AK1278" i="2"/>
  <c r="AK1279" i="2" a="1"/>
  <c r="AK1279" i="2" s="1"/>
  <c r="AK1280" i="2" a="1"/>
  <c r="AK1280" i="2" s="1"/>
  <c r="AK1281" i="2" a="1"/>
  <c r="AK1281" i="2" s="1"/>
  <c r="AK1282" i="2" a="1"/>
  <c r="AK1282" i="2" s="1"/>
  <c r="AK1283" i="2" a="1"/>
  <c r="AK1283" i="2" s="1"/>
  <c r="AK1284" i="2" a="1"/>
  <c r="AK1284" i="2"/>
  <c r="AK1285" i="2" a="1"/>
  <c r="AK1285" i="2" s="1"/>
  <c r="AK1286" i="2" a="1"/>
  <c r="AK1286" i="2" s="1"/>
  <c r="AK1287" i="2" a="1"/>
  <c r="AK1287" i="2"/>
  <c r="AK1288" i="2" a="1"/>
  <c r="AK1288" i="2" s="1"/>
  <c r="AK1289" i="2" a="1"/>
  <c r="AK1289" i="2" s="1"/>
  <c r="AK1290" i="2" a="1"/>
  <c r="AK1290" i="2" s="1"/>
  <c r="AK1291" i="2" a="1"/>
  <c r="AK1291" i="2"/>
  <c r="AK1292" i="2" a="1"/>
  <c r="AK1292" i="2" s="1"/>
  <c r="AK1293" i="2" a="1"/>
  <c r="AK1293" i="2"/>
  <c r="AK1294" i="2" a="1"/>
  <c r="AK1294" i="2" s="1"/>
  <c r="AK1295" i="2" a="1"/>
  <c r="AK1295" i="2" s="1"/>
  <c r="AK1296" i="2" a="1"/>
  <c r="AK1296" i="2" s="1"/>
  <c r="AK1297" i="2" a="1"/>
  <c r="AK1297" i="2" s="1"/>
  <c r="AK1298" i="2" a="1"/>
  <c r="AK1298" i="2" s="1"/>
  <c r="AK1299" i="2" a="1"/>
  <c r="AK1299" i="2" s="1"/>
  <c r="AK1300" i="2" a="1"/>
  <c r="AK1300" i="2"/>
  <c r="AK1301" i="2" a="1"/>
  <c r="AK1301" i="2" s="1"/>
  <c r="AK1302" i="2" a="1"/>
  <c r="AK1302" i="2" s="1"/>
  <c r="AK1303" i="2" a="1"/>
  <c r="AK1303" i="2" s="1"/>
  <c r="AK1304" i="2" a="1"/>
  <c r="AK1304" i="2" s="1"/>
  <c r="AK1305" i="2" a="1"/>
  <c r="AK1305" i="2" s="1"/>
  <c r="AK1306" i="2" a="1"/>
  <c r="AK1306" i="2" s="1"/>
  <c r="AK1307" i="2" a="1"/>
  <c r="AK1307" i="2" s="1"/>
  <c r="AK1308" i="2" a="1"/>
  <c r="AK1308" i="2" s="1"/>
  <c r="AK1309" i="2" a="1"/>
  <c r="AK1309" i="2" s="1"/>
  <c r="AK1310" i="2" a="1"/>
  <c r="AK1310" i="2" s="1"/>
  <c r="AK1311" i="2" a="1"/>
  <c r="AK1311" i="2"/>
  <c r="AK1312" i="2" a="1"/>
  <c r="AK1312" i="2"/>
  <c r="AK1313" i="2" a="1"/>
  <c r="AK1313" i="2" s="1"/>
  <c r="AK1314" i="2" a="1"/>
  <c r="AK1314" i="2" s="1"/>
  <c r="AK1315" i="2" a="1"/>
  <c r="AK1315" i="2" s="1"/>
  <c r="AK1316" i="2" a="1"/>
  <c r="AK1316" i="2" s="1"/>
  <c r="AK1317" i="2" a="1"/>
  <c r="AK1317" i="2"/>
  <c r="AK1318" i="2" a="1"/>
  <c r="AK1318" i="2" s="1"/>
  <c r="AK1319" i="2" a="1"/>
  <c r="AK1319" i="2" s="1"/>
  <c r="AK1320" i="2" a="1"/>
  <c r="AK1320" i="2"/>
  <c r="AK1321" i="2" a="1"/>
  <c r="AK1321" i="2"/>
  <c r="AK1322" i="2" a="1"/>
  <c r="AK1322" i="2" s="1"/>
  <c r="AK1323" i="2" a="1"/>
  <c r="AK1323" i="2"/>
  <c r="AK1324" i="2" a="1"/>
  <c r="AK1324" i="2"/>
  <c r="AK1325" i="2" a="1"/>
  <c r="AK1325" i="2" s="1"/>
  <c r="AK1326" i="2" a="1"/>
  <c r="AK1326" i="2" s="1"/>
  <c r="AK1327" i="2" a="1"/>
  <c r="AK1327" i="2"/>
  <c r="AK1328" i="2" a="1"/>
  <c r="AK1328" i="2" s="1"/>
  <c r="AK1329" i="2" a="1"/>
  <c r="AK1329" i="2" s="1"/>
  <c r="AK1330" i="2" a="1"/>
  <c r="AK1330" i="2" s="1"/>
  <c r="AK1331" i="2" a="1"/>
  <c r="AK1331" i="2" s="1"/>
  <c r="AK1332" i="2" a="1"/>
  <c r="AK1332" i="2" s="1"/>
  <c r="AK1333" i="2" a="1"/>
  <c r="AK1333" i="2"/>
  <c r="AK1334" i="2" a="1"/>
  <c r="AK1334" i="2" s="1"/>
  <c r="AK1335" i="2" a="1"/>
  <c r="AK1335" i="2" s="1"/>
  <c r="AK1336" i="2" a="1"/>
  <c r="AK1336" i="2" s="1"/>
  <c r="AK1337" i="2" a="1"/>
  <c r="AK1337" i="2" s="1"/>
  <c r="AK1338" i="2" a="1"/>
  <c r="AK1338" i="2"/>
  <c r="AK1339" i="2" a="1"/>
  <c r="AK1339" i="2"/>
  <c r="AK1340" i="2" a="1"/>
  <c r="AK1340" i="2" s="1"/>
  <c r="AK1341" i="2" a="1"/>
  <c r="AK1341" i="2" s="1"/>
  <c r="AK1342" i="2" a="1"/>
  <c r="AK1342" i="2"/>
  <c r="AK1343" i="2" a="1"/>
  <c r="AK1343" i="2" s="1"/>
  <c r="AK1344" i="2" a="1"/>
  <c r="AK1344" i="2" s="1"/>
  <c r="AK1345" i="2" a="1"/>
  <c r="AK1345" i="2" s="1"/>
  <c r="AK1346" i="2" a="1"/>
  <c r="AK1346" i="2" s="1"/>
  <c r="AK1347" i="2" a="1"/>
  <c r="AK1347" i="2" s="1"/>
  <c r="AK1348" i="2" a="1"/>
  <c r="AK1348" i="2" s="1"/>
  <c r="AK1349" i="2" a="1"/>
  <c r="AK1349" i="2" s="1"/>
  <c r="AK1350" i="2" a="1"/>
  <c r="AK1350" i="2" s="1"/>
  <c r="AK1351" i="2" a="1"/>
  <c r="AK1351" i="2" s="1"/>
  <c r="AK1352" i="2" a="1"/>
  <c r="AK1352" i="2" s="1"/>
  <c r="AK1353" i="2" a="1"/>
  <c r="AK1353" i="2"/>
  <c r="AK1354" i="2" a="1"/>
  <c r="AK1354" i="2" s="1"/>
  <c r="AK1355" i="2" a="1"/>
  <c r="AK1355" i="2" s="1"/>
  <c r="AK1356" i="2" a="1"/>
  <c r="AK1356" i="2"/>
  <c r="AK1357" i="2" a="1"/>
  <c r="AK1357" i="2"/>
  <c r="AK1358" i="2" a="1"/>
  <c r="AK1358" i="2" s="1"/>
  <c r="AK1359" i="2" a="1"/>
  <c r="AK1359" i="2" s="1"/>
  <c r="AK1360" i="2" a="1"/>
  <c r="AK1360" i="2"/>
  <c r="AK1361" i="2" a="1"/>
  <c r="AK1361" i="2" s="1"/>
  <c r="AK1362" i="2" a="1"/>
  <c r="AK1362" i="2" s="1"/>
  <c r="AK1363" i="2" a="1"/>
  <c r="AK1363" i="2" s="1"/>
  <c r="AK1364" i="2" a="1"/>
  <c r="AK1364" i="2" s="1"/>
  <c r="AK1365" i="2" a="1"/>
  <c r="AK1365" i="2" s="1"/>
  <c r="AK1366" i="2" a="1"/>
  <c r="AK1366" i="2" s="1"/>
  <c r="AK1367" i="2" a="1"/>
  <c r="AK1367" i="2" s="1"/>
  <c r="AK1368" i="2" a="1"/>
  <c r="AK1368" i="2" s="1"/>
  <c r="AK1369" i="2" a="1"/>
  <c r="AK1369" i="2" s="1"/>
  <c r="AK1370" i="2" a="1"/>
  <c r="AK1370" i="2" s="1"/>
  <c r="AK1371" i="2" a="1"/>
  <c r="AK1371" i="2" s="1"/>
  <c r="AK1372" i="2" a="1"/>
  <c r="AK1372" i="2" s="1"/>
  <c r="AK1373" i="2" a="1"/>
  <c r="AK1373" i="2" s="1"/>
  <c r="AK1374" i="2" a="1"/>
  <c r="AK1374" i="2" s="1"/>
  <c r="AK1375" i="2" a="1"/>
  <c r="AK1375" i="2" s="1"/>
  <c r="AK1376" i="2" a="1"/>
  <c r="AK1376" i="2" s="1"/>
  <c r="AK1377" i="2" a="1"/>
  <c r="AK1377" i="2"/>
  <c r="AK1378" i="2" a="1"/>
  <c r="AK1378" i="2" s="1"/>
  <c r="AK1379" i="2" a="1"/>
  <c r="AK1379" i="2" s="1"/>
  <c r="AK1380" i="2" a="1"/>
  <c r="AK1380" i="2" s="1"/>
  <c r="AK1381" i="2" a="1"/>
  <c r="AK1381" i="2" s="1"/>
  <c r="AK1382" i="2" a="1"/>
  <c r="AK1382" i="2" s="1"/>
  <c r="AK1383" i="2" a="1"/>
  <c r="AK1383" i="2"/>
  <c r="AK1384" i="2" a="1"/>
  <c r="AK1384" i="2" s="1"/>
  <c r="AK1385" i="2" a="1"/>
  <c r="AK1385" i="2" s="1"/>
  <c r="AK1386" i="2" a="1"/>
  <c r="AK1386" i="2" s="1"/>
  <c r="AK1387" i="2" a="1"/>
  <c r="AK1387" i="2" s="1"/>
  <c r="AK1388" i="2" a="1"/>
  <c r="AK1388" i="2" s="1"/>
  <c r="AK1389" i="2" a="1"/>
  <c r="AK1389" i="2"/>
  <c r="AK1390" i="2" a="1"/>
  <c r="AK1390" i="2" s="1"/>
  <c r="AK1391" i="2" a="1"/>
  <c r="AK1391" i="2" s="1"/>
  <c r="AK1392" i="2" a="1"/>
  <c r="AK1392" i="2" s="1"/>
  <c r="AK1393" i="2" a="1"/>
  <c r="AK1393" i="2" s="1"/>
  <c r="AK1394" i="2" a="1"/>
  <c r="AK1394" i="2" s="1"/>
  <c r="AK1395" i="2" a="1"/>
  <c r="AK1395" i="2" s="1"/>
  <c r="AK1396" i="2" a="1"/>
  <c r="AK1396" i="2"/>
  <c r="AK1397" i="2" a="1"/>
  <c r="AK1397" i="2" s="1"/>
  <c r="AK1398" i="2" a="1"/>
  <c r="AK1398" i="2"/>
  <c r="AK1399" i="2" a="1"/>
  <c r="AK1399" i="2" s="1"/>
  <c r="AK1400" i="2" a="1"/>
  <c r="AK1400" i="2" s="1"/>
  <c r="AK1401" i="2" a="1"/>
  <c r="AK1401" i="2" s="1"/>
  <c r="AK1402" i="2" a="1"/>
  <c r="AK1402" i="2" s="1"/>
  <c r="AK1403" i="2" a="1"/>
  <c r="AK1403" i="2" s="1"/>
  <c r="AK1404" i="2" a="1"/>
  <c r="AK1404" i="2"/>
  <c r="AK1405" i="2" a="1"/>
  <c r="AK1405" i="2" s="1"/>
  <c r="AK1406" i="2" a="1"/>
  <c r="AK1406" i="2" s="1"/>
  <c r="AK1407" i="2" a="1"/>
  <c r="AK1407" i="2" s="1"/>
  <c r="AK1408" i="2" a="1"/>
  <c r="AK1408" i="2" s="1"/>
  <c r="AK1409" i="2" a="1"/>
  <c r="AK1409" i="2" s="1"/>
  <c r="AK1410" i="2" a="1"/>
  <c r="AK1410" i="2" s="1"/>
  <c r="AK1411" i="2" a="1"/>
  <c r="AK1411" i="2" s="1"/>
  <c r="AK1412" i="2" a="1"/>
  <c r="AK1412" i="2" s="1"/>
  <c r="AK1413" i="2" a="1"/>
  <c r="AK1413" i="2"/>
  <c r="AK1414" i="2" a="1"/>
  <c r="AK1414" i="2" s="1"/>
  <c r="AK1415" i="2" a="1"/>
  <c r="AK1415" i="2" s="1"/>
  <c r="AK1416" i="2" a="1"/>
  <c r="AK1416" i="2" s="1"/>
  <c r="AK1417" i="2" a="1"/>
  <c r="AK1417" i="2" s="1"/>
  <c r="AK1418" i="2" a="1"/>
  <c r="AK1418" i="2" s="1"/>
  <c r="AK1419" i="2" a="1"/>
  <c r="AK1419" i="2" s="1"/>
  <c r="AK1420" i="2" a="1"/>
  <c r="AK1420" i="2" s="1"/>
  <c r="AK1421" i="2" a="1"/>
  <c r="AK1421" i="2" s="1"/>
  <c r="AK1422" i="2" a="1"/>
  <c r="AK1422" i="2" s="1"/>
  <c r="AK1423" i="2" a="1"/>
  <c r="AK1423" i="2" s="1"/>
  <c r="AK1424" i="2" a="1"/>
  <c r="AK1424" i="2" s="1"/>
  <c r="AK1425" i="2" a="1"/>
  <c r="AK1425" i="2" s="1"/>
  <c r="AK1426" i="2" a="1"/>
  <c r="AK1426" i="2"/>
  <c r="AK1427" i="2" a="1"/>
  <c r="AK1427" i="2" s="1"/>
  <c r="AK1428" i="2" a="1"/>
  <c r="AK1428" i="2" s="1"/>
  <c r="AK1429" i="2" a="1"/>
  <c r="AK1429" i="2"/>
  <c r="AK1430" i="2" a="1"/>
  <c r="AK1430" i="2" s="1"/>
  <c r="AK1431" i="2" a="1"/>
  <c r="AK1431" i="2" s="1"/>
  <c r="AK1432" i="2" a="1"/>
  <c r="AK1432" i="2" s="1"/>
  <c r="AK1433" i="2" a="1"/>
  <c r="AK1433" i="2" s="1"/>
  <c r="AK1434" i="2" a="1"/>
  <c r="AK1434" i="2" s="1"/>
  <c r="AK1435" i="2" a="1"/>
  <c r="AK1435" i="2" s="1"/>
  <c r="AK1436" i="2" a="1"/>
  <c r="AK1436" i="2" s="1"/>
  <c r="AK1437" i="2" a="1"/>
  <c r="AK1437" i="2" s="1"/>
  <c r="AK1438" i="2" a="1"/>
  <c r="AK1438" i="2"/>
  <c r="AK1439" i="2" a="1"/>
  <c r="AK1439" i="2" s="1"/>
  <c r="AK1440" i="2" a="1"/>
  <c r="AK1440" i="2" s="1"/>
  <c r="AK1441" i="2" a="1"/>
  <c r="AK1441" i="2" s="1"/>
  <c r="AK1442" i="2" a="1"/>
  <c r="AK1442" i="2" s="1"/>
  <c r="AK1443" i="2" a="1"/>
  <c r="AK1443" i="2" s="1"/>
  <c r="AK1444" i="2" a="1"/>
  <c r="AK1444" i="2" s="1"/>
  <c r="AK1445" i="2" a="1"/>
  <c r="AK1445" i="2" s="1"/>
  <c r="AK1446" i="2" a="1"/>
  <c r="AK1446" i="2" s="1"/>
  <c r="AK1447" i="2" a="1"/>
  <c r="AK1447" i="2" s="1"/>
  <c r="AK1448" i="2" a="1"/>
  <c r="AK1448" i="2" s="1"/>
  <c r="AK1449" i="2" a="1"/>
  <c r="AK1449" i="2"/>
  <c r="AK1450" i="2" a="1"/>
  <c r="AK1450" i="2"/>
  <c r="AK1451" i="2" a="1"/>
  <c r="AK1451" i="2" s="1"/>
  <c r="AK1452" i="2" a="1"/>
  <c r="AK1452" i="2" s="1"/>
  <c r="AK1453" i="2" a="1"/>
  <c r="AK1453" i="2" s="1"/>
  <c r="AK1454" i="2" a="1"/>
  <c r="AK1454" i="2" s="1"/>
  <c r="AK1455" i="2" a="1"/>
  <c r="AK1455" i="2"/>
  <c r="AK1456" i="2" a="1"/>
  <c r="AK1456" i="2" s="1"/>
  <c r="AK1457" i="2" a="1"/>
  <c r="AK1457" i="2" s="1"/>
  <c r="AK1458" i="2" a="1"/>
  <c r="AK1458" i="2"/>
  <c r="AK1459" i="2" a="1"/>
  <c r="AK1459" i="2" s="1"/>
  <c r="AK1460" i="2" a="1"/>
  <c r="AK1460" i="2" s="1"/>
  <c r="AK1461" i="2" a="1"/>
  <c r="AK1461" i="2" s="1"/>
  <c r="AK1462" i="2" a="1"/>
  <c r="AK1462" i="2" s="1"/>
  <c r="AK1463" i="2" a="1"/>
  <c r="AK1463" i="2" s="1"/>
  <c r="AK1464" i="2" a="1"/>
  <c r="AK1464" i="2" s="1"/>
  <c r="AK1465" i="2" a="1"/>
  <c r="AK1465" i="2"/>
  <c r="AK1466" i="2" a="1"/>
  <c r="AK1466" i="2" s="1"/>
  <c r="AK1467" i="2" a="1"/>
  <c r="AK1467" i="2"/>
  <c r="AK1468" i="2" a="1"/>
  <c r="AK1468" i="2"/>
  <c r="AK1469" i="2" a="1"/>
  <c r="AK1469" i="2" s="1"/>
  <c r="AK1470" i="2" a="1"/>
  <c r="AK1470" i="2"/>
  <c r="AK1471" i="2" a="1"/>
  <c r="AK1471" i="2" s="1"/>
  <c r="AJ2" i="2" a="1"/>
  <c r="AJ2" i="2" s="1"/>
  <c r="AJ3" i="2" a="1"/>
  <c r="AJ3" i="2" s="1"/>
  <c r="AJ4" i="2" a="1"/>
  <c r="AJ4" i="2" s="1"/>
  <c r="AJ5" i="2" a="1"/>
  <c r="AJ5" i="2" s="1"/>
  <c r="AJ6" i="2" a="1"/>
  <c r="AJ6" i="2" s="1"/>
  <c r="AJ7" i="2" a="1"/>
  <c r="AJ7" i="2" s="1"/>
  <c r="AJ8" i="2" a="1"/>
  <c r="AJ8" i="2" s="1"/>
  <c r="AJ9" i="2" a="1"/>
  <c r="AJ9" i="2" s="1"/>
  <c r="AJ10" i="2" a="1"/>
  <c r="AJ10" i="2" s="1"/>
  <c r="AJ11" i="2" a="1"/>
  <c r="AJ11" i="2"/>
  <c r="AJ12" i="2" a="1"/>
  <c r="AJ12" i="2" s="1"/>
  <c r="AJ13" i="2" a="1"/>
  <c r="AJ13" i="2" s="1"/>
  <c r="AJ14" i="2" a="1"/>
  <c r="AJ14" i="2" s="1"/>
  <c r="AJ15" i="2" a="1"/>
  <c r="AJ15" i="2" s="1"/>
  <c r="AJ16" i="2" a="1"/>
  <c r="AJ16" i="2" s="1"/>
  <c r="AJ17" i="2" a="1"/>
  <c r="AJ17" i="2" s="1"/>
  <c r="AJ18" i="2" a="1"/>
  <c r="AJ18" i="2" s="1"/>
  <c r="AJ19" i="2" a="1"/>
  <c r="AJ19" i="2" s="1"/>
  <c r="AJ20" i="2" a="1"/>
  <c r="AJ20" i="2" s="1"/>
  <c r="AJ21" i="2" a="1"/>
  <c r="AJ21" i="2" s="1"/>
  <c r="AJ22" i="2" a="1"/>
  <c r="AJ22" i="2" s="1"/>
  <c r="AJ23" i="2" a="1"/>
  <c r="AJ23" i="2"/>
  <c r="AJ24" i="2" a="1"/>
  <c r="AJ24" i="2" s="1"/>
  <c r="AJ25" i="2" a="1"/>
  <c r="AJ25" i="2" s="1"/>
  <c r="AJ26" i="2" a="1"/>
  <c r="AJ26" i="2" s="1"/>
  <c r="AJ27" i="2" a="1"/>
  <c r="AJ27" i="2" s="1"/>
  <c r="AJ28" i="2" a="1"/>
  <c r="AJ28" i="2" s="1"/>
  <c r="AJ29" i="2" a="1"/>
  <c r="AJ29" i="2"/>
  <c r="AJ30" i="2" a="1"/>
  <c r="AJ30" i="2" s="1"/>
  <c r="AJ31" i="2" a="1"/>
  <c r="AJ31" i="2"/>
  <c r="AJ32" i="2" a="1"/>
  <c r="AJ32" i="2" s="1"/>
  <c r="AJ33" i="2" a="1"/>
  <c r="AJ33" i="2" s="1"/>
  <c r="AJ34" i="2" a="1"/>
  <c r="AJ34" i="2" s="1"/>
  <c r="AJ35" i="2" a="1"/>
  <c r="AJ35" i="2" s="1"/>
  <c r="AJ36" i="2" a="1"/>
  <c r="AJ36" i="2" s="1"/>
  <c r="AJ37" i="2" a="1"/>
  <c r="AJ37" i="2" s="1"/>
  <c r="AJ38" i="2" a="1"/>
  <c r="AJ38" i="2" s="1"/>
  <c r="AJ39" i="2" a="1"/>
  <c r="AJ39" i="2" s="1"/>
  <c r="AJ40" i="2" a="1"/>
  <c r="AJ40" i="2" s="1"/>
  <c r="AJ41" i="2" a="1"/>
  <c r="AJ41" i="2"/>
  <c r="AJ42" i="2" a="1"/>
  <c r="AJ42" i="2" s="1"/>
  <c r="AJ43" i="2" a="1"/>
  <c r="AJ43" i="2"/>
  <c r="AJ44" i="2" a="1"/>
  <c r="AJ44" i="2" s="1"/>
  <c r="AJ45" i="2" a="1"/>
  <c r="AJ45" i="2" s="1"/>
  <c r="AJ46" i="2" a="1"/>
  <c r="AJ46" i="2" s="1"/>
  <c r="AJ47" i="2" a="1"/>
  <c r="AJ47" i="2"/>
  <c r="AJ48" i="2" a="1"/>
  <c r="AJ48" i="2" s="1"/>
  <c r="AJ49" i="2" a="1"/>
  <c r="AJ49" i="2" s="1"/>
  <c r="AJ50" i="2" a="1"/>
  <c r="AJ50" i="2" s="1"/>
  <c r="AJ51" i="2" a="1"/>
  <c r="AJ51" i="2" s="1"/>
  <c r="AJ52" i="2" a="1"/>
  <c r="AJ52" i="2" s="1"/>
  <c r="AJ53" i="2" a="1"/>
  <c r="AJ53" i="2" s="1"/>
  <c r="AJ54" i="2" a="1"/>
  <c r="AJ54" i="2" s="1"/>
  <c r="AJ55" i="2" a="1"/>
  <c r="AJ55" i="2" s="1"/>
  <c r="AJ56" i="2" a="1"/>
  <c r="AJ56" i="2" s="1"/>
  <c r="AJ57" i="2" a="1"/>
  <c r="AJ57" i="2" s="1"/>
  <c r="AJ58" i="2" a="1"/>
  <c r="AJ58" i="2" s="1"/>
  <c r="AJ59" i="2" a="1"/>
  <c r="AJ59" i="2" s="1"/>
  <c r="AJ60" i="2" a="1"/>
  <c r="AJ60" i="2" s="1"/>
  <c r="AJ61" i="2" a="1"/>
  <c r="AJ61" i="2" s="1"/>
  <c r="AJ62" i="2" a="1"/>
  <c r="AJ62" i="2" s="1"/>
  <c r="AJ63" i="2" a="1"/>
  <c r="AJ63" i="2" s="1"/>
  <c r="AJ64" i="2" a="1"/>
  <c r="AJ64" i="2" s="1"/>
  <c r="AJ65" i="2" a="1"/>
  <c r="AJ65" i="2" s="1"/>
  <c r="AJ66" i="2" a="1"/>
  <c r="AJ66" i="2" s="1"/>
  <c r="AJ67" i="2" a="1"/>
  <c r="AJ67" i="2" s="1"/>
  <c r="AJ68" i="2" a="1"/>
  <c r="AJ68" i="2" s="1"/>
  <c r="AJ69" i="2" a="1"/>
  <c r="AJ69" i="2" s="1"/>
  <c r="AJ70" i="2" a="1"/>
  <c r="AJ70" i="2" s="1"/>
  <c r="AJ71" i="2" a="1"/>
  <c r="AJ71" i="2" s="1"/>
  <c r="AJ72" i="2" a="1"/>
  <c r="AJ72" i="2" s="1"/>
  <c r="AJ73" i="2" a="1"/>
  <c r="AJ73" i="2"/>
  <c r="AJ74" i="2" a="1"/>
  <c r="AJ74" i="2" s="1"/>
  <c r="AJ75" i="2" a="1"/>
  <c r="AJ75" i="2" s="1"/>
  <c r="AJ76" i="2" a="1"/>
  <c r="AJ76" i="2" s="1"/>
  <c r="AJ77" i="2" a="1"/>
  <c r="AJ77" i="2"/>
  <c r="AJ78" i="2" a="1"/>
  <c r="AJ78" i="2" s="1"/>
  <c r="AJ79" i="2" a="1"/>
  <c r="AJ79" i="2" s="1"/>
  <c r="AJ80" i="2" a="1"/>
  <c r="AJ80" i="2" s="1"/>
  <c r="AJ81" i="2" a="1"/>
  <c r="AJ81" i="2" s="1"/>
  <c r="AJ82" i="2" a="1"/>
  <c r="AJ82" i="2" s="1"/>
  <c r="AJ83" i="2" a="1"/>
  <c r="AJ83" i="2"/>
  <c r="AJ84" i="2" a="1"/>
  <c r="AJ84" i="2" s="1"/>
  <c r="AJ85" i="2" a="1"/>
  <c r="AJ85" i="2" s="1"/>
  <c r="AJ86" i="2" a="1"/>
  <c r="AJ86" i="2" s="1"/>
  <c r="AJ87" i="2" a="1"/>
  <c r="AJ87" i="2" s="1"/>
  <c r="AJ88" i="2" a="1"/>
  <c r="AJ88" i="2" s="1"/>
  <c r="AJ89" i="2" a="1"/>
  <c r="AJ89" i="2" s="1"/>
  <c r="AJ90" i="2" a="1"/>
  <c r="AJ90" i="2" s="1"/>
  <c r="AJ91" i="2" a="1"/>
  <c r="AJ91" i="2" s="1"/>
  <c r="AJ92" i="2" a="1"/>
  <c r="AJ92" i="2" s="1"/>
  <c r="AJ93" i="2" a="1"/>
  <c r="AJ93" i="2" s="1"/>
  <c r="AJ94" i="2" a="1"/>
  <c r="AJ94" i="2" s="1"/>
  <c r="AJ95" i="2" a="1"/>
  <c r="AJ95" i="2"/>
  <c r="AJ96" i="2" a="1"/>
  <c r="AJ96" i="2" s="1"/>
  <c r="AJ97" i="2" a="1"/>
  <c r="AJ97" i="2" s="1"/>
  <c r="AJ98" i="2" a="1"/>
  <c r="AJ98" i="2" s="1"/>
  <c r="AJ99" i="2" a="1"/>
  <c r="AJ99" i="2" s="1"/>
  <c r="AJ100" i="2" a="1"/>
  <c r="AJ100" i="2" s="1"/>
  <c r="AJ101" i="2" a="1"/>
  <c r="AJ101" i="2" s="1"/>
  <c r="AJ102" i="2" a="1"/>
  <c r="AJ102" i="2" s="1"/>
  <c r="AJ103" i="2" a="1"/>
  <c r="AJ103" i="2" s="1"/>
  <c r="AJ104" i="2" a="1"/>
  <c r="AJ104" i="2" s="1"/>
  <c r="AJ105" i="2" a="1"/>
  <c r="AJ105" i="2" s="1"/>
  <c r="AJ106" i="2" a="1"/>
  <c r="AJ106" i="2" s="1"/>
  <c r="AJ107" i="2" a="1"/>
  <c r="AJ107" i="2"/>
  <c r="AJ108" i="2" a="1"/>
  <c r="AJ108" i="2" s="1"/>
  <c r="AJ109" i="2" a="1"/>
  <c r="AJ109" i="2" s="1"/>
  <c r="AJ110" i="2" a="1"/>
  <c r="AJ110" i="2" s="1"/>
  <c r="AJ111" i="2" a="1"/>
  <c r="AJ111" i="2" s="1"/>
  <c r="AJ112" i="2" a="1"/>
  <c r="AJ112" i="2" s="1"/>
  <c r="AJ113" i="2" a="1"/>
  <c r="AJ113" i="2"/>
  <c r="AJ114" i="2" a="1"/>
  <c r="AJ114" i="2" s="1"/>
  <c r="AJ115" i="2" a="1"/>
  <c r="AJ115" i="2" s="1"/>
  <c r="AJ116" i="2" a="1"/>
  <c r="AJ116" i="2" s="1"/>
  <c r="AJ117" i="2" a="1"/>
  <c r="AJ117" i="2" s="1"/>
  <c r="AJ118" i="2" a="1"/>
  <c r="AJ118" i="2" s="1"/>
  <c r="AJ119" i="2" a="1"/>
  <c r="AJ119" i="2"/>
  <c r="AJ120" i="2" a="1"/>
  <c r="AJ120" i="2" s="1"/>
  <c r="AJ121" i="2" a="1"/>
  <c r="AJ121" i="2" s="1"/>
  <c r="AJ122" i="2" a="1"/>
  <c r="AJ122" i="2" s="1"/>
  <c r="AJ123" i="2" a="1"/>
  <c r="AJ123" i="2" s="1"/>
  <c r="AJ124" i="2" a="1"/>
  <c r="AJ124" i="2" s="1"/>
  <c r="AJ125" i="2" a="1"/>
  <c r="AJ125" i="2" s="1"/>
  <c r="AJ126" i="2" a="1"/>
  <c r="AJ126" i="2" s="1"/>
  <c r="AJ127" i="2" a="1"/>
  <c r="AJ127" i="2" s="1"/>
  <c r="AJ128" i="2" a="1"/>
  <c r="AJ128" i="2" s="1"/>
  <c r="AJ129" i="2" a="1"/>
  <c r="AJ129" i="2" s="1"/>
  <c r="AJ130" i="2" a="1"/>
  <c r="AJ130" i="2" s="1"/>
  <c r="AJ131" i="2" a="1"/>
  <c r="AJ131" i="2" s="1"/>
  <c r="AJ132" i="2" a="1"/>
  <c r="AJ132" i="2" s="1"/>
  <c r="AJ133" i="2" a="1"/>
  <c r="AJ133" i="2" s="1"/>
  <c r="AJ134" i="2" a="1"/>
  <c r="AJ134" i="2" s="1"/>
  <c r="AJ135" i="2" a="1"/>
  <c r="AJ135" i="2" s="1"/>
  <c r="AJ136" i="2" a="1"/>
  <c r="AJ136" i="2" s="1"/>
  <c r="AJ137" i="2" a="1"/>
  <c r="AJ137" i="2"/>
  <c r="AJ138" i="2" a="1"/>
  <c r="AJ138" i="2" s="1"/>
  <c r="AJ139" i="2" a="1"/>
  <c r="AJ139" i="2" s="1"/>
  <c r="AJ140" i="2" a="1"/>
  <c r="AJ140" i="2" s="1"/>
  <c r="AJ141" i="2" a="1"/>
  <c r="AJ141" i="2" s="1"/>
  <c r="AJ142" i="2" a="1"/>
  <c r="AJ142" i="2" s="1"/>
  <c r="AJ143" i="2" a="1"/>
  <c r="AJ143" i="2"/>
  <c r="AJ144" i="2" a="1"/>
  <c r="AJ144" i="2" s="1"/>
  <c r="AJ145" i="2" a="1"/>
  <c r="AJ145" i="2" s="1"/>
  <c r="AJ146" i="2" a="1"/>
  <c r="AJ146" i="2" s="1"/>
  <c r="AJ147" i="2" a="1"/>
  <c r="AJ147" i="2" s="1"/>
  <c r="AJ148" i="2" a="1"/>
  <c r="AJ148" i="2" s="1"/>
  <c r="AJ149" i="2" a="1"/>
  <c r="AJ149" i="2" s="1"/>
  <c r="AJ150" i="2" a="1"/>
  <c r="AJ150" i="2" s="1"/>
  <c r="AJ151" i="2" a="1"/>
  <c r="AJ151" i="2" s="1"/>
  <c r="AJ152" i="2" a="1"/>
  <c r="AJ152" i="2" s="1"/>
  <c r="AJ153" i="2" a="1"/>
  <c r="AJ153" i="2" s="1"/>
  <c r="AJ154" i="2" a="1"/>
  <c r="AJ154" i="2" s="1"/>
  <c r="AJ155" i="2" a="1"/>
  <c r="AJ155" i="2" s="1"/>
  <c r="AJ156" i="2" a="1"/>
  <c r="AJ156" i="2" s="1"/>
  <c r="AJ157" i="2" a="1"/>
  <c r="AJ157" i="2" s="1"/>
  <c r="AJ158" i="2" a="1"/>
  <c r="AJ158" i="2" s="1"/>
  <c r="AJ159" i="2" a="1"/>
  <c r="AJ159" i="2" s="1"/>
  <c r="AJ160" i="2" a="1"/>
  <c r="AJ160" i="2" s="1"/>
  <c r="AJ161" i="2" a="1"/>
  <c r="AJ161" i="2" s="1"/>
  <c r="AJ162" i="2" a="1"/>
  <c r="AJ162" i="2" s="1"/>
  <c r="AJ163" i="2" a="1"/>
  <c r="AJ163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AJ176" i="2" a="1"/>
  <c r="AJ176" i="2" s="1"/>
  <c r="AJ177" i="2" a="1"/>
  <c r="AJ177" i="2" s="1"/>
  <c r="AJ178" i="2" a="1"/>
  <c r="AJ178" i="2" s="1"/>
  <c r="AJ179" i="2" a="1"/>
  <c r="AJ179" i="2" s="1"/>
  <c r="AJ180" i="2" a="1"/>
  <c r="AJ180" i="2" s="1"/>
  <c r="AJ181" i="2" a="1"/>
  <c r="AJ181" i="2" s="1"/>
  <c r="AJ182" i="2" a="1"/>
  <c r="AJ182" i="2" s="1"/>
  <c r="AJ183" i="2" a="1"/>
  <c r="AJ183" i="2" s="1"/>
  <c r="AJ184" i="2" a="1"/>
  <c r="AJ184" i="2" s="1"/>
  <c r="AJ185" i="2" a="1"/>
  <c r="AJ185" i="2" s="1"/>
  <c r="AJ186" i="2" a="1"/>
  <c r="AJ186" i="2" s="1"/>
  <c r="AJ187" i="2" a="1"/>
  <c r="AJ187" i="2" s="1"/>
  <c r="AJ188" i="2" a="1"/>
  <c r="AJ188" i="2" s="1"/>
  <c r="AJ189" i="2" a="1"/>
  <c r="AJ189" i="2" s="1"/>
  <c r="AJ190" i="2" a="1"/>
  <c r="AJ190" i="2" s="1"/>
  <c r="AJ191" i="2" a="1"/>
  <c r="AJ191" i="2" s="1"/>
  <c r="AJ192" i="2" a="1"/>
  <c r="AJ192" i="2" s="1"/>
  <c r="AJ193" i="2" a="1"/>
  <c r="AJ193" i="2" s="1"/>
  <c r="AJ194" i="2" a="1"/>
  <c r="AJ194" i="2" s="1"/>
  <c r="AJ195" i="2" a="1"/>
  <c r="AJ195" i="2" s="1"/>
  <c r="AJ196" i="2" a="1"/>
  <c r="AJ196" i="2" s="1"/>
  <c r="AJ197" i="2" a="1"/>
  <c r="AJ197" i="2"/>
  <c r="AJ198" i="2" a="1"/>
  <c r="AJ198" i="2" s="1"/>
  <c r="AJ199" i="2" a="1"/>
  <c r="AJ199" i="2" s="1"/>
  <c r="AJ200" i="2" a="1"/>
  <c r="AJ200" i="2" s="1"/>
  <c r="AJ201" i="2" a="1"/>
  <c r="AJ201" i="2" s="1"/>
  <c r="AJ202" i="2" a="1"/>
  <c r="AJ202" i="2" s="1"/>
  <c r="AJ203" i="2" a="1"/>
  <c r="AJ203" i="2" s="1"/>
  <c r="AJ204" i="2" a="1"/>
  <c r="AJ204" i="2" s="1"/>
  <c r="AJ205" i="2" a="1"/>
  <c r="AJ205" i="2" s="1"/>
  <c r="AJ206" i="2" a="1"/>
  <c r="AJ206" i="2" s="1"/>
  <c r="AJ207" i="2" a="1"/>
  <c r="AJ207" i="2" s="1"/>
  <c r="AJ208" i="2" a="1"/>
  <c r="AJ208" i="2" s="1"/>
  <c r="AJ209" i="2" a="1"/>
  <c r="AJ209" i="2" s="1"/>
  <c r="AJ210" i="2" a="1"/>
  <c r="AJ210" i="2" s="1"/>
  <c r="AJ211" i="2" a="1"/>
  <c r="AJ211" i="2" s="1"/>
  <c r="AJ212" i="2" a="1"/>
  <c r="AJ212" i="2" s="1"/>
  <c r="AJ213" i="2" a="1"/>
  <c r="AJ213" i="2" s="1"/>
  <c r="AJ214" i="2" a="1"/>
  <c r="AJ214" i="2" s="1"/>
  <c r="AJ215" i="2" a="1"/>
  <c r="AJ215" i="2" s="1"/>
  <c r="AJ216" i="2" a="1"/>
  <c r="AJ216" i="2" s="1"/>
  <c r="AJ217" i="2" a="1"/>
  <c r="AJ217" i="2" s="1"/>
  <c r="AJ218" i="2" a="1"/>
  <c r="AJ218" i="2" s="1"/>
  <c r="AJ219" i="2" a="1"/>
  <c r="AJ219" i="2" s="1"/>
  <c r="AJ220" i="2" a="1"/>
  <c r="AJ220" i="2" s="1"/>
  <c r="AJ221" i="2" a="1"/>
  <c r="AJ221" i="2" s="1"/>
  <c r="AJ222" i="2" a="1"/>
  <c r="AJ222" i="2" s="1"/>
  <c r="AJ223" i="2" a="1"/>
  <c r="AJ223" i="2" s="1"/>
  <c r="AJ224" i="2" a="1"/>
  <c r="AJ224" i="2" s="1"/>
  <c r="AJ225" i="2" a="1"/>
  <c r="AJ225" i="2" s="1"/>
  <c r="AJ226" i="2" a="1"/>
  <c r="AJ226" i="2" s="1"/>
  <c r="AJ227" i="2" a="1"/>
  <c r="AJ227" i="2" s="1"/>
  <c r="AJ228" i="2" a="1"/>
  <c r="AJ228" i="2" s="1"/>
  <c r="AJ229" i="2" a="1"/>
  <c r="AJ229" i="2" s="1"/>
  <c r="AJ230" i="2" a="1"/>
  <c r="AJ230" i="2" s="1"/>
  <c r="AJ231" i="2" a="1"/>
  <c r="AJ231" i="2" s="1"/>
  <c r="AJ232" i="2" a="1"/>
  <c r="AJ232" i="2" s="1"/>
  <c r="AJ233" i="2" a="1"/>
  <c r="AJ233" i="2" s="1"/>
  <c r="AJ234" i="2" a="1"/>
  <c r="AJ234" i="2" s="1"/>
  <c r="AJ235" i="2" a="1"/>
  <c r="AJ235" i="2" s="1"/>
  <c r="AJ236" i="2" a="1"/>
  <c r="AJ236" i="2" s="1"/>
  <c r="AJ237" i="2" a="1"/>
  <c r="AJ237" i="2" s="1"/>
  <c r="AJ238" i="2" a="1"/>
  <c r="AJ238" i="2" s="1"/>
  <c r="AJ239" i="2" a="1"/>
  <c r="AJ239" i="2" s="1"/>
  <c r="AJ240" i="2" a="1"/>
  <c r="AJ240" i="2" s="1"/>
  <c r="AJ241" i="2" a="1"/>
  <c r="AJ241" i="2" s="1"/>
  <c r="AJ242" i="2" a="1"/>
  <c r="AJ242" i="2" s="1"/>
  <c r="AJ243" i="2" a="1"/>
  <c r="AJ243" i="2" s="1"/>
  <c r="AJ244" i="2" a="1"/>
  <c r="AJ244" i="2" s="1"/>
  <c r="AJ245" i="2" a="1"/>
  <c r="AJ245" i="2" s="1"/>
  <c r="AJ246" i="2" a="1"/>
  <c r="AJ246" i="2" s="1"/>
  <c r="AJ247" i="2" a="1"/>
  <c r="AJ247" i="2" s="1"/>
  <c r="AJ248" i="2" a="1"/>
  <c r="AJ248" i="2" s="1"/>
  <c r="AJ249" i="2" a="1"/>
  <c r="AJ249" i="2" s="1"/>
  <c r="AJ250" i="2" a="1"/>
  <c r="AJ250" i="2" s="1"/>
  <c r="AJ251" i="2" a="1"/>
  <c r="AJ251" i="2" s="1"/>
  <c r="AJ252" i="2" a="1"/>
  <c r="AJ252" i="2" s="1"/>
  <c r="AJ253" i="2" a="1"/>
  <c r="AJ253" i="2" s="1"/>
  <c r="AJ254" i="2" a="1"/>
  <c r="AJ254" i="2" s="1"/>
  <c r="AJ255" i="2" a="1"/>
  <c r="AJ255" i="2" s="1"/>
  <c r="AJ256" i="2" a="1"/>
  <c r="AJ256" i="2" s="1"/>
  <c r="AJ257" i="2" a="1"/>
  <c r="AJ257" i="2" s="1"/>
  <c r="AJ258" i="2" a="1"/>
  <c r="AJ258" i="2" s="1"/>
  <c r="AJ259" i="2" a="1"/>
  <c r="AJ259" i="2" s="1"/>
  <c r="AJ260" i="2" a="1"/>
  <c r="AJ260" i="2" s="1"/>
  <c r="AJ261" i="2" a="1"/>
  <c r="AJ261" i="2" s="1"/>
  <c r="AJ262" i="2" a="1"/>
  <c r="AJ262" i="2" s="1"/>
  <c r="AJ263" i="2" a="1"/>
  <c r="AJ263" i="2" s="1"/>
  <c r="AJ264" i="2" a="1"/>
  <c r="AJ264" i="2" s="1"/>
  <c r="AJ265" i="2" a="1"/>
  <c r="AJ265" i="2" s="1"/>
  <c r="AJ266" i="2" a="1"/>
  <c r="AJ266" i="2" s="1"/>
  <c r="AJ267" i="2" a="1"/>
  <c r="AJ267" i="2" s="1"/>
  <c r="AJ268" i="2" a="1"/>
  <c r="AJ268" i="2" s="1"/>
  <c r="AJ269" i="2" a="1"/>
  <c r="AJ269" i="2" s="1"/>
  <c r="AJ270" i="2" a="1"/>
  <c r="AJ270" i="2" s="1"/>
  <c r="AJ271" i="2" a="1"/>
  <c r="AJ271" i="2" s="1"/>
  <c r="AJ272" i="2" a="1"/>
  <c r="AJ272" i="2" s="1"/>
  <c r="AJ273" i="2" a="1"/>
  <c r="AJ273" i="2" s="1"/>
  <c r="AJ274" i="2" a="1"/>
  <c r="AJ274" i="2" s="1"/>
  <c r="AJ275" i="2" a="1"/>
  <c r="AJ275" i="2" s="1"/>
  <c r="AJ276" i="2" a="1"/>
  <c r="AJ276" i="2" s="1"/>
  <c r="AJ277" i="2" a="1"/>
  <c r="AJ277" i="2" s="1"/>
  <c r="AJ278" i="2" a="1"/>
  <c r="AJ278" i="2"/>
  <c r="AJ279" i="2" a="1"/>
  <c r="AJ279" i="2" s="1"/>
  <c r="AJ280" i="2" a="1"/>
  <c r="AJ280" i="2" s="1"/>
  <c r="AJ281" i="2" a="1"/>
  <c r="AJ281" i="2" s="1"/>
  <c r="AJ282" i="2" a="1"/>
  <c r="AJ282" i="2" s="1"/>
  <c r="AJ283" i="2" a="1"/>
  <c r="AJ283" i="2" s="1"/>
  <c r="AJ284" i="2" a="1"/>
  <c r="AJ284" i="2" s="1"/>
  <c r="AJ285" i="2" a="1"/>
  <c r="AJ285" i="2" s="1"/>
  <c r="AJ286" i="2" a="1"/>
  <c r="AJ286" i="2" s="1"/>
  <c r="AJ287" i="2" a="1"/>
  <c r="AJ287" i="2" s="1"/>
  <c r="AJ288" i="2" a="1"/>
  <c r="AJ288" i="2" s="1"/>
  <c r="AJ289" i="2" a="1"/>
  <c r="AJ289" i="2" s="1"/>
  <c r="AJ290" i="2" a="1"/>
  <c r="AJ290" i="2" s="1"/>
  <c r="AJ291" i="2" a="1"/>
  <c r="AJ291" i="2" s="1"/>
  <c r="AJ292" i="2" a="1"/>
  <c r="AJ292" i="2" s="1"/>
  <c r="AJ293" i="2" a="1"/>
  <c r="AJ293" i="2" s="1"/>
  <c r="AJ294" i="2" a="1"/>
  <c r="AJ294" i="2" s="1"/>
  <c r="AJ295" i="2" a="1"/>
  <c r="AJ295" i="2" s="1"/>
  <c r="AJ296" i="2" a="1"/>
  <c r="AJ296" i="2" s="1"/>
  <c r="AJ297" i="2" a="1"/>
  <c r="AJ297" i="2" s="1"/>
  <c r="AJ298" i="2" a="1"/>
  <c r="AJ298" i="2" s="1"/>
  <c r="AJ299" i="2" a="1"/>
  <c r="AJ299" i="2" s="1"/>
  <c r="AJ300" i="2" a="1"/>
  <c r="AJ300" i="2" s="1"/>
  <c r="AJ301" i="2" a="1"/>
  <c r="AJ301" i="2" s="1"/>
  <c r="AJ302" i="2" a="1"/>
  <c r="AJ302" i="2" s="1"/>
  <c r="AJ303" i="2" a="1"/>
  <c r="AJ303" i="2" s="1"/>
  <c r="AJ304" i="2" a="1"/>
  <c r="AJ304" i="2"/>
  <c r="AJ305" i="2" a="1"/>
  <c r="AJ305" i="2" s="1"/>
  <c r="AJ306" i="2" a="1"/>
  <c r="AJ306" i="2" s="1"/>
  <c r="AJ307" i="2" a="1"/>
  <c r="AJ307" i="2" s="1"/>
  <c r="AJ308" i="2" a="1"/>
  <c r="AJ308" i="2" s="1"/>
  <c r="AJ309" i="2" a="1"/>
  <c r="AJ309" i="2" s="1"/>
  <c r="AJ310" i="2" a="1"/>
  <c r="AJ310" i="2" s="1"/>
  <c r="AJ311" i="2" a="1"/>
  <c r="AJ311" i="2" s="1"/>
  <c r="AJ312" i="2" a="1"/>
  <c r="AJ312" i="2"/>
  <c r="AJ313" i="2" a="1"/>
  <c r="AJ313" i="2" s="1"/>
  <c r="AJ314" i="2" a="1"/>
  <c r="AJ314" i="2" s="1"/>
  <c r="AJ315" i="2" a="1"/>
  <c r="AJ315" i="2" s="1"/>
  <c r="AJ316" i="2" a="1"/>
  <c r="AJ316" i="2" s="1"/>
  <c r="AJ317" i="2" a="1"/>
  <c r="AJ317" i="2" s="1"/>
  <c r="AJ318" i="2" a="1"/>
  <c r="AJ318" i="2" s="1"/>
  <c r="AJ319" i="2" a="1"/>
  <c r="AJ319" i="2" s="1"/>
  <c r="AJ320" i="2" a="1"/>
  <c r="AJ320" i="2" s="1"/>
  <c r="AJ321" i="2" a="1"/>
  <c r="AJ321" i="2" s="1"/>
  <c r="AJ322" i="2" a="1"/>
  <c r="AJ322" i="2" s="1"/>
  <c r="AJ323" i="2" a="1"/>
  <c r="AJ323" i="2"/>
  <c r="AJ324" i="2" a="1"/>
  <c r="AJ324" i="2" s="1"/>
  <c r="AJ325" i="2" a="1"/>
  <c r="AJ325" i="2" s="1"/>
  <c r="AJ326" i="2" a="1"/>
  <c r="AJ326" i="2" s="1"/>
  <c r="AJ327" i="2" a="1"/>
  <c r="AJ327" i="2" s="1"/>
  <c r="AJ328" i="2" a="1"/>
  <c r="AJ328" i="2"/>
  <c r="AJ329" i="2" a="1"/>
  <c r="AJ329" i="2" s="1"/>
  <c r="AJ330" i="2" a="1"/>
  <c r="AJ330" i="2" s="1"/>
  <c r="AJ331" i="2" a="1"/>
  <c r="AJ331" i="2" s="1"/>
  <c r="AJ332" i="2" a="1"/>
  <c r="AJ332" i="2" s="1"/>
  <c r="AJ333" i="2" a="1"/>
  <c r="AJ333" i="2" s="1"/>
  <c r="AJ334" i="2" a="1"/>
  <c r="AJ334" i="2"/>
  <c r="AJ335" i="2" a="1"/>
  <c r="AJ335" i="2" s="1"/>
  <c r="AJ336" i="2" a="1"/>
  <c r="AJ336" i="2" s="1"/>
  <c r="AJ337" i="2" a="1"/>
  <c r="AJ337" i="2" s="1"/>
  <c r="AJ338" i="2" a="1"/>
  <c r="AJ338" i="2" s="1"/>
  <c r="AJ339" i="2" a="1"/>
  <c r="AJ339" i="2" s="1"/>
  <c r="AJ340" i="2" a="1"/>
  <c r="AJ340" i="2" s="1"/>
  <c r="AJ341" i="2" a="1"/>
  <c r="AJ341" i="2" s="1"/>
  <c r="AJ342" i="2" a="1"/>
  <c r="AJ342" i="2" s="1"/>
  <c r="AJ343" i="2" a="1"/>
  <c r="AJ343" i="2" s="1"/>
  <c r="AJ344" i="2" a="1"/>
  <c r="AJ344" i="2" s="1"/>
  <c r="AJ345" i="2" a="1"/>
  <c r="AJ345" i="2" s="1"/>
  <c r="AJ346" i="2" a="1"/>
  <c r="AJ346" i="2" s="1"/>
  <c r="AJ347" i="2" a="1"/>
  <c r="AJ347" i="2" s="1"/>
  <c r="AJ348" i="2" a="1"/>
  <c r="AJ348" i="2" s="1"/>
  <c r="AJ349" i="2" a="1"/>
  <c r="AJ349" i="2"/>
  <c r="AJ350" i="2" a="1"/>
  <c r="AJ350" i="2" s="1"/>
  <c r="AJ351" i="2" a="1"/>
  <c r="AJ351" i="2"/>
  <c r="AJ352" i="2" a="1"/>
  <c r="AJ352" i="2" s="1"/>
  <c r="AJ353" i="2" a="1"/>
  <c r="AJ353" i="2"/>
  <c r="AJ354" i="2" a="1"/>
  <c r="AJ354" i="2" s="1"/>
  <c r="AJ355" i="2" a="1"/>
  <c r="AJ355" i="2" s="1"/>
  <c r="AJ356" i="2" a="1"/>
  <c r="AJ356" i="2" s="1"/>
  <c r="AJ357" i="2" a="1"/>
  <c r="AJ357" i="2" s="1"/>
  <c r="AJ358" i="2" a="1"/>
  <c r="AJ358" i="2" s="1"/>
  <c r="AJ359" i="2" a="1"/>
  <c r="AJ359" i="2" s="1"/>
  <c r="AJ360" i="2" a="1"/>
  <c r="AJ360" i="2" s="1"/>
  <c r="AJ361" i="2" a="1"/>
  <c r="AJ361" i="2" s="1"/>
  <c r="AJ362" i="2" a="1"/>
  <c r="AJ362" i="2" s="1"/>
  <c r="AJ363" i="2" a="1"/>
  <c r="AJ363" i="2" s="1"/>
  <c r="AJ364" i="2" a="1"/>
  <c r="AJ364" i="2" s="1"/>
  <c r="AJ365" i="2" a="1"/>
  <c r="AJ365" i="2" s="1"/>
  <c r="AJ366" i="2" a="1"/>
  <c r="AJ366" i="2" s="1"/>
  <c r="AJ367" i="2" a="1"/>
  <c r="AJ367" i="2" s="1"/>
  <c r="AJ368" i="2" a="1"/>
  <c r="AJ368" i="2" s="1"/>
  <c r="AJ369" i="2" a="1"/>
  <c r="AJ369" i="2" s="1"/>
  <c r="AJ370" i="2" a="1"/>
  <c r="AJ370" i="2"/>
  <c r="AJ371" i="2" a="1"/>
  <c r="AJ371" i="2"/>
  <c r="AJ372" i="2" a="1"/>
  <c r="AJ372" i="2" s="1"/>
  <c r="AJ373" i="2" a="1"/>
  <c r="AJ373" i="2"/>
  <c r="AJ374" i="2" a="1"/>
  <c r="AJ374" i="2" s="1"/>
  <c r="AJ375" i="2" a="1"/>
  <c r="AJ375" i="2" s="1"/>
  <c r="AJ376" i="2" a="1"/>
  <c r="AJ376" i="2" s="1"/>
  <c r="AJ377" i="2" a="1"/>
  <c r="AJ377" i="2" s="1"/>
  <c r="AJ378" i="2" a="1"/>
  <c r="AJ378" i="2" s="1"/>
  <c r="AJ379" i="2" a="1"/>
  <c r="AJ379" i="2" s="1"/>
  <c r="AJ380" i="2" a="1"/>
  <c r="AJ380" i="2" s="1"/>
  <c r="AJ381" i="2" a="1"/>
  <c r="AJ381" i="2"/>
  <c r="AJ382" i="2" a="1"/>
  <c r="AJ382" i="2" s="1"/>
  <c r="AJ383" i="2" a="1"/>
  <c r="AJ383" i="2"/>
  <c r="AJ384" i="2" a="1"/>
  <c r="AJ384" i="2"/>
  <c r="AJ385" i="2" a="1"/>
  <c r="AJ385" i="2" s="1"/>
  <c r="AJ386" i="2" a="1"/>
  <c r="AJ386" i="2" s="1"/>
  <c r="AJ387" i="2" a="1"/>
  <c r="AJ387" i="2" s="1"/>
  <c r="AJ388" i="2" a="1"/>
  <c r="AJ388" i="2" s="1"/>
  <c r="AJ389" i="2" a="1"/>
  <c r="AJ389" i="2" s="1"/>
  <c r="AJ390" i="2" a="1"/>
  <c r="AJ390" i="2" s="1"/>
  <c r="AJ391" i="2" a="1"/>
  <c r="AJ391" i="2" s="1"/>
  <c r="AJ392" i="2" a="1"/>
  <c r="AJ392" i="2" s="1"/>
  <c r="AJ393" i="2" a="1"/>
  <c r="AJ393" i="2" s="1"/>
  <c r="AJ394" i="2" a="1"/>
  <c r="AJ394" i="2" s="1"/>
  <c r="AJ395" i="2" a="1"/>
  <c r="AJ395" i="2" s="1"/>
  <c r="AJ396" i="2" a="1"/>
  <c r="AJ396" i="2" s="1"/>
  <c r="AJ397" i="2" a="1"/>
  <c r="AJ397" i="2" s="1"/>
  <c r="AJ398" i="2" a="1"/>
  <c r="AJ398" i="2" s="1"/>
  <c r="AJ399" i="2" a="1"/>
  <c r="AJ399" i="2" s="1"/>
  <c r="AJ400" i="2" a="1"/>
  <c r="AJ400" i="2" s="1"/>
  <c r="AJ401" i="2" a="1"/>
  <c r="AJ401" i="2" s="1"/>
  <c r="AJ402" i="2" a="1"/>
  <c r="AJ402" i="2" s="1"/>
  <c r="AJ403" i="2" a="1"/>
  <c r="AJ403" i="2" s="1"/>
  <c r="AJ404" i="2" a="1"/>
  <c r="AJ404" i="2" s="1"/>
  <c r="AJ405" i="2" a="1"/>
  <c r="AJ405" i="2" s="1"/>
  <c r="AJ406" i="2" a="1"/>
  <c r="AJ406" i="2" s="1"/>
  <c r="AJ407" i="2" a="1"/>
  <c r="AJ407" i="2" s="1"/>
  <c r="AJ408" i="2" a="1"/>
  <c r="AJ408" i="2" s="1"/>
  <c r="AJ409" i="2" a="1"/>
  <c r="AJ409" i="2" s="1"/>
  <c r="AJ410" i="2" a="1"/>
  <c r="AJ410" i="2" s="1"/>
  <c r="AJ411" i="2" a="1"/>
  <c r="AJ411" i="2" s="1"/>
  <c r="AJ412" i="2" a="1"/>
  <c r="AJ412" i="2"/>
  <c r="AJ413" i="2" a="1"/>
  <c r="AJ413" i="2" s="1"/>
  <c r="AJ414" i="2" a="1"/>
  <c r="AJ414" i="2" s="1"/>
  <c r="AJ415" i="2" a="1"/>
  <c r="AJ415" i="2" s="1"/>
  <c r="AJ416" i="2" a="1"/>
  <c r="AJ416" i="2" s="1"/>
  <c r="AJ417" i="2" a="1"/>
  <c r="AJ417" i="2" s="1"/>
  <c r="AJ418" i="2" a="1"/>
  <c r="AJ418" i="2"/>
  <c r="AJ419" i="2" a="1"/>
  <c r="AJ419" i="2" s="1"/>
  <c r="AJ420" i="2" a="1"/>
  <c r="AJ420" i="2" s="1"/>
  <c r="AJ421" i="2" a="1"/>
  <c r="AJ421" i="2" s="1"/>
  <c r="AJ422" i="2" a="1"/>
  <c r="AJ422" i="2" s="1"/>
  <c r="AJ423" i="2" a="1"/>
  <c r="AJ423" i="2" s="1"/>
  <c r="AJ424" i="2" a="1"/>
  <c r="AJ424" i="2" s="1"/>
  <c r="AJ425" i="2" a="1"/>
  <c r="AJ425" i="2" s="1"/>
  <c r="AJ426" i="2" a="1"/>
  <c r="AJ426" i="2" s="1"/>
  <c r="AJ427" i="2" a="1"/>
  <c r="AJ427" i="2" s="1"/>
  <c r="AJ428" i="2" a="1"/>
  <c r="AJ428" i="2" s="1"/>
  <c r="AJ429" i="2" a="1"/>
  <c r="AJ429" i="2" s="1"/>
  <c r="AJ430" i="2" a="1"/>
  <c r="AJ430" i="2"/>
  <c r="AJ431" i="2" a="1"/>
  <c r="AJ431" i="2" s="1"/>
  <c r="AJ432" i="2" a="1"/>
  <c r="AJ432" i="2" s="1"/>
  <c r="AJ433" i="2" a="1"/>
  <c r="AJ433" i="2" s="1"/>
  <c r="AJ434" i="2" a="1"/>
  <c r="AJ434" i="2" s="1"/>
  <c r="AJ435" i="2" a="1"/>
  <c r="AJ435" i="2" s="1"/>
  <c r="AJ436" i="2" a="1"/>
  <c r="AJ436" i="2" s="1"/>
  <c r="AJ437" i="2" a="1"/>
  <c r="AJ437" i="2" s="1"/>
  <c r="AJ438" i="2" a="1"/>
  <c r="AJ438" i="2" s="1"/>
  <c r="AJ439" i="2" a="1"/>
  <c r="AJ439" i="2" s="1"/>
  <c r="AJ440" i="2" a="1"/>
  <c r="AJ440" i="2" s="1"/>
  <c r="AJ441" i="2" a="1"/>
  <c r="AJ441" i="2" s="1"/>
  <c r="AJ442" i="2" a="1"/>
  <c r="AJ442" i="2" s="1"/>
  <c r="AJ443" i="2" a="1"/>
  <c r="AJ443" i="2" s="1"/>
  <c r="AJ444" i="2" a="1"/>
  <c r="AJ444" i="2" s="1"/>
  <c r="AJ445" i="2" a="1"/>
  <c r="AJ445" i="2" s="1"/>
  <c r="AJ446" i="2" a="1"/>
  <c r="AJ446" i="2" s="1"/>
  <c r="AJ447" i="2" a="1"/>
  <c r="AJ447" i="2" s="1"/>
  <c r="AJ448" i="2" a="1"/>
  <c r="AJ448" i="2"/>
  <c r="AJ449" i="2" a="1"/>
  <c r="AJ449" i="2" s="1"/>
  <c r="AJ450" i="2" a="1"/>
  <c r="AJ450" i="2" s="1"/>
  <c r="AJ451" i="2" a="1"/>
  <c r="AJ451" i="2" s="1"/>
  <c r="AJ452" i="2" a="1"/>
  <c r="AJ452" i="2" s="1"/>
  <c r="AJ453" i="2" a="1"/>
  <c r="AJ453" i="2" s="1"/>
  <c r="AJ454" i="2" a="1"/>
  <c r="AJ454" i="2" s="1"/>
  <c r="AJ455" i="2" a="1"/>
  <c r="AJ455" i="2" s="1"/>
  <c r="AJ456" i="2" a="1"/>
  <c r="AJ456" i="2" s="1"/>
  <c r="AJ457" i="2" a="1"/>
  <c r="AJ457" i="2" s="1"/>
  <c r="AJ458" i="2" a="1"/>
  <c r="AJ458" i="2" s="1"/>
  <c r="AJ459" i="2" a="1"/>
  <c r="AJ459" i="2" s="1"/>
  <c r="AJ460" i="2" a="1"/>
  <c r="AJ460" i="2" s="1"/>
  <c r="AJ461" i="2" a="1"/>
  <c r="AJ461" i="2" s="1"/>
  <c r="AJ462" i="2" a="1"/>
  <c r="AJ462" i="2" s="1"/>
  <c r="AJ463" i="2" a="1"/>
  <c r="AJ463" i="2" s="1"/>
  <c r="AJ464" i="2" a="1"/>
  <c r="AJ464" i="2" s="1"/>
  <c r="AJ465" i="2" a="1"/>
  <c r="AJ465" i="2" s="1"/>
  <c r="AJ466" i="2" a="1"/>
  <c r="AJ466" i="2" s="1"/>
  <c r="AJ467" i="2" a="1"/>
  <c r="AJ467" i="2"/>
  <c r="AJ468" i="2" a="1"/>
  <c r="AJ468" i="2" s="1"/>
  <c r="AJ469" i="2" a="1"/>
  <c r="AJ469" i="2" s="1"/>
  <c r="AJ470" i="2" a="1"/>
  <c r="AJ470" i="2" s="1"/>
  <c r="AJ471" i="2" a="1"/>
  <c r="AJ471" i="2" s="1"/>
  <c r="AJ472" i="2" a="1"/>
  <c r="AJ472" i="2" s="1"/>
  <c r="AJ473" i="2" a="1"/>
  <c r="AJ473" i="2" s="1"/>
  <c r="AJ474" i="2" a="1"/>
  <c r="AJ474" i="2" s="1"/>
  <c r="AJ475" i="2" a="1"/>
  <c r="AJ475" i="2" s="1"/>
  <c r="AJ476" i="2" a="1"/>
  <c r="AJ476" i="2" s="1"/>
  <c r="AJ477" i="2" a="1"/>
  <c r="AJ477" i="2" s="1"/>
  <c r="AJ478" i="2" a="1"/>
  <c r="AJ478" i="2" s="1"/>
  <c r="AJ479" i="2" a="1"/>
  <c r="AJ479" i="2" s="1"/>
  <c r="AJ480" i="2" a="1"/>
  <c r="AJ480" i="2" s="1"/>
  <c r="AJ481" i="2" a="1"/>
  <c r="AJ481" i="2"/>
  <c r="AJ482" i="2" a="1"/>
  <c r="AJ482" i="2" s="1"/>
  <c r="AJ483" i="2" a="1"/>
  <c r="AJ483" i="2" s="1"/>
  <c r="AJ484" i="2" a="1"/>
  <c r="AJ484" i="2" s="1"/>
  <c r="AJ485" i="2" a="1"/>
  <c r="AJ485" i="2" s="1"/>
  <c r="AJ486" i="2" a="1"/>
  <c r="AJ486" i="2" s="1"/>
  <c r="AJ487" i="2" a="1"/>
  <c r="AJ487" i="2"/>
  <c r="AJ488" i="2" a="1"/>
  <c r="AJ488" i="2" s="1"/>
  <c r="AJ489" i="2" a="1"/>
  <c r="AJ489" i="2"/>
  <c r="AJ490" i="2" a="1"/>
  <c r="AJ490" i="2" s="1"/>
  <c r="AJ491" i="2" a="1"/>
  <c r="AJ491" i="2" s="1"/>
  <c r="AJ492" i="2" a="1"/>
  <c r="AJ492" i="2" s="1"/>
  <c r="AJ493" i="2" a="1"/>
  <c r="AJ493" i="2" s="1"/>
  <c r="AJ494" i="2" a="1"/>
  <c r="AJ494" i="2" s="1"/>
  <c r="AJ495" i="2" a="1"/>
  <c r="AJ495" i="2" s="1"/>
  <c r="AJ496" i="2" a="1"/>
  <c r="AJ496" i="2" s="1"/>
  <c r="AJ497" i="2" a="1"/>
  <c r="AJ497" i="2" s="1"/>
  <c r="AJ498" i="2" a="1"/>
  <c r="AJ498" i="2" s="1"/>
  <c r="AJ499" i="2" a="1"/>
  <c r="AJ499" i="2" s="1"/>
  <c r="AJ500" i="2" a="1"/>
  <c r="AJ500" i="2" s="1"/>
  <c r="AJ501" i="2" a="1"/>
  <c r="AJ501" i="2"/>
  <c r="AJ502" i="2" a="1"/>
  <c r="AJ502" i="2" s="1"/>
  <c r="AJ503" i="2" a="1"/>
  <c r="AJ503" i="2" s="1"/>
  <c r="AJ504" i="2" a="1"/>
  <c r="AJ504" i="2" s="1"/>
  <c r="AJ505" i="2" a="1"/>
  <c r="AJ505" i="2" s="1"/>
  <c r="AJ506" i="2" a="1"/>
  <c r="AJ506" i="2" s="1"/>
  <c r="AJ507" i="2" a="1"/>
  <c r="AJ507" i="2" s="1"/>
  <c r="AJ508" i="2" a="1"/>
  <c r="AJ508" i="2" s="1"/>
  <c r="AJ509" i="2" a="1"/>
  <c r="AJ509" i="2" s="1"/>
  <c r="AJ510" i="2" a="1"/>
  <c r="AJ510" i="2"/>
  <c r="AJ511" i="2" a="1"/>
  <c r="AJ511" i="2" s="1"/>
  <c r="AJ512" i="2" a="1"/>
  <c r="AJ512" i="2" s="1"/>
  <c r="AJ513" i="2" a="1"/>
  <c r="AJ513" i="2"/>
  <c r="AJ514" i="2" a="1"/>
  <c r="AJ514" i="2" s="1"/>
  <c r="AJ515" i="2" a="1"/>
  <c r="AJ515" i="2" s="1"/>
  <c r="AJ516" i="2" a="1"/>
  <c r="AJ516" i="2" s="1"/>
  <c r="AJ517" i="2" a="1"/>
  <c r="AJ517" i="2" s="1"/>
  <c r="AJ518" i="2" a="1"/>
  <c r="AJ518" i="2" s="1"/>
  <c r="AJ519" i="2" a="1"/>
  <c r="AJ519" i="2" s="1"/>
  <c r="AJ520" i="2" a="1"/>
  <c r="AJ520" i="2" s="1"/>
  <c r="AJ521" i="2" a="1"/>
  <c r="AJ521" i="2" s="1"/>
  <c r="AJ522" i="2" a="1"/>
  <c r="AJ522" i="2" s="1"/>
  <c r="AJ523" i="2" a="1"/>
  <c r="AJ523" i="2" s="1"/>
  <c r="AJ524" i="2" a="1"/>
  <c r="AJ524" i="2" s="1"/>
  <c r="AJ525" i="2" a="1"/>
  <c r="AJ525" i="2" s="1"/>
  <c r="AJ526" i="2" a="1"/>
  <c r="AJ526" i="2" s="1"/>
  <c r="AJ527" i="2" a="1"/>
  <c r="AJ527" i="2" s="1"/>
  <c r="AJ528" i="2" a="1"/>
  <c r="AJ528" i="2" s="1"/>
  <c r="AJ529" i="2" a="1"/>
  <c r="AJ529" i="2" s="1"/>
  <c r="AJ530" i="2" a="1"/>
  <c r="AJ530" i="2" s="1"/>
  <c r="AJ531" i="2" a="1"/>
  <c r="AJ531" i="2" s="1"/>
  <c r="AJ532" i="2" a="1"/>
  <c r="AJ532" i="2" s="1"/>
  <c r="AJ533" i="2" a="1"/>
  <c r="AJ533" i="2" s="1"/>
  <c r="AJ534" i="2" a="1"/>
  <c r="AJ534" i="2" s="1"/>
  <c r="AJ535" i="2" a="1"/>
  <c r="AJ535" i="2" s="1"/>
  <c r="AJ536" i="2" a="1"/>
  <c r="AJ536" i="2" s="1"/>
  <c r="AJ537" i="2" a="1"/>
  <c r="AJ537" i="2" s="1"/>
  <c r="AJ538" i="2" a="1"/>
  <c r="AJ538" i="2" s="1"/>
  <c r="AJ539" i="2" a="1"/>
  <c r="AJ539" i="2" s="1"/>
  <c r="AJ540" i="2" a="1"/>
  <c r="AJ540" i="2" s="1"/>
  <c r="AJ541" i="2" a="1"/>
  <c r="AJ541" i="2" s="1"/>
  <c r="AJ542" i="2" a="1"/>
  <c r="AJ542" i="2" s="1"/>
  <c r="AJ543" i="2" a="1"/>
  <c r="AJ543" i="2" s="1"/>
  <c r="AJ544" i="2" a="1"/>
  <c r="AJ544" i="2" s="1"/>
  <c r="AJ545" i="2" a="1"/>
  <c r="AJ545" i="2" s="1"/>
  <c r="AJ546" i="2" a="1"/>
  <c r="AJ546" i="2" s="1"/>
  <c r="AJ547" i="2" a="1"/>
  <c r="AJ547" i="2" s="1"/>
  <c r="AJ548" i="2" a="1"/>
  <c r="AJ548" i="2" s="1"/>
  <c r="AJ549" i="2" a="1"/>
  <c r="AJ549" i="2" s="1"/>
  <c r="AJ550" i="2" a="1"/>
  <c r="AJ550" i="2" s="1"/>
  <c r="AJ551" i="2" a="1"/>
  <c r="AJ551" i="2" s="1"/>
  <c r="AJ552" i="2" a="1"/>
  <c r="AJ552" i="2" s="1"/>
  <c r="AJ553" i="2" a="1"/>
  <c r="AJ553" i="2"/>
  <c r="AJ554" i="2" a="1"/>
  <c r="AJ554" i="2" s="1"/>
  <c r="AJ555" i="2" a="1"/>
  <c r="AJ555" i="2" s="1"/>
  <c r="AJ556" i="2" a="1"/>
  <c r="AJ556" i="2" s="1"/>
  <c r="AJ557" i="2" a="1"/>
  <c r="AJ557" i="2" s="1"/>
  <c r="AJ558" i="2" a="1"/>
  <c r="AJ558" i="2" s="1"/>
  <c r="AJ559" i="2" a="1"/>
  <c r="AJ559" i="2" s="1"/>
  <c r="AJ560" i="2" a="1"/>
  <c r="AJ560" i="2" s="1"/>
  <c r="AJ561" i="2" a="1"/>
  <c r="AJ561" i="2"/>
  <c r="AJ562" i="2" a="1"/>
  <c r="AJ562" i="2" s="1"/>
  <c r="AJ563" i="2" a="1"/>
  <c r="AJ563" i="2" s="1"/>
  <c r="AJ564" i="2" a="1"/>
  <c r="AJ564" i="2" s="1"/>
  <c r="AJ565" i="2" a="1"/>
  <c r="AJ565" i="2" s="1"/>
  <c r="AJ566" i="2" a="1"/>
  <c r="AJ566" i="2" s="1"/>
  <c r="AJ567" i="2" a="1"/>
  <c r="AJ567" i="2" s="1"/>
  <c r="AJ568" i="2" a="1"/>
  <c r="AJ568" i="2" s="1"/>
  <c r="AJ569" i="2" a="1"/>
  <c r="AJ569" i="2" s="1"/>
  <c r="AJ570" i="2" a="1"/>
  <c r="AJ570" i="2" s="1"/>
  <c r="AJ571" i="2" a="1"/>
  <c r="AJ571" i="2" s="1"/>
  <c r="AJ572" i="2" a="1"/>
  <c r="AJ572" i="2" s="1"/>
  <c r="AJ573" i="2" a="1"/>
  <c r="AJ573" i="2" s="1"/>
  <c r="AJ574" i="2" a="1"/>
  <c r="AJ574" i="2" s="1"/>
  <c r="AJ575" i="2" a="1"/>
  <c r="AJ575" i="2" s="1"/>
  <c r="AJ576" i="2" a="1"/>
  <c r="AJ576" i="2" s="1"/>
  <c r="AJ577" i="2" a="1"/>
  <c r="AJ577" i="2" s="1"/>
  <c r="AJ578" i="2" a="1"/>
  <c r="AJ578" i="2" s="1"/>
  <c r="AJ579" i="2" a="1"/>
  <c r="AJ579" i="2" s="1"/>
  <c r="AJ580" i="2" a="1"/>
  <c r="AJ580" i="2" s="1"/>
  <c r="AJ581" i="2" a="1"/>
  <c r="AJ581" i="2" s="1"/>
  <c r="AJ582" i="2" a="1"/>
  <c r="AJ582" i="2" s="1"/>
  <c r="AJ583" i="2" a="1"/>
  <c r="AJ583" i="2" s="1"/>
  <c r="AJ584" i="2" a="1"/>
  <c r="AJ584" i="2" s="1"/>
  <c r="AJ585" i="2" a="1"/>
  <c r="AJ585" i="2" s="1"/>
  <c r="AJ586" i="2" a="1"/>
  <c r="AJ586" i="2" s="1"/>
  <c r="AJ587" i="2" a="1"/>
  <c r="AJ587" i="2" s="1"/>
  <c r="AJ588" i="2" a="1"/>
  <c r="AJ588" i="2" s="1"/>
  <c r="AJ589" i="2" a="1"/>
  <c r="AJ589" i="2" s="1"/>
  <c r="AJ590" i="2" a="1"/>
  <c r="AJ590" i="2" s="1"/>
  <c r="AJ591" i="2" a="1"/>
  <c r="AJ591" i="2" s="1"/>
  <c r="AJ592" i="2" a="1"/>
  <c r="AJ592" i="2" s="1"/>
  <c r="AJ593" i="2" a="1"/>
  <c r="AJ593" i="2" s="1"/>
  <c r="AJ594" i="2" a="1"/>
  <c r="AJ594" i="2" s="1"/>
  <c r="AJ595" i="2" a="1"/>
  <c r="AJ595" i="2" s="1"/>
  <c r="AJ596" i="2" a="1"/>
  <c r="AJ596" i="2" s="1"/>
  <c r="AJ597" i="2" a="1"/>
  <c r="AJ597" i="2" s="1"/>
  <c r="AJ598" i="2" a="1"/>
  <c r="AJ598" i="2" s="1"/>
  <c r="AJ599" i="2" a="1"/>
  <c r="AJ599" i="2" s="1"/>
  <c r="AJ600" i="2" a="1"/>
  <c r="AJ600" i="2" s="1"/>
  <c r="AJ601" i="2" a="1"/>
  <c r="AJ601" i="2" s="1"/>
  <c r="AJ602" i="2" a="1"/>
  <c r="AJ602" i="2" s="1"/>
  <c r="AJ603" i="2" a="1"/>
  <c r="AJ603" i="2" s="1"/>
  <c r="AJ604" i="2" a="1"/>
  <c r="AJ604" i="2" s="1"/>
  <c r="AJ605" i="2" a="1"/>
  <c r="AJ605" i="2" s="1"/>
  <c r="AJ606" i="2" a="1"/>
  <c r="AJ606" i="2" s="1"/>
  <c r="AJ607" i="2" a="1"/>
  <c r="AJ607" i="2" s="1"/>
  <c r="AJ608" i="2" a="1"/>
  <c r="AJ608" i="2" s="1"/>
  <c r="AJ609" i="2" a="1"/>
  <c r="AJ609" i="2"/>
  <c r="AJ610" i="2" a="1"/>
  <c r="AJ610" i="2" s="1"/>
  <c r="AJ611" i="2" a="1"/>
  <c r="AJ611" i="2"/>
  <c r="AJ612" i="2" a="1"/>
  <c r="AJ612" i="2" s="1"/>
  <c r="AJ613" i="2" a="1"/>
  <c r="AJ613" i="2" s="1"/>
  <c r="AJ614" i="2" a="1"/>
  <c r="AJ614" i="2" s="1"/>
  <c r="AJ615" i="2" a="1"/>
  <c r="AJ615" i="2" s="1"/>
  <c r="AJ616" i="2" a="1"/>
  <c r="AJ616" i="2" s="1"/>
  <c r="AJ617" i="2" a="1"/>
  <c r="AJ617" i="2" s="1"/>
  <c r="AJ618" i="2" a="1"/>
  <c r="AJ618" i="2" s="1"/>
  <c r="AJ619" i="2" a="1"/>
  <c r="AJ619" i="2" s="1"/>
  <c r="AJ620" i="2" a="1"/>
  <c r="AJ620" i="2" s="1"/>
  <c r="AJ621" i="2" a="1"/>
  <c r="AJ621" i="2" s="1"/>
  <c r="AJ622" i="2" a="1"/>
  <c r="AJ622" i="2" s="1"/>
  <c r="AJ623" i="2" a="1"/>
  <c r="AJ623" i="2" s="1"/>
  <c r="AJ624" i="2" a="1"/>
  <c r="AJ624" i="2" s="1"/>
  <c r="AJ625" i="2" a="1"/>
  <c r="AJ625" i="2" s="1"/>
  <c r="AJ626" i="2" a="1"/>
  <c r="AJ626" i="2" s="1"/>
  <c r="AJ627" i="2" a="1"/>
  <c r="AJ627" i="2" s="1"/>
  <c r="AJ628" i="2" a="1"/>
  <c r="AJ628" i="2" s="1"/>
  <c r="AJ629" i="2" a="1"/>
  <c r="AJ629" i="2" s="1"/>
  <c r="AJ630" i="2" a="1"/>
  <c r="AJ630" i="2" s="1"/>
  <c r="AJ631" i="2" a="1"/>
  <c r="AJ631" i="2" s="1"/>
  <c r="AJ632" i="2" a="1"/>
  <c r="AJ632" i="2" s="1"/>
  <c r="AJ633" i="2" a="1"/>
  <c r="AJ633" i="2"/>
  <c r="AJ634" i="2" a="1"/>
  <c r="AJ634" i="2" s="1"/>
  <c r="AJ635" i="2" a="1"/>
  <c r="AJ635" i="2"/>
  <c r="AJ636" i="2" a="1"/>
  <c r="AJ636" i="2" s="1"/>
  <c r="AJ637" i="2" a="1"/>
  <c r="AJ637" i="2" s="1"/>
  <c r="AJ638" i="2" a="1"/>
  <c r="AJ638" i="2" s="1"/>
  <c r="AJ639" i="2" a="1"/>
  <c r="AJ639" i="2" s="1"/>
  <c r="AJ640" i="2" a="1"/>
  <c r="AJ640" i="2" s="1"/>
  <c r="AJ641" i="2" a="1"/>
  <c r="AJ641" i="2" s="1"/>
  <c r="AJ642" i="2" a="1"/>
  <c r="AJ642" i="2" s="1"/>
  <c r="AJ643" i="2" a="1"/>
  <c r="AJ643" i="2" s="1"/>
  <c r="AJ644" i="2" a="1"/>
  <c r="AJ644" i="2" s="1"/>
  <c r="AJ645" i="2" a="1"/>
  <c r="AJ645" i="2"/>
  <c r="AJ646" i="2" a="1"/>
  <c r="AJ646" i="2" s="1"/>
  <c r="AJ647" i="2" a="1"/>
  <c r="AJ647" i="2" s="1"/>
  <c r="AJ648" i="2" a="1"/>
  <c r="AJ648" i="2" s="1"/>
  <c r="AJ649" i="2" a="1"/>
  <c r="AJ649" i="2" s="1"/>
  <c r="AJ650" i="2" a="1"/>
  <c r="AJ650" i="2" s="1"/>
  <c r="AJ651" i="2" a="1"/>
  <c r="AJ651" i="2" s="1"/>
  <c r="AJ652" i="2" a="1"/>
  <c r="AJ652" i="2" s="1"/>
  <c r="AJ653" i="2" a="1"/>
  <c r="AJ653" i="2" s="1"/>
  <c r="AJ654" i="2" a="1"/>
  <c r="AJ654" i="2" s="1"/>
  <c r="AJ655" i="2" a="1"/>
  <c r="AJ655" i="2" s="1"/>
  <c r="AJ656" i="2" a="1"/>
  <c r="AJ656" i="2" s="1"/>
  <c r="AJ657" i="2" a="1"/>
  <c r="AJ657" i="2" s="1"/>
  <c r="AJ658" i="2" a="1"/>
  <c r="AJ658" i="2" s="1"/>
  <c r="AJ659" i="2" a="1"/>
  <c r="AJ659" i="2" s="1"/>
  <c r="AJ660" i="2" a="1"/>
  <c r="AJ660" i="2" s="1"/>
  <c r="AJ661" i="2" a="1"/>
  <c r="AJ661" i="2" s="1"/>
  <c r="AJ662" i="2" a="1"/>
  <c r="AJ662" i="2" s="1"/>
  <c r="AJ663" i="2" a="1"/>
  <c r="AJ663" i="2" s="1"/>
  <c r="AJ664" i="2" a="1"/>
  <c r="AJ664" i="2" s="1"/>
  <c r="AJ665" i="2" a="1"/>
  <c r="AJ665" i="2"/>
  <c r="AJ666" i="2" a="1"/>
  <c r="AJ666" i="2"/>
  <c r="AJ667" i="2" a="1"/>
  <c r="AJ667" i="2" s="1"/>
  <c r="AJ668" i="2" a="1"/>
  <c r="AJ668" i="2" s="1"/>
  <c r="AJ669" i="2" a="1"/>
  <c r="AJ669" i="2" s="1"/>
  <c r="AJ670" i="2" a="1"/>
  <c r="AJ670" i="2" s="1"/>
  <c r="AJ671" i="2" a="1"/>
  <c r="AJ671" i="2" s="1"/>
  <c r="AJ672" i="2" a="1"/>
  <c r="AJ672" i="2" s="1"/>
  <c r="AJ673" i="2" a="1"/>
  <c r="AJ673" i="2" s="1"/>
  <c r="AJ674" i="2" a="1"/>
  <c r="AJ674" i="2" s="1"/>
  <c r="AJ675" i="2" a="1"/>
  <c r="AJ675" i="2" s="1"/>
  <c r="AJ676" i="2" a="1"/>
  <c r="AJ676" i="2" s="1"/>
  <c r="AJ677" i="2" a="1"/>
  <c r="AJ677" i="2" s="1"/>
  <c r="AJ678" i="2" a="1"/>
  <c r="AJ678" i="2" s="1"/>
  <c r="AJ679" i="2" a="1"/>
  <c r="AJ679" i="2" s="1"/>
  <c r="AJ680" i="2" a="1"/>
  <c r="AJ680" i="2" s="1"/>
  <c r="AJ681" i="2" a="1"/>
  <c r="AJ681" i="2" s="1"/>
  <c r="AJ682" i="2" a="1"/>
  <c r="AJ682" i="2" s="1"/>
  <c r="AJ683" i="2" a="1"/>
  <c r="AJ683" i="2" s="1"/>
  <c r="AJ684" i="2" a="1"/>
  <c r="AJ684" i="2" s="1"/>
  <c r="AJ685" i="2" a="1"/>
  <c r="AJ685" i="2" s="1"/>
  <c r="AJ686" i="2" a="1"/>
  <c r="AJ686" i="2" s="1"/>
  <c r="AJ687" i="2" a="1"/>
  <c r="AJ687" i="2" s="1"/>
  <c r="AJ688" i="2" a="1"/>
  <c r="AJ688" i="2" s="1"/>
  <c r="AJ689" i="2" a="1"/>
  <c r="AJ689" i="2" s="1"/>
  <c r="AJ690" i="2" a="1"/>
  <c r="AJ690" i="2" s="1"/>
  <c r="AJ691" i="2" a="1"/>
  <c r="AJ691" i="2" s="1"/>
  <c r="AJ692" i="2" a="1"/>
  <c r="AJ692" i="2" s="1"/>
  <c r="AJ693" i="2" a="1"/>
  <c r="AJ693" i="2" s="1"/>
  <c r="AJ694" i="2" a="1"/>
  <c r="AJ694" i="2" s="1"/>
  <c r="AJ695" i="2" a="1"/>
  <c r="AJ695" i="2" s="1"/>
  <c r="AJ696" i="2" a="1"/>
  <c r="AJ696" i="2"/>
  <c r="AJ697" i="2" a="1"/>
  <c r="AJ697" i="2" s="1"/>
  <c r="AJ698" i="2" a="1"/>
  <c r="AJ698" i="2" s="1"/>
  <c r="AJ699" i="2" a="1"/>
  <c r="AJ699" i="2" s="1"/>
  <c r="AJ700" i="2" a="1"/>
  <c r="AJ700" i="2"/>
  <c r="AJ701" i="2" a="1"/>
  <c r="AJ701" i="2" s="1"/>
  <c r="AJ702" i="2" a="1"/>
  <c r="AJ702" i="2" s="1"/>
  <c r="AJ703" i="2" a="1"/>
  <c r="AJ703" i="2" s="1"/>
  <c r="AJ704" i="2" a="1"/>
  <c r="AJ704" i="2" s="1"/>
  <c r="AJ705" i="2" a="1"/>
  <c r="AJ705" i="2" s="1"/>
  <c r="AJ706" i="2" a="1"/>
  <c r="AJ706" i="2"/>
  <c r="AJ707" i="2" a="1"/>
  <c r="AJ707" i="2" s="1"/>
  <c r="AJ708" i="2" a="1"/>
  <c r="AJ708" i="2" s="1"/>
  <c r="AJ709" i="2" a="1"/>
  <c r="AJ709" i="2" s="1"/>
  <c r="AJ710" i="2" a="1"/>
  <c r="AJ710" i="2" s="1"/>
  <c r="AJ711" i="2" a="1"/>
  <c r="AJ711" i="2"/>
  <c r="AJ712" i="2" a="1"/>
  <c r="AJ712" i="2" s="1"/>
  <c r="AJ713" i="2" a="1"/>
  <c r="AJ713" i="2"/>
  <c r="AJ714" i="2" a="1"/>
  <c r="AJ714" i="2" s="1"/>
  <c r="AJ715" i="2" a="1"/>
  <c r="AJ715" i="2" s="1"/>
  <c r="AJ716" i="2" a="1"/>
  <c r="AJ716" i="2" s="1"/>
  <c r="AJ717" i="2" a="1"/>
  <c r="AJ717" i="2" s="1"/>
  <c r="AJ718" i="2" a="1"/>
  <c r="AJ718" i="2"/>
  <c r="AJ719" i="2" a="1"/>
  <c r="AJ719" i="2" s="1"/>
  <c r="AJ720" i="2" a="1"/>
  <c r="AJ720" i="2" s="1"/>
  <c r="AJ721" i="2" a="1"/>
  <c r="AJ721" i="2"/>
  <c r="AJ722" i="2" a="1"/>
  <c r="AJ722" i="2" s="1"/>
  <c r="AJ723" i="2" a="1"/>
  <c r="AJ723" i="2" s="1"/>
  <c r="AJ724" i="2" a="1"/>
  <c r="AJ724" i="2" s="1"/>
  <c r="AJ725" i="2" a="1"/>
  <c r="AJ725" i="2" s="1"/>
  <c r="AJ726" i="2" a="1"/>
  <c r="AJ726" i="2" s="1"/>
  <c r="AJ727" i="2" a="1"/>
  <c r="AJ727" i="2" s="1"/>
  <c r="AJ728" i="2" a="1"/>
  <c r="AJ728" i="2" s="1"/>
  <c r="AJ729" i="2" a="1"/>
  <c r="AJ729" i="2"/>
  <c r="AJ730" i="2" a="1"/>
  <c r="AJ730" i="2" s="1"/>
  <c r="AJ731" i="2" a="1"/>
  <c r="AJ731" i="2"/>
  <c r="AJ732" i="2" a="1"/>
  <c r="AJ732" i="2"/>
  <c r="AJ733" i="2" a="1"/>
  <c r="AJ733" i="2" s="1"/>
  <c r="AJ734" i="2" a="1"/>
  <c r="AJ734" i="2" s="1"/>
  <c r="AJ735" i="2" a="1"/>
  <c r="AJ735" i="2" s="1"/>
  <c r="AJ736" i="2" a="1"/>
  <c r="AJ736" i="2" s="1"/>
  <c r="AJ737" i="2" a="1"/>
  <c r="AJ737" i="2" s="1"/>
  <c r="AJ738" i="2" a="1"/>
  <c r="AJ738" i="2" s="1"/>
  <c r="AJ739" i="2" a="1"/>
  <c r="AJ739" i="2" s="1"/>
  <c r="AJ740" i="2" a="1"/>
  <c r="AJ740" i="2" s="1"/>
  <c r="AJ741" i="2" a="1"/>
  <c r="AJ741" i="2" s="1"/>
  <c r="AJ742" i="2" a="1"/>
  <c r="AJ742" i="2" s="1"/>
  <c r="AJ743" i="2" a="1"/>
  <c r="AJ743" i="2" s="1"/>
  <c r="AJ744" i="2" a="1"/>
  <c r="AJ744" i="2" s="1"/>
  <c r="AJ745" i="2" a="1"/>
  <c r="AJ745" i="2" s="1"/>
  <c r="AJ746" i="2" a="1"/>
  <c r="AJ746" i="2" s="1"/>
  <c r="AJ747" i="2" a="1"/>
  <c r="AJ747" i="2" s="1"/>
  <c r="AJ748" i="2" a="1"/>
  <c r="AJ748" i="2" s="1"/>
  <c r="AJ749" i="2" a="1"/>
  <c r="AJ749" i="2" s="1"/>
  <c r="AJ750" i="2" a="1"/>
  <c r="AJ750" i="2" s="1"/>
  <c r="AJ751" i="2" a="1"/>
  <c r="AJ751" i="2" s="1"/>
  <c r="AJ752" i="2" a="1"/>
  <c r="AJ752" i="2" s="1"/>
  <c r="AJ753" i="2" a="1"/>
  <c r="AJ753" i="2" s="1"/>
  <c r="AJ754" i="2" a="1"/>
  <c r="AJ754" i="2" s="1"/>
  <c r="AJ755" i="2" a="1"/>
  <c r="AJ755" i="2" s="1"/>
  <c r="AJ756" i="2" a="1"/>
  <c r="AJ756" i="2" s="1"/>
  <c r="AJ757" i="2" a="1"/>
  <c r="AJ757" i="2" s="1"/>
  <c r="AJ758" i="2" a="1"/>
  <c r="AJ758" i="2" s="1"/>
  <c r="AJ759" i="2" a="1"/>
  <c r="AJ759" i="2" s="1"/>
  <c r="AJ760" i="2" a="1"/>
  <c r="AJ760" i="2" s="1"/>
  <c r="AJ761" i="2" a="1"/>
  <c r="AJ761" i="2" s="1"/>
  <c r="AJ762" i="2" a="1"/>
  <c r="AJ762" i="2" s="1"/>
  <c r="AJ763" i="2" a="1"/>
  <c r="AJ763" i="2" s="1"/>
  <c r="AJ764" i="2" a="1"/>
  <c r="AJ764" i="2" s="1"/>
  <c r="AJ765" i="2" a="1"/>
  <c r="AJ765" i="2"/>
  <c r="AJ766" i="2" a="1"/>
  <c r="AJ766" i="2" s="1"/>
  <c r="AJ767" i="2" a="1"/>
  <c r="AJ767" i="2" s="1"/>
  <c r="AJ768" i="2" a="1"/>
  <c r="AJ768" i="2" s="1"/>
  <c r="AJ769" i="2" a="1"/>
  <c r="AJ769" i="2" s="1"/>
  <c r="AJ770" i="2" a="1"/>
  <c r="AJ770" i="2" s="1"/>
  <c r="AJ771" i="2" a="1"/>
  <c r="AJ771" i="2" s="1"/>
  <c r="AJ772" i="2" a="1"/>
  <c r="AJ772" i="2" s="1"/>
  <c r="AJ773" i="2" a="1"/>
  <c r="AJ773" i="2" s="1"/>
  <c r="AJ774" i="2" a="1"/>
  <c r="AJ774" i="2" s="1"/>
  <c r="AJ775" i="2" a="1"/>
  <c r="AJ775" i="2" s="1"/>
  <c r="AJ776" i="2" a="1"/>
  <c r="AJ776" i="2" s="1"/>
  <c r="AJ777" i="2" a="1"/>
  <c r="AJ777" i="2" s="1"/>
  <c r="AJ778" i="2" a="1"/>
  <c r="AJ778" i="2" s="1"/>
  <c r="AJ779" i="2" a="1"/>
  <c r="AJ779" i="2"/>
  <c r="AJ780" i="2" a="1"/>
  <c r="AJ780" i="2" s="1"/>
  <c r="AJ781" i="2" a="1"/>
  <c r="AJ781" i="2" s="1"/>
  <c r="AJ782" i="2" a="1"/>
  <c r="AJ782" i="2" s="1"/>
  <c r="AJ783" i="2" a="1"/>
  <c r="AJ783" i="2" s="1"/>
  <c r="AJ784" i="2" a="1"/>
  <c r="AJ784" i="2" s="1"/>
  <c r="AJ785" i="2" a="1"/>
  <c r="AJ785" i="2"/>
  <c r="AJ786" i="2" a="1"/>
  <c r="AJ786" i="2" s="1"/>
  <c r="AJ787" i="2" a="1"/>
  <c r="AJ787" i="2" s="1"/>
  <c r="AJ788" i="2" a="1"/>
  <c r="AJ788" i="2" s="1"/>
  <c r="AJ789" i="2" a="1"/>
  <c r="AJ789" i="2" s="1"/>
  <c r="AJ790" i="2" a="1"/>
  <c r="AJ790" i="2" s="1"/>
  <c r="AJ791" i="2" a="1"/>
  <c r="AJ791" i="2" s="1"/>
  <c r="AJ792" i="2" a="1"/>
  <c r="AJ792" i="2" s="1"/>
  <c r="AJ793" i="2" a="1"/>
  <c r="AJ793" i="2" s="1"/>
  <c r="AJ794" i="2" a="1"/>
  <c r="AJ794" i="2" s="1"/>
  <c r="AJ795" i="2" a="1"/>
  <c r="AJ795" i="2" s="1"/>
  <c r="AJ796" i="2" a="1"/>
  <c r="AJ796" i="2"/>
  <c r="AJ797" i="2" a="1"/>
  <c r="AJ797" i="2" s="1"/>
  <c r="AJ798" i="2" a="1"/>
  <c r="AJ798" i="2"/>
  <c r="AJ799" i="2" a="1"/>
  <c r="AJ799" i="2" s="1"/>
  <c r="AJ800" i="2" a="1"/>
  <c r="AJ800" i="2" s="1"/>
  <c r="AJ801" i="2" a="1"/>
  <c r="AJ801" i="2" s="1"/>
  <c r="AJ802" i="2" a="1"/>
  <c r="AJ802" i="2" s="1"/>
  <c r="AJ803" i="2" a="1"/>
  <c r="AJ803" i="2" s="1"/>
  <c r="AJ804" i="2" a="1"/>
  <c r="AJ804" i="2" s="1"/>
  <c r="AJ805" i="2" a="1"/>
  <c r="AJ805" i="2" s="1"/>
  <c r="AJ806" i="2" a="1"/>
  <c r="AJ806" i="2" s="1"/>
  <c r="AJ807" i="2" a="1"/>
  <c r="AJ807" i="2" s="1"/>
  <c r="AJ808" i="2" a="1"/>
  <c r="AJ808" i="2" s="1"/>
  <c r="AJ809" i="2" a="1"/>
  <c r="AJ809" i="2" s="1"/>
  <c r="AJ810" i="2" a="1"/>
  <c r="AJ810" i="2" s="1"/>
  <c r="AJ811" i="2" a="1"/>
  <c r="AJ811" i="2" s="1"/>
  <c r="AJ812" i="2" a="1"/>
  <c r="AJ812" i="2" s="1"/>
  <c r="AJ813" i="2" a="1"/>
  <c r="AJ813" i="2" s="1"/>
  <c r="AJ814" i="2" a="1"/>
  <c r="AJ814" i="2" s="1"/>
  <c r="AJ815" i="2" a="1"/>
  <c r="AJ815" i="2" s="1"/>
  <c r="AJ816" i="2" a="1"/>
  <c r="AJ816" i="2" s="1"/>
  <c r="AJ817" i="2" a="1"/>
  <c r="AJ817" i="2" s="1"/>
  <c r="AJ818" i="2" a="1"/>
  <c r="AJ818" i="2" s="1"/>
  <c r="AJ819" i="2" a="1"/>
  <c r="AJ819" i="2" s="1"/>
  <c r="AJ820" i="2" a="1"/>
  <c r="AJ820" i="2" s="1"/>
  <c r="AJ821" i="2" a="1"/>
  <c r="AJ821" i="2" s="1"/>
  <c r="AJ822" i="2" a="1"/>
  <c r="AJ822" i="2" s="1"/>
  <c r="AJ823" i="2" a="1"/>
  <c r="AJ823" i="2" s="1"/>
  <c r="AJ824" i="2" a="1"/>
  <c r="AJ824" i="2" s="1"/>
  <c r="AJ825" i="2" a="1"/>
  <c r="AJ825" i="2" s="1"/>
  <c r="AJ826" i="2" a="1"/>
  <c r="AJ826" i="2" s="1"/>
  <c r="AJ827" i="2" a="1"/>
  <c r="AJ827" i="2" s="1"/>
  <c r="AJ828" i="2" a="1"/>
  <c r="AJ828" i="2" s="1"/>
  <c r="AJ829" i="2" a="1"/>
  <c r="AJ829" i="2" s="1"/>
  <c r="AJ830" i="2" a="1"/>
  <c r="AJ830" i="2" s="1"/>
  <c r="AJ831" i="2" a="1"/>
  <c r="AJ831" i="2" s="1"/>
  <c r="AJ832" i="2" a="1"/>
  <c r="AJ832" i="2"/>
  <c r="AJ833" i="2" a="1"/>
  <c r="AJ833" i="2" s="1"/>
  <c r="AJ834" i="2" a="1"/>
  <c r="AJ834" i="2"/>
  <c r="AJ835" i="2" a="1"/>
  <c r="AJ835" i="2" s="1"/>
  <c r="AJ836" i="2" a="1"/>
  <c r="AJ836" i="2" s="1"/>
  <c r="AJ837" i="2" a="1"/>
  <c r="AJ837" i="2" s="1"/>
  <c r="AJ838" i="2" a="1"/>
  <c r="AJ838" i="2" s="1"/>
  <c r="AJ839" i="2" a="1"/>
  <c r="AJ839" i="2" s="1"/>
  <c r="AJ840" i="2" a="1"/>
  <c r="AJ840" i="2" s="1"/>
  <c r="AJ841" i="2" a="1"/>
  <c r="AJ841" i="2" s="1"/>
  <c r="AJ842" i="2" a="1"/>
  <c r="AJ842" i="2" s="1"/>
  <c r="AJ843" i="2" a="1"/>
  <c r="AJ843" i="2" s="1"/>
  <c r="AJ844" i="2" a="1"/>
  <c r="AJ844" i="2" s="1"/>
  <c r="AJ845" i="2" a="1"/>
  <c r="AJ845" i="2" s="1"/>
  <c r="AJ846" i="2" a="1"/>
  <c r="AJ846" i="2" s="1"/>
  <c r="AJ847" i="2" a="1"/>
  <c r="AJ847" i="2" s="1"/>
  <c r="AJ848" i="2" a="1"/>
  <c r="AJ848" i="2"/>
  <c r="AJ849" i="2" a="1"/>
  <c r="AJ849" i="2" s="1"/>
  <c r="AJ850" i="2" a="1"/>
  <c r="AJ850" i="2" s="1"/>
  <c r="AJ851" i="2" a="1"/>
  <c r="AJ851" i="2" s="1"/>
  <c r="AJ852" i="2" a="1"/>
  <c r="AJ852" i="2" s="1"/>
  <c r="AJ853" i="2" a="1"/>
  <c r="AJ853" i="2" s="1"/>
  <c r="AJ854" i="2" a="1"/>
  <c r="AJ854" i="2"/>
  <c r="AJ855" i="2" a="1"/>
  <c r="AJ855" i="2" s="1"/>
  <c r="AJ856" i="2" a="1"/>
  <c r="AJ856" i="2" s="1"/>
  <c r="AJ857" i="2" a="1"/>
  <c r="AJ857" i="2" s="1"/>
  <c r="AJ858" i="2" a="1"/>
  <c r="AJ858" i="2" s="1"/>
  <c r="AJ859" i="2" a="1"/>
  <c r="AJ859" i="2" s="1"/>
  <c r="AJ860" i="2" a="1"/>
  <c r="AJ860" i="2"/>
  <c r="AJ861" i="2" a="1"/>
  <c r="AJ861" i="2" s="1"/>
  <c r="AJ862" i="2" a="1"/>
  <c r="AJ862" i="2" s="1"/>
  <c r="AJ863" i="2" a="1"/>
  <c r="AJ863" i="2" s="1"/>
  <c r="AJ864" i="2" a="1"/>
  <c r="AJ864" i="2"/>
  <c r="AJ865" i="2" a="1"/>
  <c r="AJ865" i="2" s="1"/>
  <c r="AJ866" i="2" a="1"/>
  <c r="AJ866" i="2" s="1"/>
  <c r="AJ867" i="2" a="1"/>
  <c r="AJ867" i="2" s="1"/>
  <c r="AJ868" i="2" a="1"/>
  <c r="AJ868" i="2" s="1"/>
  <c r="AJ869" i="2" a="1"/>
  <c r="AJ869" i="2" s="1"/>
  <c r="AJ870" i="2" a="1"/>
  <c r="AJ870" i="2" s="1"/>
  <c r="AJ871" i="2" a="1"/>
  <c r="AJ871" i="2" s="1"/>
  <c r="AJ872" i="2" a="1"/>
  <c r="AJ872" i="2" s="1"/>
  <c r="AJ873" i="2" a="1"/>
  <c r="AJ873" i="2" s="1"/>
  <c r="AJ874" i="2" a="1"/>
  <c r="AJ874" i="2" s="1"/>
  <c r="AJ875" i="2" a="1"/>
  <c r="AJ875" i="2" s="1"/>
  <c r="AJ876" i="2" a="1"/>
  <c r="AJ876" i="2"/>
  <c r="AJ877" i="2" a="1"/>
  <c r="AJ877" i="2" s="1"/>
  <c r="AJ878" i="2" a="1"/>
  <c r="AJ878" i="2" s="1"/>
  <c r="AJ879" i="2" a="1"/>
  <c r="AJ879" i="2" s="1"/>
  <c r="AJ880" i="2" a="1"/>
  <c r="AJ880" i="2" s="1"/>
  <c r="AJ881" i="2" a="1"/>
  <c r="AJ881" i="2" s="1"/>
  <c r="AJ882" i="2" a="1"/>
  <c r="AJ882" i="2" s="1"/>
  <c r="AJ883" i="2" a="1"/>
  <c r="AJ883" i="2" s="1"/>
  <c r="AJ884" i="2" a="1"/>
  <c r="AJ884" i="2" s="1"/>
  <c r="AJ885" i="2" a="1"/>
  <c r="AJ885" i="2" s="1"/>
  <c r="AJ886" i="2" a="1"/>
  <c r="AJ886" i="2" s="1"/>
  <c r="AJ887" i="2" a="1"/>
  <c r="AJ887" i="2"/>
  <c r="AJ888" i="2" a="1"/>
  <c r="AJ888" i="2" s="1"/>
  <c r="AJ889" i="2" a="1"/>
  <c r="AJ889" i="2" s="1"/>
  <c r="AJ890" i="2" a="1"/>
  <c r="AJ890" i="2" s="1"/>
  <c r="AJ891" i="2" a="1"/>
  <c r="AJ891" i="2" s="1"/>
  <c r="AJ892" i="2" a="1"/>
  <c r="AJ892" i="2" s="1"/>
  <c r="AJ893" i="2" a="1"/>
  <c r="AJ893" i="2" s="1"/>
  <c r="AJ894" i="2" a="1"/>
  <c r="AJ894" i="2" s="1"/>
  <c r="AJ895" i="2" a="1"/>
  <c r="AJ895" i="2" s="1"/>
  <c r="AJ896" i="2" a="1"/>
  <c r="AJ896" i="2" s="1"/>
  <c r="AJ897" i="2" a="1"/>
  <c r="AJ897" i="2" s="1"/>
  <c r="AJ898" i="2" a="1"/>
  <c r="AJ898" i="2" s="1"/>
  <c r="AJ899" i="2" a="1"/>
  <c r="AJ899" i="2" s="1"/>
  <c r="AJ900" i="2" a="1"/>
  <c r="AJ900" i="2" s="1"/>
  <c r="AJ901" i="2" a="1"/>
  <c r="AJ901" i="2" s="1"/>
  <c r="AJ902" i="2" a="1"/>
  <c r="AJ902" i="2"/>
  <c r="AJ903" i="2" a="1"/>
  <c r="AJ903" i="2" s="1"/>
  <c r="AJ904" i="2" a="1"/>
  <c r="AJ904" i="2" s="1"/>
  <c r="AJ905" i="2" a="1"/>
  <c r="AJ905" i="2" s="1"/>
  <c r="AJ906" i="2" a="1"/>
  <c r="AJ906" i="2" s="1"/>
  <c r="AJ907" i="2" a="1"/>
  <c r="AJ907" i="2" s="1"/>
  <c r="AJ908" i="2" a="1"/>
  <c r="AJ908" i="2" s="1"/>
  <c r="AJ909" i="2" a="1"/>
  <c r="AJ909" i="2" s="1"/>
  <c r="AJ910" i="2" a="1"/>
  <c r="AJ910" i="2" s="1"/>
  <c r="AJ911" i="2" a="1"/>
  <c r="AJ911" i="2" s="1"/>
  <c r="AJ912" i="2" a="1"/>
  <c r="AJ912" i="2" s="1"/>
  <c r="AJ913" i="2" a="1"/>
  <c r="AJ913" i="2" s="1"/>
  <c r="AJ914" i="2" a="1"/>
  <c r="AJ914" i="2"/>
  <c r="AJ915" i="2" a="1"/>
  <c r="AJ915" i="2" s="1"/>
  <c r="AJ916" i="2" a="1"/>
  <c r="AJ916" i="2" s="1"/>
  <c r="AJ917" i="2" a="1"/>
  <c r="AJ917" i="2" s="1"/>
  <c r="AJ918" i="2" a="1"/>
  <c r="AJ918" i="2" s="1"/>
  <c r="AJ919" i="2" a="1"/>
  <c r="AJ919" i="2" s="1"/>
  <c r="AJ920" i="2" a="1"/>
  <c r="AJ920" i="2" s="1"/>
  <c r="AJ921" i="2" a="1"/>
  <c r="AJ921" i="2" s="1"/>
  <c r="AJ922" i="2" a="1"/>
  <c r="AJ922" i="2" s="1"/>
  <c r="AJ923" i="2" a="1"/>
  <c r="AJ923" i="2" s="1"/>
  <c r="AJ924" i="2" a="1"/>
  <c r="AJ924" i="2" s="1"/>
  <c r="AJ925" i="2" a="1"/>
  <c r="AJ925" i="2" s="1"/>
  <c r="AJ926" i="2" a="1"/>
  <c r="AJ926" i="2" s="1"/>
  <c r="AJ927" i="2" a="1"/>
  <c r="AJ927" i="2" s="1"/>
  <c r="AJ928" i="2" a="1"/>
  <c r="AJ928" i="2" s="1"/>
  <c r="AJ929" i="2" a="1"/>
  <c r="AJ929" i="2" s="1"/>
  <c r="AJ930" i="2" a="1"/>
  <c r="AJ930" i="2" s="1"/>
  <c r="AJ931" i="2" a="1"/>
  <c r="AJ931" i="2" s="1"/>
  <c r="AJ932" i="2" a="1"/>
  <c r="AJ932" i="2"/>
  <c r="AJ933" i="2" a="1"/>
  <c r="AJ933" i="2" s="1"/>
  <c r="AJ934" i="2" a="1"/>
  <c r="AJ934" i="2" s="1"/>
  <c r="AJ935" i="2" a="1"/>
  <c r="AJ935" i="2" s="1"/>
  <c r="AJ936" i="2" a="1"/>
  <c r="AJ936" i="2" s="1"/>
  <c r="AJ937" i="2" a="1"/>
  <c r="AJ937" i="2" s="1"/>
  <c r="AJ938" i="2" a="1"/>
  <c r="AJ938" i="2" s="1"/>
  <c r="AJ939" i="2" a="1"/>
  <c r="AJ939" i="2" s="1"/>
  <c r="AJ940" i="2" a="1"/>
  <c r="AJ940" i="2" s="1"/>
  <c r="AJ941" i="2" a="1"/>
  <c r="AJ941" i="2" s="1"/>
  <c r="AJ942" i="2" a="1"/>
  <c r="AJ942" i="2" s="1"/>
  <c r="AJ943" i="2" a="1"/>
  <c r="AJ943" i="2"/>
  <c r="AJ944" i="2" a="1"/>
  <c r="AJ944" i="2" s="1"/>
  <c r="AJ945" i="2" a="1"/>
  <c r="AJ945" i="2" s="1"/>
  <c r="AJ946" i="2" a="1"/>
  <c r="AJ946" i="2" s="1"/>
  <c r="AJ947" i="2" a="1"/>
  <c r="AJ947" i="2" s="1"/>
  <c r="AJ948" i="2" a="1"/>
  <c r="AJ948" i="2"/>
  <c r="AJ949" i="2" a="1"/>
  <c r="AJ949" i="2" s="1"/>
  <c r="AJ950" i="2" a="1"/>
  <c r="AJ950" i="2" s="1"/>
  <c r="AJ951" i="2" a="1"/>
  <c r="AJ951" i="2" s="1"/>
  <c r="AJ952" i="2" a="1"/>
  <c r="AJ952" i="2"/>
  <c r="AJ953" i="2" a="1"/>
  <c r="AJ953" i="2" s="1"/>
  <c r="AJ954" i="2" a="1"/>
  <c r="AJ954" i="2" s="1"/>
  <c r="AJ955" i="2" a="1"/>
  <c r="AJ955" i="2" s="1"/>
  <c r="AJ956" i="2" a="1"/>
  <c r="AJ956" i="2" s="1"/>
  <c r="AJ957" i="2" a="1"/>
  <c r="AJ957" i="2" s="1"/>
  <c r="AJ958" i="2" a="1"/>
  <c r="AJ958" i="2" s="1"/>
  <c r="AJ959" i="2" a="1"/>
  <c r="AJ959" i="2" s="1"/>
  <c r="AJ960" i="2" a="1"/>
  <c r="AJ960" i="2" s="1"/>
  <c r="AJ961" i="2" a="1"/>
  <c r="AJ961" i="2" s="1"/>
  <c r="AJ962" i="2" a="1"/>
  <c r="AJ962" i="2" s="1"/>
  <c r="AJ963" i="2" a="1"/>
  <c r="AJ963" i="2" s="1"/>
  <c r="AJ964" i="2" a="1"/>
  <c r="AJ964" i="2" s="1"/>
  <c r="AJ965" i="2" a="1"/>
  <c r="AJ965" i="2" s="1"/>
  <c r="AJ966" i="2" a="1"/>
  <c r="AJ966" i="2" s="1"/>
  <c r="AJ967" i="2" a="1"/>
  <c r="AJ967" i="2" s="1"/>
  <c r="AJ968" i="2" a="1"/>
  <c r="AJ968" i="2" s="1"/>
  <c r="AJ969" i="2" a="1"/>
  <c r="AJ969" i="2" s="1"/>
  <c r="AJ970" i="2" a="1"/>
  <c r="AJ970" i="2" s="1"/>
  <c r="AJ971" i="2" a="1"/>
  <c r="AJ971" i="2" s="1"/>
  <c r="AJ972" i="2" a="1"/>
  <c r="AJ972" i="2"/>
  <c r="AJ973" i="2" a="1"/>
  <c r="AJ973" i="2" s="1"/>
  <c r="AJ974" i="2" a="1"/>
  <c r="AJ974" i="2" s="1"/>
  <c r="AJ975" i="2" a="1"/>
  <c r="AJ975" i="2" s="1"/>
  <c r="AJ976" i="2" a="1"/>
  <c r="AJ976" i="2" s="1"/>
  <c r="AJ977" i="2" a="1"/>
  <c r="AJ977" i="2" s="1"/>
  <c r="AJ978" i="2" a="1"/>
  <c r="AJ978" i="2"/>
  <c r="AJ979" i="2" a="1"/>
  <c r="AJ979" i="2" s="1"/>
  <c r="AJ980" i="2" a="1"/>
  <c r="AJ980" i="2" s="1"/>
  <c r="AJ981" i="2" a="1"/>
  <c r="AJ981" i="2" s="1"/>
  <c r="AJ982" i="2" a="1"/>
  <c r="AJ982" i="2" s="1"/>
  <c r="AJ983" i="2" a="1"/>
  <c r="AJ983" i="2" s="1"/>
  <c r="AJ984" i="2" a="1"/>
  <c r="AJ984" i="2" s="1"/>
  <c r="AJ985" i="2" a="1"/>
  <c r="AJ985" i="2" s="1"/>
  <c r="AJ986" i="2" a="1"/>
  <c r="AJ986" i="2" s="1"/>
  <c r="AJ987" i="2" a="1"/>
  <c r="AJ987" i="2" s="1"/>
  <c r="AJ988" i="2" a="1"/>
  <c r="AJ988" i="2" s="1"/>
  <c r="AJ989" i="2" a="1"/>
  <c r="AJ989" i="2"/>
  <c r="AJ990" i="2" a="1"/>
  <c r="AJ990" i="2" s="1"/>
  <c r="AJ991" i="2" a="1"/>
  <c r="AJ991" i="2" s="1"/>
  <c r="AJ992" i="2" a="1"/>
  <c r="AJ992" i="2" s="1"/>
  <c r="AJ993" i="2" a="1"/>
  <c r="AJ993" i="2" s="1"/>
  <c r="AJ994" i="2" a="1"/>
  <c r="AJ994" i="2"/>
  <c r="AJ995" i="2" a="1"/>
  <c r="AJ995" i="2" s="1"/>
  <c r="AJ996" i="2" a="1"/>
  <c r="AJ996" i="2" s="1"/>
  <c r="AJ997" i="2" a="1"/>
  <c r="AJ997" i="2" s="1"/>
  <c r="AJ998" i="2" a="1"/>
  <c r="AJ998" i="2"/>
  <c r="AJ999" i="2" a="1"/>
  <c r="AJ999" i="2" s="1"/>
  <c r="AJ1000" i="2" a="1"/>
  <c r="AJ1000" i="2"/>
  <c r="AJ1001" i="2" a="1"/>
  <c r="AJ1001" i="2" s="1"/>
  <c r="AJ1002" i="2" a="1"/>
  <c r="AJ1002" i="2" s="1"/>
  <c r="AJ1003" i="2" a="1"/>
  <c r="AJ1003" i="2" s="1"/>
  <c r="AJ1004" i="2" a="1"/>
  <c r="AJ1004" i="2"/>
  <c r="AJ1005" i="2" a="1"/>
  <c r="AJ1005" i="2" s="1"/>
  <c r="AJ1006" i="2" a="1"/>
  <c r="AJ1006" i="2" s="1"/>
  <c r="AJ1007" i="2" a="1"/>
  <c r="AJ1007" i="2"/>
  <c r="AJ1008" i="2" a="1"/>
  <c r="AJ1008" i="2" s="1"/>
  <c r="AJ1009" i="2" a="1"/>
  <c r="AJ1009" i="2" s="1"/>
  <c r="AJ1010" i="2" a="1"/>
  <c r="AJ1010" i="2" s="1"/>
  <c r="AJ1011" i="2" a="1"/>
  <c r="AJ1011" i="2" s="1"/>
  <c r="AJ1012" i="2" a="1"/>
  <c r="AJ1012" i="2"/>
  <c r="AJ1013" i="2" a="1"/>
  <c r="AJ1013" i="2" s="1"/>
  <c r="AJ1014" i="2" a="1"/>
  <c r="AJ1014" i="2" s="1"/>
  <c r="AJ1015" i="2" a="1"/>
  <c r="AJ1015" i="2" s="1"/>
  <c r="AJ1016" i="2" a="1"/>
  <c r="AJ1016" i="2" s="1"/>
  <c r="AJ1017" i="2" a="1"/>
  <c r="AJ1017" i="2" s="1"/>
  <c r="AJ1018" i="2" a="1"/>
  <c r="AJ1018" i="2" s="1"/>
  <c r="AJ1019" i="2" a="1"/>
  <c r="AJ1019" i="2"/>
  <c r="AJ1020" i="2" a="1"/>
  <c r="AJ1020" i="2" s="1"/>
  <c r="AJ1021" i="2" a="1"/>
  <c r="AJ1021" i="2"/>
  <c r="AJ1022" i="2" a="1"/>
  <c r="AJ1022" i="2"/>
  <c r="AJ1023" i="2" a="1"/>
  <c r="AJ1023" i="2" s="1"/>
  <c r="AJ1024" i="2" a="1"/>
  <c r="AJ1024" i="2" s="1"/>
  <c r="AJ1025" i="2" a="1"/>
  <c r="AJ1025" i="2"/>
  <c r="AJ1026" i="2" a="1"/>
  <c r="AJ1026" i="2" s="1"/>
  <c r="AJ1027" i="2" a="1"/>
  <c r="AJ1027" i="2" s="1"/>
  <c r="AJ1028" i="2" a="1"/>
  <c r="AJ1028" i="2" s="1"/>
  <c r="AJ1029" i="2" a="1"/>
  <c r="AJ1029" i="2" s="1"/>
  <c r="AJ1030" i="2" a="1"/>
  <c r="AJ1030" i="2" s="1"/>
  <c r="AJ1031" i="2" a="1"/>
  <c r="AJ1031" i="2"/>
  <c r="AJ1032" i="2" a="1"/>
  <c r="AJ1032" i="2" s="1"/>
  <c r="AJ1033" i="2" a="1"/>
  <c r="AJ1033" i="2" s="1"/>
  <c r="AJ1034" i="2" a="1"/>
  <c r="AJ1034" i="2" s="1"/>
  <c r="AJ1035" i="2" a="1"/>
  <c r="AJ1035" i="2" s="1"/>
  <c r="AJ1036" i="2" a="1"/>
  <c r="AJ1036" i="2" s="1"/>
  <c r="AJ1037" i="2" a="1"/>
  <c r="AJ1037" i="2"/>
  <c r="AJ1038" i="2" a="1"/>
  <c r="AJ1038" i="2" s="1"/>
  <c r="AJ1039" i="2" a="1"/>
  <c r="AJ1039" i="2" s="1"/>
  <c r="AJ1040" i="2" a="1"/>
  <c r="AJ1040" i="2" s="1"/>
  <c r="AJ1041" i="2" a="1"/>
  <c r="AJ1041" i="2" s="1"/>
  <c r="AJ1042" i="2" a="1"/>
  <c r="AJ1042" i="2" s="1"/>
  <c r="AJ1043" i="2" a="1"/>
  <c r="AJ1043" i="2" s="1"/>
  <c r="AJ1044" i="2" a="1"/>
  <c r="AJ1044" i="2" s="1"/>
  <c r="AJ1045" i="2" a="1"/>
  <c r="AJ1045" i="2"/>
  <c r="AJ1046" i="2" a="1"/>
  <c r="AJ1046" i="2" s="1"/>
  <c r="AJ1047" i="2" a="1"/>
  <c r="AJ1047" i="2" s="1"/>
  <c r="AJ1048" i="2" a="1"/>
  <c r="AJ1048" i="2" s="1"/>
  <c r="AJ1049" i="2" a="1"/>
  <c r="AJ1049" i="2" s="1"/>
  <c r="AJ1050" i="2" a="1"/>
  <c r="AJ1050" i="2" s="1"/>
  <c r="AJ1051" i="2" a="1"/>
  <c r="AJ1051" i="2"/>
  <c r="AJ1052" i="2" a="1"/>
  <c r="AJ1052" i="2"/>
  <c r="AJ1053" i="2" a="1"/>
  <c r="AJ1053" i="2" s="1"/>
  <c r="AJ1054" i="2" a="1"/>
  <c r="AJ1054" i="2" s="1"/>
  <c r="AJ1055" i="2" a="1"/>
  <c r="AJ1055" i="2" s="1"/>
  <c r="AJ1056" i="2" a="1"/>
  <c r="AJ1056" i="2" s="1"/>
  <c r="AJ1057" i="2" a="1"/>
  <c r="AJ1057" i="2" s="1"/>
  <c r="AJ1058" i="2" a="1"/>
  <c r="AJ1058" i="2" s="1"/>
  <c r="AJ1059" i="2" a="1"/>
  <c r="AJ1059" i="2" s="1"/>
  <c r="AJ1060" i="2" a="1"/>
  <c r="AJ1060" i="2" s="1"/>
  <c r="AJ1061" i="2" a="1"/>
  <c r="AJ1061" i="2" s="1"/>
  <c r="AJ1062" i="2" a="1"/>
  <c r="AJ1062" i="2" s="1"/>
  <c r="AJ1063" i="2" a="1"/>
  <c r="AJ1063" i="2" s="1"/>
  <c r="AJ1064" i="2" a="1"/>
  <c r="AJ1064" i="2" s="1"/>
  <c r="AJ1065" i="2" a="1"/>
  <c r="AJ1065" i="2" s="1"/>
  <c r="AJ1066" i="2" a="1"/>
  <c r="AJ1066" i="2" s="1"/>
  <c r="AJ1067" i="2" a="1"/>
  <c r="AJ1067" i="2" s="1"/>
  <c r="AJ1068" i="2" a="1"/>
  <c r="AJ1068" i="2" s="1"/>
  <c r="AJ1069" i="2" a="1"/>
  <c r="AJ1069" i="2" s="1"/>
  <c r="AJ1070" i="2" a="1"/>
  <c r="AJ1070" i="2" s="1"/>
  <c r="AJ1071" i="2" a="1"/>
  <c r="AJ1071" i="2" s="1"/>
  <c r="AJ1072" i="2" a="1"/>
  <c r="AJ1072" i="2"/>
  <c r="AJ1073" i="2" a="1"/>
  <c r="AJ1073" i="2"/>
  <c r="AJ1074" i="2" a="1"/>
  <c r="AJ1074" i="2" s="1"/>
  <c r="AJ1075" i="2" a="1"/>
  <c r="AJ1075" i="2" s="1"/>
  <c r="AJ1076" i="2" a="1"/>
  <c r="AJ1076" i="2" s="1"/>
  <c r="AJ1077" i="2" a="1"/>
  <c r="AJ1077" i="2" s="1"/>
  <c r="AJ1078" i="2" a="1"/>
  <c r="AJ1078" i="2" s="1"/>
  <c r="AJ1079" i="2" a="1"/>
  <c r="AJ1079" i="2"/>
  <c r="AJ1080" i="2" a="1"/>
  <c r="AJ1080" i="2"/>
  <c r="AJ1081" i="2" a="1"/>
  <c r="AJ1081" i="2" s="1"/>
  <c r="AJ1082" i="2" a="1"/>
  <c r="AJ1082" i="2" s="1"/>
  <c r="AJ1083" i="2" a="1"/>
  <c r="AJ1083" i="2" s="1"/>
  <c r="AJ1084" i="2" a="1"/>
  <c r="AJ1084" i="2" s="1"/>
  <c r="AJ1085" i="2" a="1"/>
  <c r="AJ1085" i="2" s="1"/>
  <c r="AJ1086" i="2" a="1"/>
  <c r="AJ1086" i="2" s="1"/>
  <c r="AJ1087" i="2" a="1"/>
  <c r="AJ1087" i="2" s="1"/>
  <c r="AJ1088" i="2" a="1"/>
  <c r="AJ1088" i="2" s="1"/>
  <c r="AJ1089" i="2" a="1"/>
  <c r="AJ1089" i="2" s="1"/>
  <c r="AJ1090" i="2" a="1"/>
  <c r="AJ1090" i="2" s="1"/>
  <c r="AJ1091" i="2" a="1"/>
  <c r="AJ1091" i="2" s="1"/>
  <c r="AJ1092" i="2" a="1"/>
  <c r="AJ1092" i="2" s="1"/>
  <c r="AJ1093" i="2" a="1"/>
  <c r="AJ1093" i="2" s="1"/>
  <c r="AJ1094" i="2" a="1"/>
  <c r="AJ1094" i="2" s="1"/>
  <c r="AJ1095" i="2" a="1"/>
  <c r="AJ1095" i="2" s="1"/>
  <c r="AJ1096" i="2" a="1"/>
  <c r="AJ1096" i="2" s="1"/>
  <c r="AJ1097" i="2" a="1"/>
  <c r="AJ1097" i="2" s="1"/>
  <c r="AJ1098" i="2" a="1"/>
  <c r="AJ1098" i="2"/>
  <c r="AJ1099" i="2" a="1"/>
  <c r="AJ1099" i="2" s="1"/>
  <c r="AJ1100" i="2" a="1"/>
  <c r="AJ1100" i="2" s="1"/>
  <c r="AJ1101" i="2" a="1"/>
  <c r="AJ1101" i="2" s="1"/>
  <c r="AJ1102" i="2" a="1"/>
  <c r="AJ1102" i="2"/>
  <c r="AJ1103" i="2" a="1"/>
  <c r="AJ1103" i="2" s="1"/>
  <c r="AJ1104" i="2" a="1"/>
  <c r="AJ1104" i="2"/>
  <c r="AJ1105" i="2" a="1"/>
  <c r="AJ1105" i="2" s="1"/>
  <c r="AJ1106" i="2" a="1"/>
  <c r="AJ1106" i="2" s="1"/>
  <c r="AJ1107" i="2" a="1"/>
  <c r="AJ1107" i="2" s="1"/>
  <c r="AJ1108" i="2" a="1"/>
  <c r="AJ1108" i="2" s="1"/>
  <c r="AJ1109" i="2" a="1"/>
  <c r="AJ1109" i="2"/>
  <c r="AJ1110" i="2" a="1"/>
  <c r="AJ1110" i="2" s="1"/>
  <c r="AJ1111" i="2" a="1"/>
  <c r="AJ1111" i="2" s="1"/>
  <c r="AJ1112" i="2" a="1"/>
  <c r="AJ1112" i="2"/>
  <c r="AJ1113" i="2" a="1"/>
  <c r="AJ1113" i="2" s="1"/>
  <c r="AJ1114" i="2" a="1"/>
  <c r="AJ1114" i="2" s="1"/>
  <c r="AJ1115" i="2" a="1"/>
  <c r="AJ1115" i="2" s="1"/>
  <c r="AJ1116" i="2" a="1"/>
  <c r="AJ1116" i="2"/>
  <c r="AJ1117" i="2" a="1"/>
  <c r="AJ1117" i="2" s="1"/>
  <c r="AJ1118" i="2" a="1"/>
  <c r="AJ1118" i="2" s="1"/>
  <c r="AJ1119" i="2" a="1"/>
  <c r="AJ1119" i="2" s="1"/>
  <c r="AJ1120" i="2" a="1"/>
  <c r="AJ1120" i="2" s="1"/>
  <c r="AJ1121" i="2" a="1"/>
  <c r="AJ1121" i="2" s="1"/>
  <c r="AJ1122" i="2" a="1"/>
  <c r="AJ1122" i="2" s="1"/>
  <c r="AJ1123" i="2" a="1"/>
  <c r="AJ1123" i="2" s="1"/>
  <c r="AJ1124" i="2" a="1"/>
  <c r="AJ1124" i="2" s="1"/>
  <c r="AJ1125" i="2" a="1"/>
  <c r="AJ1125" i="2"/>
  <c r="AJ1126" i="2" a="1"/>
  <c r="AJ1126" i="2" s="1"/>
  <c r="AJ1127" i="2" a="1"/>
  <c r="AJ1127" i="2" s="1"/>
  <c r="AJ1128" i="2" a="1"/>
  <c r="AJ1128" i="2" s="1"/>
  <c r="AJ1129" i="2" a="1"/>
  <c r="AJ1129" i="2" s="1"/>
  <c r="AJ1130" i="2" a="1"/>
  <c r="AJ1130" i="2" s="1"/>
  <c r="AJ1131" i="2" a="1"/>
  <c r="AJ1131" i="2" s="1"/>
  <c r="AJ1132" i="2" a="1"/>
  <c r="AJ1132" i="2"/>
  <c r="AJ1133" i="2" a="1"/>
  <c r="AJ1133" i="2" s="1"/>
  <c r="AJ1134" i="2" a="1"/>
  <c r="AJ1134" i="2" s="1"/>
  <c r="AJ1135" i="2" a="1"/>
  <c r="AJ1135" i="2"/>
  <c r="AJ1136" i="2" a="1"/>
  <c r="AJ1136" i="2" s="1"/>
  <c r="AJ1137" i="2" a="1"/>
  <c r="AJ1137" i="2" s="1"/>
  <c r="AJ1138" i="2" a="1"/>
  <c r="AJ1138" i="2" s="1"/>
  <c r="AJ1139" i="2" a="1"/>
  <c r="AJ1139" i="2" s="1"/>
  <c r="AJ1140" i="2" a="1"/>
  <c r="AJ1140" i="2"/>
  <c r="AJ1141" i="2" a="1"/>
  <c r="AJ1141" i="2" s="1"/>
  <c r="AJ1142" i="2" a="1"/>
  <c r="AJ1142" i="2" s="1"/>
  <c r="AJ1143" i="2" a="1"/>
  <c r="AJ1143" i="2" s="1"/>
  <c r="AJ1144" i="2" a="1"/>
  <c r="AJ1144" i="2"/>
  <c r="AJ1145" i="2" a="1"/>
  <c r="AJ1145" i="2" s="1"/>
  <c r="AJ1146" i="2" a="1"/>
  <c r="AJ1146" i="2" s="1"/>
  <c r="AJ1147" i="2" a="1"/>
  <c r="AJ1147" i="2" s="1"/>
  <c r="AJ1148" i="2" a="1"/>
  <c r="AJ1148" i="2"/>
  <c r="AJ1149" i="2" a="1"/>
  <c r="AJ1149" i="2" s="1"/>
  <c r="AJ1150" i="2" a="1"/>
  <c r="AJ1150" i="2" s="1"/>
  <c r="AJ1151" i="2" a="1"/>
  <c r="AJ1151" i="2" s="1"/>
  <c r="AJ1152" i="2" a="1"/>
  <c r="AJ1152" i="2" s="1"/>
  <c r="AJ1153" i="2" a="1"/>
  <c r="AJ1153" i="2"/>
  <c r="AJ1154" i="2" a="1"/>
  <c r="AJ1154" i="2" s="1"/>
  <c r="AJ1155" i="2" a="1"/>
  <c r="AJ1155" i="2"/>
  <c r="AJ1156" i="2" a="1"/>
  <c r="AJ1156" i="2" s="1"/>
  <c r="AJ1157" i="2" a="1"/>
  <c r="AJ1157" i="2" s="1"/>
  <c r="AJ1158" i="2" a="1"/>
  <c r="AJ1158" i="2" s="1"/>
  <c r="AJ1159" i="2" a="1"/>
  <c r="AJ1159" i="2" s="1"/>
  <c r="AJ1160" i="2" a="1"/>
  <c r="AJ1160" i="2" s="1"/>
  <c r="AJ1161" i="2" a="1"/>
  <c r="AJ1161" i="2" s="1"/>
  <c r="AJ1162" i="2" a="1"/>
  <c r="AJ1162" i="2" s="1"/>
  <c r="AJ1163" i="2" a="1"/>
  <c r="AJ1163" i="2" s="1"/>
  <c r="AJ1164" i="2" a="1"/>
  <c r="AJ1164" i="2" s="1"/>
  <c r="AJ1165" i="2" a="1"/>
  <c r="AJ1165" i="2" s="1"/>
  <c r="AJ1166" i="2" a="1"/>
  <c r="AJ1166" i="2" s="1"/>
  <c r="AJ1167" i="2" a="1"/>
  <c r="AJ1167" i="2" s="1"/>
  <c r="AJ1168" i="2" a="1"/>
  <c r="AJ1168" i="2" s="1"/>
  <c r="AJ1169" i="2" a="1"/>
  <c r="AJ1169" i="2" s="1"/>
  <c r="AJ1170" i="2" a="1"/>
  <c r="AJ1170" i="2"/>
  <c r="AJ1171" i="2" a="1"/>
  <c r="AJ1171" i="2" s="1"/>
  <c r="AJ1172" i="2" a="1"/>
  <c r="AJ1172" i="2" s="1"/>
  <c r="AJ1173" i="2" a="1"/>
  <c r="AJ1173" i="2"/>
  <c r="AJ1174" i="2" a="1"/>
  <c r="AJ1174" i="2" s="1"/>
  <c r="AJ1175" i="2" a="1"/>
  <c r="AJ1175" i="2" s="1"/>
  <c r="AJ1176" i="2" a="1"/>
  <c r="AJ1176" i="2" s="1"/>
  <c r="AJ1177" i="2" a="1"/>
  <c r="AJ1177" i="2"/>
  <c r="AJ1178" i="2" a="1"/>
  <c r="AJ1178" i="2" s="1"/>
  <c r="AJ1179" i="2" a="1"/>
  <c r="AJ1179" i="2"/>
  <c r="AJ1180" i="2" a="1"/>
  <c r="AJ1180" i="2" s="1"/>
  <c r="AJ1181" i="2" a="1"/>
  <c r="AJ1181" i="2" s="1"/>
  <c r="AJ1182" i="2" a="1"/>
  <c r="AJ1182" i="2" s="1"/>
  <c r="AJ1183" i="2" a="1"/>
  <c r="AJ1183" i="2" s="1"/>
  <c r="AJ1184" i="2" a="1"/>
  <c r="AJ1184" i="2"/>
  <c r="AJ1185" i="2" a="1"/>
  <c r="AJ1185" i="2" s="1"/>
  <c r="AJ1186" i="2" a="1"/>
  <c r="AJ1186" i="2" s="1"/>
  <c r="AJ1187" i="2" a="1"/>
  <c r="AJ1187" i="2" s="1"/>
  <c r="AJ1188" i="2" a="1"/>
  <c r="AJ1188" i="2" s="1"/>
  <c r="AJ1189" i="2" a="1"/>
  <c r="AJ1189" i="2" s="1"/>
  <c r="AJ1190" i="2" a="1"/>
  <c r="AJ1190" i="2" s="1"/>
  <c r="AJ1191" i="2" a="1"/>
  <c r="AJ1191" i="2"/>
  <c r="AJ1192" i="2" a="1"/>
  <c r="AJ1192" i="2" s="1"/>
  <c r="AJ1193" i="2" a="1"/>
  <c r="AJ1193" i="2" s="1"/>
  <c r="AJ1194" i="2" a="1"/>
  <c r="AJ1194" i="2" s="1"/>
  <c r="AJ1195" i="2" a="1"/>
  <c r="AJ1195" i="2"/>
  <c r="AJ1196" i="2" a="1"/>
  <c r="AJ1196" i="2"/>
  <c r="AJ1197" i="2" a="1"/>
  <c r="AJ1197" i="2"/>
  <c r="AJ1198" i="2" a="1"/>
  <c r="AJ1198" i="2" s="1"/>
  <c r="AJ1199" i="2" a="1"/>
  <c r="AJ1199" i="2" s="1"/>
  <c r="AJ1200" i="2" a="1"/>
  <c r="AJ1200" i="2" s="1"/>
  <c r="AJ1201" i="2" a="1"/>
  <c r="AJ1201" i="2" s="1"/>
  <c r="AJ1202" i="2" a="1"/>
  <c r="AJ1202" i="2" s="1"/>
  <c r="AJ1203" i="2" a="1"/>
  <c r="AJ1203" i="2" s="1"/>
  <c r="AJ1204" i="2" a="1"/>
  <c r="AJ1204" i="2"/>
  <c r="AJ1205" i="2" a="1"/>
  <c r="AJ1205" i="2" s="1"/>
  <c r="AJ1206" i="2" a="1"/>
  <c r="AJ1206" i="2"/>
  <c r="AJ1207" i="2" a="1"/>
  <c r="AJ1207" i="2" s="1"/>
  <c r="AJ1208" i="2" a="1"/>
  <c r="AJ1208" i="2" s="1"/>
  <c r="AJ1209" i="2" a="1"/>
  <c r="AJ1209" i="2" s="1"/>
  <c r="AJ1210" i="2" a="1"/>
  <c r="AJ1210" i="2"/>
  <c r="AJ1211" i="2" a="1"/>
  <c r="AJ1211" i="2" s="1"/>
  <c r="AJ1212" i="2" a="1"/>
  <c r="AJ1212" i="2" s="1"/>
  <c r="AJ1213" i="2" a="1"/>
  <c r="AJ1213" i="2" s="1"/>
  <c r="AJ1214" i="2" a="1"/>
  <c r="AJ1214" i="2"/>
  <c r="AJ1215" i="2" a="1"/>
  <c r="AJ1215" i="2" s="1"/>
  <c r="AJ1216" i="2" a="1"/>
  <c r="AJ1216" i="2"/>
  <c r="AJ1217" i="2" a="1"/>
  <c r="AJ1217" i="2" s="1"/>
  <c r="AJ1218" i="2" a="1"/>
  <c r="AJ1218" i="2"/>
  <c r="AJ1219" i="2" a="1"/>
  <c r="AJ1219" i="2" s="1"/>
  <c r="AJ1220" i="2" a="1"/>
  <c r="AJ1220" i="2" s="1"/>
  <c r="AJ1221" i="2" a="1"/>
  <c r="AJ1221" i="2"/>
  <c r="AJ1222" i="2" a="1"/>
  <c r="AJ1222" i="2" s="1"/>
  <c r="AJ1223" i="2" a="1"/>
  <c r="AJ1223" i="2" s="1"/>
  <c r="AJ1224" i="2" a="1"/>
  <c r="AJ1224" i="2" s="1"/>
  <c r="AJ1225" i="2" a="1"/>
  <c r="AJ1225" i="2" s="1"/>
  <c r="AJ1226" i="2" a="1"/>
  <c r="AJ1226" i="2" s="1"/>
  <c r="AJ1227" i="2" a="1"/>
  <c r="AJ1227" i="2" s="1"/>
  <c r="AJ1228" i="2" a="1"/>
  <c r="AJ1228" i="2" s="1"/>
  <c r="AJ1229" i="2" a="1"/>
  <c r="AJ1229" i="2" s="1"/>
  <c r="AJ1230" i="2" a="1"/>
  <c r="AJ1230" i="2" s="1"/>
  <c r="AJ1231" i="2" a="1"/>
  <c r="AJ1231" i="2"/>
  <c r="AJ1232" i="2" a="1"/>
  <c r="AJ1232" i="2"/>
  <c r="AJ1233" i="2" a="1"/>
  <c r="AJ1233" i="2" s="1"/>
  <c r="AJ1234" i="2" a="1"/>
  <c r="AJ1234" i="2" s="1"/>
  <c r="AJ1235" i="2" a="1"/>
  <c r="AJ1235" i="2" s="1"/>
  <c r="AJ1236" i="2" a="1"/>
  <c r="AJ1236" i="2" s="1"/>
  <c r="AJ1237" i="2" a="1"/>
  <c r="AJ1237" i="2" s="1"/>
  <c r="AJ1238" i="2" a="1"/>
  <c r="AJ1238" i="2" s="1"/>
  <c r="AJ1239" i="2" a="1"/>
  <c r="AJ1239" i="2" s="1"/>
  <c r="AJ1240" i="2" a="1"/>
  <c r="AJ1240" i="2" s="1"/>
  <c r="AJ1241" i="2" a="1"/>
  <c r="AJ1241" i="2" s="1"/>
  <c r="AJ1242" i="2" a="1"/>
  <c r="AJ1242" i="2" s="1"/>
  <c r="AJ1243" i="2" a="1"/>
  <c r="AJ1243" i="2" s="1"/>
  <c r="AJ1244" i="2" a="1"/>
  <c r="AJ1244" i="2" s="1"/>
  <c r="AJ1245" i="2" a="1"/>
  <c r="AJ1245" i="2" s="1"/>
  <c r="AJ1246" i="2" a="1"/>
  <c r="AJ1246" i="2" s="1"/>
  <c r="AJ1247" i="2" a="1"/>
  <c r="AJ1247" i="2" s="1"/>
  <c r="AJ1248" i="2" a="1"/>
  <c r="AJ1248" i="2" s="1"/>
  <c r="AJ1249" i="2" a="1"/>
  <c r="AJ1249" i="2" s="1"/>
  <c r="AJ1250" i="2" a="1"/>
  <c r="AJ1250" i="2" s="1"/>
  <c r="AJ1251" i="2" a="1"/>
  <c r="AJ1251" i="2" s="1"/>
  <c r="AJ1252" i="2" a="1"/>
  <c r="AJ1252" i="2" s="1"/>
  <c r="AJ1253" i="2" a="1"/>
  <c r="AJ1253" i="2" s="1"/>
  <c r="AJ1254" i="2" a="1"/>
  <c r="AJ1254" i="2"/>
  <c r="AJ1255" i="2" a="1"/>
  <c r="AJ1255" i="2" s="1"/>
  <c r="AJ1256" i="2" a="1"/>
  <c r="AJ1256" i="2"/>
  <c r="AJ1257" i="2" a="1"/>
  <c r="AJ1257" i="2"/>
  <c r="AJ1258" i="2" a="1"/>
  <c r="AJ1258" i="2" s="1"/>
  <c r="AJ1259" i="2" a="1"/>
  <c r="AJ1259" i="2" s="1"/>
  <c r="AJ1260" i="2" a="1"/>
  <c r="AJ1260" i="2" s="1"/>
  <c r="AJ1261" i="2" a="1"/>
  <c r="AJ1261" i="2" s="1"/>
  <c r="AJ1262" i="2" a="1"/>
  <c r="AJ1262" i="2" s="1"/>
  <c r="AJ1263" i="2" a="1"/>
  <c r="AJ1263" i="2" s="1"/>
  <c r="AJ1264" i="2" a="1"/>
  <c r="AJ1264" i="2" s="1"/>
  <c r="AJ1265" i="2" a="1"/>
  <c r="AJ1265" i="2" s="1"/>
  <c r="AJ1266" i="2" a="1"/>
  <c r="AJ1266" i="2"/>
  <c r="AJ1267" i="2" a="1"/>
  <c r="AJ1267" i="2" s="1"/>
  <c r="AJ1268" i="2" a="1"/>
  <c r="AJ1268" i="2"/>
  <c r="AJ1269" i="2" a="1"/>
  <c r="AJ1269" i="2" s="1"/>
  <c r="AJ1270" i="2" a="1"/>
  <c r="AJ1270" i="2" s="1"/>
  <c r="AJ1271" i="2" a="1"/>
  <c r="AJ1271" i="2" s="1"/>
  <c r="AJ1272" i="2" a="1"/>
  <c r="AJ1272" i="2" s="1"/>
  <c r="AJ1273" i="2" a="1"/>
  <c r="AJ1273" i="2"/>
  <c r="AJ1274" i="2" a="1"/>
  <c r="AJ1274" i="2" s="1"/>
  <c r="AJ1275" i="2" a="1"/>
  <c r="AJ1275" i="2"/>
  <c r="AJ1276" i="2" a="1"/>
  <c r="AJ1276" i="2" s="1"/>
  <c r="AJ1277" i="2" a="1"/>
  <c r="AJ1277" i="2" s="1"/>
  <c r="AJ1278" i="2" a="1"/>
  <c r="AJ1278" i="2" s="1"/>
  <c r="AJ1279" i="2" a="1"/>
  <c r="AJ1279" i="2" s="1"/>
  <c r="AJ1280" i="2" a="1"/>
  <c r="AJ1280" i="2"/>
  <c r="AJ1281" i="2" a="1"/>
  <c r="AJ1281" i="2" s="1"/>
  <c r="AJ1282" i="2" a="1"/>
  <c r="AJ1282" i="2"/>
  <c r="AJ1283" i="2" a="1"/>
  <c r="AJ1283" i="2" s="1"/>
  <c r="AJ1284" i="2" a="1"/>
  <c r="AJ1284" i="2" s="1"/>
  <c r="AJ1285" i="2" a="1"/>
  <c r="AJ1285" i="2" s="1"/>
  <c r="AJ1286" i="2" a="1"/>
  <c r="AJ1286" i="2" s="1"/>
  <c r="AJ1287" i="2" a="1"/>
  <c r="AJ1287" i="2" s="1"/>
  <c r="AJ1288" i="2" a="1"/>
  <c r="AJ1288" i="2" s="1"/>
  <c r="AJ1289" i="2" a="1"/>
  <c r="AJ1289" i="2" s="1"/>
  <c r="AJ1290" i="2" a="1"/>
  <c r="AJ1290" i="2"/>
  <c r="AJ1291" i="2" a="1"/>
  <c r="AJ1291" i="2"/>
  <c r="AJ1292" i="2" a="1"/>
  <c r="AJ1292" i="2" s="1"/>
  <c r="AJ1293" i="2" a="1"/>
  <c r="AJ1293" i="2" s="1"/>
  <c r="AJ1294" i="2" a="1"/>
  <c r="AJ1294" i="2" s="1"/>
  <c r="AJ1295" i="2" a="1"/>
  <c r="AJ1295" i="2" s="1"/>
  <c r="AJ1296" i="2" a="1"/>
  <c r="AJ1296" i="2" s="1"/>
  <c r="AJ1297" i="2" a="1"/>
  <c r="AJ1297" i="2" s="1"/>
  <c r="AJ1298" i="2" a="1"/>
  <c r="AJ1298" i="2" s="1"/>
  <c r="AJ1299" i="2" a="1"/>
  <c r="AJ1299" i="2" s="1"/>
  <c r="AJ1300" i="2" a="1"/>
  <c r="AJ1300" i="2" s="1"/>
  <c r="AJ1301" i="2" a="1"/>
  <c r="AJ1301" i="2" s="1"/>
  <c r="AJ1302" i="2" a="1"/>
  <c r="AJ1302" i="2" s="1"/>
  <c r="AJ1303" i="2" a="1"/>
  <c r="AJ1303" i="2" s="1"/>
  <c r="AJ1304" i="2" a="1"/>
  <c r="AJ1304" i="2" s="1"/>
  <c r="AJ1305" i="2" a="1"/>
  <c r="AJ1305" i="2"/>
  <c r="AJ1306" i="2" a="1"/>
  <c r="AJ1306" i="2" s="1"/>
  <c r="AJ1307" i="2" a="1"/>
  <c r="AJ1307" i="2" s="1"/>
  <c r="AJ1308" i="2" a="1"/>
  <c r="AJ1308" i="2" s="1"/>
  <c r="AJ1309" i="2" a="1"/>
  <c r="AJ1309" i="2" s="1"/>
  <c r="AJ1310" i="2" a="1"/>
  <c r="AJ1310" i="2"/>
  <c r="AJ1311" i="2" a="1"/>
  <c r="AJ1311" i="2" s="1"/>
  <c r="AJ1312" i="2" a="1"/>
  <c r="AJ1312" i="2" s="1"/>
  <c r="AJ1313" i="2" a="1"/>
  <c r="AJ1313" i="2" s="1"/>
  <c r="AJ1314" i="2" a="1"/>
  <c r="AJ1314" i="2"/>
  <c r="AJ1315" i="2" a="1"/>
  <c r="AJ1315" i="2"/>
  <c r="AJ1316" i="2" a="1"/>
  <c r="AJ1316" i="2" s="1"/>
  <c r="AJ1317" i="2" a="1"/>
  <c r="AJ1317" i="2"/>
  <c r="AJ1318" i="2" a="1"/>
  <c r="AJ1318" i="2" s="1"/>
  <c r="AJ1319" i="2" a="1"/>
  <c r="AJ1319" i="2" s="1"/>
  <c r="AJ1320" i="2" a="1"/>
  <c r="AJ1320" i="2" s="1"/>
  <c r="AJ1321" i="2" a="1"/>
  <c r="AJ1321" i="2" s="1"/>
  <c r="AJ1322" i="2" a="1"/>
  <c r="AJ1322" i="2"/>
  <c r="AJ1323" i="2" a="1"/>
  <c r="AJ1323" i="2" s="1"/>
  <c r="AJ1324" i="2" a="1"/>
  <c r="AJ1324" i="2" s="1"/>
  <c r="AJ1325" i="2" a="1"/>
  <c r="AJ1325" i="2" s="1"/>
  <c r="AJ1326" i="2" a="1"/>
  <c r="AJ1326" i="2" s="1"/>
  <c r="AJ1327" i="2" a="1"/>
  <c r="AJ1327" i="2" s="1"/>
  <c r="AJ1328" i="2" a="1"/>
  <c r="AJ1328" i="2" s="1"/>
  <c r="AJ1329" i="2" a="1"/>
  <c r="AJ1329" i="2"/>
  <c r="AJ1330" i="2" a="1"/>
  <c r="AJ1330" i="2" s="1"/>
  <c r="AJ1331" i="2" a="1"/>
  <c r="AJ1331" i="2" s="1"/>
  <c r="AJ1332" i="2" a="1"/>
  <c r="AJ1332" i="2"/>
  <c r="AJ1333" i="2" a="1"/>
  <c r="AJ1333" i="2" s="1"/>
  <c r="AJ1334" i="2" a="1"/>
  <c r="AJ1334" i="2" s="1"/>
  <c r="AJ1335" i="2" a="1"/>
  <c r="AJ1335" i="2" s="1"/>
  <c r="AJ1336" i="2" a="1"/>
  <c r="AJ1336" i="2" s="1"/>
  <c r="AJ1337" i="2" a="1"/>
  <c r="AJ1337" i="2" s="1"/>
  <c r="AJ1338" i="2" a="1"/>
  <c r="AJ1338" i="2"/>
  <c r="AJ1339" i="2" a="1"/>
  <c r="AJ1339" i="2"/>
  <c r="AJ1340" i="2" a="1"/>
  <c r="AJ1340" i="2" s="1"/>
  <c r="AJ1341" i="2" a="1"/>
  <c r="AJ1341" i="2"/>
  <c r="AJ1342" i="2" a="1"/>
  <c r="AJ1342" i="2" s="1"/>
  <c r="AJ1343" i="2" a="1"/>
  <c r="AJ1343" i="2" s="1"/>
  <c r="AJ1344" i="2" a="1"/>
  <c r="AJ1344" i="2" s="1"/>
  <c r="AJ1345" i="2" a="1"/>
  <c r="AJ1345" i="2"/>
  <c r="AJ1346" i="2" a="1"/>
  <c r="AJ1346" i="2" s="1"/>
  <c r="AJ1347" i="2" a="1"/>
  <c r="AJ1347" i="2" s="1"/>
  <c r="AJ1348" i="2" a="1"/>
  <c r="AJ1348" i="2" s="1"/>
  <c r="AJ1349" i="2" a="1"/>
  <c r="AJ1349" i="2" s="1"/>
  <c r="AJ1350" i="2" a="1"/>
  <c r="AJ1350" i="2" s="1"/>
  <c r="AJ1351" i="2" a="1"/>
  <c r="AJ1351" i="2"/>
  <c r="AJ1352" i="2" a="1"/>
  <c r="AJ1352" i="2"/>
  <c r="AJ1353" i="2" a="1"/>
  <c r="AJ1353" i="2" s="1"/>
  <c r="AJ1354" i="2" a="1"/>
  <c r="AJ1354" i="2"/>
  <c r="AJ1355" i="2" a="1"/>
  <c r="AJ1355" i="2"/>
  <c r="AJ1356" i="2" a="1"/>
  <c r="AJ1356" i="2"/>
  <c r="AJ1357" i="2" a="1"/>
  <c r="AJ1357" i="2"/>
  <c r="AJ1358" i="2" a="1"/>
  <c r="AJ1358" i="2" s="1"/>
  <c r="AJ1359" i="2" a="1"/>
  <c r="AJ1359" i="2" s="1"/>
  <c r="AJ1360" i="2" a="1"/>
  <c r="AJ1360" i="2" s="1"/>
  <c r="AJ1361" i="2" a="1"/>
  <c r="AJ1361" i="2"/>
  <c r="AJ1362" i="2" a="1"/>
  <c r="AJ1362" i="2"/>
  <c r="AJ1363" i="2" a="1"/>
  <c r="AJ1363" i="2" s="1"/>
  <c r="AJ1364" i="2" a="1"/>
  <c r="AJ1364" i="2" s="1"/>
  <c r="AJ1365" i="2" a="1"/>
  <c r="AJ1365" i="2" s="1"/>
  <c r="AJ1366" i="2" a="1"/>
  <c r="AJ1366" i="2" s="1"/>
  <c r="AJ1367" i="2" a="1"/>
  <c r="AJ1367" i="2"/>
  <c r="AJ1368" i="2" a="1"/>
  <c r="AJ1368" i="2" s="1"/>
  <c r="AJ1369" i="2" a="1"/>
  <c r="AJ1369" i="2"/>
  <c r="AJ1370" i="2" a="1"/>
  <c r="AJ1370" i="2"/>
  <c r="AJ1371" i="2" a="1"/>
  <c r="AJ1371" i="2" s="1"/>
  <c r="AJ1372" i="2" a="1"/>
  <c r="AJ1372" i="2" s="1"/>
  <c r="AJ1373" i="2" a="1"/>
  <c r="AJ1373" i="2"/>
  <c r="AJ1374" i="2" a="1"/>
  <c r="AJ1374" i="2" s="1"/>
  <c r="AJ1375" i="2" a="1"/>
  <c r="AJ1375" i="2" s="1"/>
  <c r="AJ1376" i="2" a="1"/>
  <c r="AJ1376" i="2" s="1"/>
  <c r="AJ1377" i="2" a="1"/>
  <c r="AJ1377" i="2" s="1"/>
  <c r="AJ1378" i="2" a="1"/>
  <c r="AJ1378" i="2" s="1"/>
  <c r="AJ1379" i="2" a="1"/>
  <c r="AJ1379" i="2" s="1"/>
  <c r="AJ1380" i="2" a="1"/>
  <c r="AJ1380" i="2"/>
  <c r="AJ1381" i="2" a="1"/>
  <c r="AJ1381" i="2" s="1"/>
  <c r="AJ1382" i="2" a="1"/>
  <c r="AJ1382" i="2"/>
  <c r="AJ1383" i="2" a="1"/>
  <c r="AJ1383" i="2" s="1"/>
  <c r="AJ1384" i="2" a="1"/>
  <c r="AJ1384" i="2"/>
  <c r="AJ1385" i="2" a="1"/>
  <c r="AJ1385" i="2"/>
  <c r="AJ1386" i="2" a="1"/>
  <c r="AJ1386" i="2"/>
  <c r="AJ1387" i="2" a="1"/>
  <c r="AJ1387" i="2" s="1"/>
  <c r="AJ1388" i="2" a="1"/>
  <c r="AJ1388" i="2" s="1"/>
  <c r="AJ1389" i="2" a="1"/>
  <c r="AJ1389" i="2" s="1"/>
  <c r="AJ1390" i="2" a="1"/>
  <c r="AJ1390" i="2" s="1"/>
  <c r="AJ1391" i="2" a="1"/>
  <c r="AJ1391" i="2" s="1"/>
  <c r="AJ1392" i="2" a="1"/>
  <c r="AJ1392" i="2"/>
  <c r="AJ1393" i="2" a="1"/>
  <c r="AJ1393" i="2"/>
  <c r="AJ1394" i="2" a="1"/>
  <c r="AJ1394" i="2"/>
  <c r="AJ1395" i="2" a="1"/>
  <c r="AJ1395" i="2" s="1"/>
  <c r="AJ1396" i="2" a="1"/>
  <c r="AJ1396" i="2" s="1"/>
  <c r="AJ1397" i="2" a="1"/>
  <c r="AJ1397" i="2"/>
  <c r="AJ1398" i="2" a="1"/>
  <c r="AJ1398" i="2" s="1"/>
  <c r="AJ1399" i="2" a="1"/>
  <c r="AJ1399" i="2"/>
  <c r="AJ1400" i="2" a="1"/>
  <c r="AJ1400" i="2"/>
  <c r="AJ1401" i="2" a="1"/>
  <c r="AJ1401" i="2" s="1"/>
  <c r="AJ1402" i="2" a="1"/>
  <c r="AJ1402" i="2" s="1"/>
  <c r="AJ1403" i="2" a="1"/>
  <c r="AJ1403" i="2"/>
  <c r="AJ1404" i="2" a="1"/>
  <c r="AJ1404" i="2" s="1"/>
  <c r="AJ1405" i="2" a="1"/>
  <c r="AJ1405" i="2" s="1"/>
  <c r="AJ1406" i="2" a="1"/>
  <c r="AJ1406" i="2"/>
  <c r="AJ1407" i="2" a="1"/>
  <c r="AJ1407" i="2" s="1"/>
  <c r="AJ1408" i="2" a="1"/>
  <c r="AJ1408" i="2"/>
  <c r="AJ1409" i="2" a="1"/>
  <c r="AJ1409" i="2" s="1"/>
  <c r="AJ1410" i="2" a="1"/>
  <c r="AJ1410" i="2" s="1"/>
  <c r="AJ1411" i="2" a="1"/>
  <c r="AJ1411" i="2"/>
  <c r="AJ1412" i="2" a="1"/>
  <c r="AJ1412" i="2" s="1"/>
  <c r="AJ1413" i="2" a="1"/>
  <c r="AJ1413" i="2" s="1"/>
  <c r="AJ1414" i="2" a="1"/>
  <c r="AJ1414" i="2"/>
  <c r="AJ1415" i="2" a="1"/>
  <c r="AJ1415" i="2" s="1"/>
  <c r="AJ1416" i="2" a="1"/>
  <c r="AJ1416" i="2" s="1"/>
  <c r="AJ1417" i="2" a="1"/>
  <c r="AJ1417" i="2" s="1"/>
  <c r="AJ1418" i="2" a="1"/>
  <c r="AJ1418" i="2" s="1"/>
  <c r="AJ1419" i="2" a="1"/>
  <c r="AJ1419" i="2" s="1"/>
  <c r="AJ1420" i="2" a="1"/>
  <c r="AJ1420" i="2" s="1"/>
  <c r="AJ1421" i="2" a="1"/>
  <c r="AJ1421" i="2"/>
  <c r="AJ1422" i="2" a="1"/>
  <c r="AJ1422" i="2" s="1"/>
  <c r="AJ1423" i="2" a="1"/>
  <c r="AJ1423" i="2"/>
  <c r="AJ1424" i="2" a="1"/>
  <c r="AJ1424" i="2"/>
  <c r="AJ1425" i="2" a="1"/>
  <c r="AJ1425" i="2" s="1"/>
  <c r="AJ1426" i="2" a="1"/>
  <c r="AJ1426" i="2" s="1"/>
  <c r="AJ1427" i="2" a="1"/>
  <c r="AJ1427" i="2" s="1"/>
  <c r="AJ1428" i="2" a="1"/>
  <c r="AJ1428" i="2" s="1"/>
  <c r="AJ1429" i="2" a="1"/>
  <c r="AJ1429" i="2"/>
  <c r="AJ1430" i="2" a="1"/>
  <c r="AJ1430" i="2" s="1"/>
  <c r="AJ1431" i="2" a="1"/>
  <c r="AJ1431" i="2" s="1"/>
  <c r="AJ1432" i="2" a="1"/>
  <c r="AJ1432" i="2"/>
  <c r="AJ1433" i="2" a="1"/>
  <c r="AJ1433" i="2" s="1"/>
  <c r="AJ1434" i="2" a="1"/>
  <c r="AJ1434" i="2" s="1"/>
  <c r="AJ1435" i="2" a="1"/>
  <c r="AJ1435" i="2"/>
  <c r="AJ1436" i="2" a="1"/>
  <c r="AJ1436" i="2" s="1"/>
  <c r="AJ1437" i="2" a="1"/>
  <c r="AJ1437" i="2" s="1"/>
  <c r="AJ1438" i="2" a="1"/>
  <c r="AJ1438" i="2"/>
  <c r="AJ1439" i="2" a="1"/>
  <c r="AJ1439" i="2" s="1"/>
  <c r="AJ1440" i="2" a="1"/>
  <c r="AJ1440" i="2"/>
  <c r="AJ1441" i="2" a="1"/>
  <c r="AJ1441" i="2" s="1"/>
  <c r="AJ1442" i="2" a="1"/>
  <c r="AJ1442" i="2"/>
  <c r="AJ1443" i="2" a="1"/>
  <c r="AJ1443" i="2" s="1"/>
  <c r="AJ1444" i="2" a="1"/>
  <c r="AJ1444" i="2" s="1"/>
  <c r="AJ1445" i="2" a="1"/>
  <c r="AJ1445" i="2"/>
  <c r="AJ1446" i="2" a="1"/>
  <c r="AJ1446" i="2" s="1"/>
  <c r="AJ1447" i="2" a="1"/>
  <c r="AJ1447" i="2"/>
  <c r="AJ1448" i="2" a="1"/>
  <c r="AJ1448" i="2" s="1"/>
  <c r="AJ1449" i="2" a="1"/>
  <c r="AJ1449" i="2" s="1"/>
  <c r="AJ1450" i="2" a="1"/>
  <c r="AJ1450" i="2" s="1"/>
  <c r="AJ1451" i="2" a="1"/>
  <c r="AJ1451" i="2" s="1"/>
  <c r="AJ1452" i="2" a="1"/>
  <c r="AJ1452" i="2" s="1"/>
  <c r="AJ1453" i="2" a="1"/>
  <c r="AJ1453" i="2" s="1"/>
  <c r="AJ1454" i="2" a="1"/>
  <c r="AJ1454" i="2" s="1"/>
  <c r="AJ1455" i="2" a="1"/>
  <c r="AJ1455" i="2" s="1"/>
  <c r="AJ1456" i="2" a="1"/>
  <c r="AJ1456" i="2" s="1"/>
  <c r="AJ1457" i="2" a="1"/>
  <c r="AJ1457" i="2"/>
  <c r="AJ1458" i="2" a="1"/>
  <c r="AJ1458" i="2"/>
  <c r="AJ1459" i="2" a="1"/>
  <c r="AJ1459" i="2" s="1"/>
  <c r="AJ1460" i="2" a="1"/>
  <c r="AJ1460" i="2" s="1"/>
  <c r="AJ1461" i="2" a="1"/>
  <c r="AJ1461" i="2" s="1"/>
  <c r="AJ1462" i="2" a="1"/>
  <c r="AJ1462" i="2"/>
  <c r="AJ1463" i="2" a="1"/>
  <c r="AJ1463" i="2" s="1"/>
  <c r="AJ1464" i="2" a="1"/>
  <c r="AJ1464" i="2" s="1"/>
  <c r="AJ1465" i="2" a="1"/>
  <c r="AJ1465" i="2"/>
  <c r="AJ1466" i="2" a="1"/>
  <c r="AJ1466" i="2" s="1"/>
  <c r="AJ1467" i="2" a="1"/>
  <c r="AJ1467" i="2" s="1"/>
  <c r="AJ1468" i="2" a="1"/>
  <c r="AJ1468" i="2" s="1"/>
  <c r="AJ1469" i="2" a="1"/>
  <c r="AJ1469" i="2" s="1"/>
  <c r="AJ1470" i="2" a="1"/>
  <c r="AJ1470" i="2"/>
  <c r="AJ1471" i="2" a="1"/>
  <c r="AJ1471" i="2" s="1"/>
  <c r="B9" i="3"/>
  <c r="B8" i="3"/>
  <c r="B7" i="3"/>
  <c r="B6" i="3"/>
  <c r="B5" i="3"/>
  <c r="B4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DF29E-6474-4269-AC49-10F2172431AF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  <connection id="2" xr16:uid="{680F4AD8-347E-45C0-9D99-DE478CAE708D}" keepAlive="1" name="Query - WA_Fn-UseC_-HR-Employee-Attrition (2)" description="Connection to the 'WA_Fn-UseC_-HR-Employee-Attrition (2)' query in the workbook." type="5" refreshedVersion="8" background="1" saveData="1">
    <dbPr connection="Provider=Microsoft.Mashup.OleDb.1;Data Source=$Workbook$;Location=&quot;WA_Fn-UseC_-HR-Employee-Attrition (2)&quot;;Extended Properties=&quot;&quot;" command="SELECT * FROM [WA_Fn-UseC_-HR-Employee-Attri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<sst xmlns="http://schemas.openxmlformats.org/spreadsheetml/2006/main" count="26701" uniqueCount="124">
  <si>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</si>
  <si>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</si>
  <si>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</si>
  <si>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</si>
  <si>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</si>
  <si>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</si>
  <si>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</si>
  <si>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</si>
  <si>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</si>
  <si>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</si>
  <si>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</si>
  <si>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</si>
  <si>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</si>
  <si>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</si>
  <si>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</si>
  <si>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</si>
  <si>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</si>
  <si>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</si>
  <si>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</si>
  <si>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</si>
  <si>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</si>
  <si>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</si>
  <si>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</si>
  <si>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</si>
  <si>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</si>
  <si>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</si>
  <si>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</si>
  <si>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</si>
  <si>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</si>
  <si>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</si>
  <si>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</si>
  <si>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</si>
  <si>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</si>
  <si>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</si>
  <si>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</si>
  <si>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</si>
  <si>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</si>
  <si>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</si>
  <si>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</si>
  <si>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</si>
  <si>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</si>
  <si>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</si>
  <si>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</si>
  <si>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</si>
  <si>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</si>
  <si>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</si>
  <si>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</si>
  <si>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</si>
  <si>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</si>
  <si>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</si>
  <si>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</si>
  <si>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</si>
  <si>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</si>
  <si>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</si>
  <si>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</si>
  <si>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</si>
  <si>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</si>
  <si>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</si>
  <si>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</si>
  <si>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</si>
  <si>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</si>
  <si>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</si>
  <si>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Data Quality Check</t>
  </si>
  <si>
    <t>A</t>
  </si>
  <si>
    <t>B</t>
  </si>
  <si>
    <t>Column</t>
  </si>
  <si>
    <t>Blank Count</t>
  </si>
  <si>
    <t>Age Band</t>
  </si>
  <si>
    <t>Salary Band</t>
  </si>
  <si>
    <t>Tenure Band</t>
  </si>
  <si>
    <t>Attrition Flag</t>
  </si>
  <si>
    <t>HR Attrition KPI Analysis</t>
  </si>
  <si>
    <t>Metric</t>
  </si>
  <si>
    <t>Value</t>
  </si>
  <si>
    <t>Total Employees</t>
  </si>
  <si>
    <t>Employees Who Left</t>
  </si>
  <si>
    <t>Employees Who Stayed</t>
  </si>
  <si>
    <t>Overall Attrition Rate</t>
  </si>
  <si>
    <t>Average Monthly Income</t>
  </si>
  <si>
    <t>Average Monthly Income - Left</t>
  </si>
  <si>
    <t>Average Monthly Income - Stayed</t>
  </si>
  <si>
    <t>Average Tenure - Left</t>
  </si>
  <si>
    <t>Average Tenure - Stayed</t>
  </si>
  <si>
    <t>Grand Total</t>
  </si>
  <si>
    <t>Headcount</t>
  </si>
  <si>
    <t>Employees Left</t>
  </si>
  <si>
    <t xml:space="preserve"> Attrition Rate</t>
  </si>
  <si>
    <t>Attrition Rate</t>
  </si>
  <si>
    <t>25-34</t>
  </si>
  <si>
    <t>35-44</t>
  </si>
  <si>
    <t>45-54</t>
  </si>
  <si>
    <t>55+</t>
  </si>
  <si>
    <t>Under 25</t>
  </si>
  <si>
    <t>HeadCount</t>
  </si>
  <si>
    <t>Average of Attrition Flag</t>
  </si>
  <si>
    <t>&lt;3K</t>
  </si>
  <si>
    <t>10K+</t>
  </si>
  <si>
    <t>3K-6K</t>
  </si>
  <si>
    <t>6K-10K</t>
  </si>
  <si>
    <t>&lt;2 Years</t>
  </si>
  <si>
    <t>10+ Years</t>
  </si>
  <si>
    <t>2-4 Years</t>
  </si>
  <si>
    <t>5-9 Years</t>
  </si>
  <si>
    <t>Head Count</t>
  </si>
  <si>
    <t>Overtime</t>
  </si>
  <si>
    <t>Total Headcount</t>
  </si>
  <si>
    <t>Total Average of Attrition Flag</t>
  </si>
  <si>
    <t>Job Roles</t>
  </si>
  <si>
    <t>Tenure</t>
  </si>
  <si>
    <t>Over Time</t>
  </si>
  <si>
    <t>25–34</t>
  </si>
  <si>
    <t>35–44</t>
  </si>
  <si>
    <t>45–54</t>
  </si>
  <si>
    <t>HR ATTRITION &amp; WORKFORCE ANALYSIS</t>
  </si>
  <si>
    <t>Avg Tenure - Employees Left</t>
  </si>
  <si>
    <t>KEY INSIGHTS</t>
  </si>
  <si>
    <t>• Sales has the highest department attrition at 20.6%, above the company rate of 16.1%.</t>
  </si>
  <si>
    <t>• Employees under 25 have 39.2% attrition, approximately 2.4x the company average.</t>
  </si>
  <si>
    <t>• Employees with less than 2 years tenure show 34.9% attrition, more than 2x the company rate.</t>
  </si>
  <si>
    <t>• Overtime employees show 30.5% attrition versus 10.4% for employees without overtime.</t>
  </si>
  <si>
    <t>• Sales Representatives with &lt;2 years tenure and overtime show 87.5% observed attrition, indicating a high-risk subgroup for further investigation.</t>
  </si>
  <si>
    <t>M</t>
  </si>
  <si>
    <t>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</si>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</sst>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75" fontId="0" fillId="0" borderId="2" xfId="1" applyNumberFormat="1" applyFont="1" applyBorder="1" applyAlignment="1">
      <alignment horizontal="center"/>
    </xf>
    <xf numFmtId="175" fontId="0" fillId="0" borderId="4" xfId="1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75" fontId="0" fillId="0" borderId="0" xfId="0" applyNumberFormat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0" fontId="6" fillId="0" borderId="0" xfId="0" applyNumberFormat="1" applyFont="1" applyAlignment="1">
      <alignment horizontal="right" vertical="center" wrapText="1"/>
    </xf>
    <xf numFmtId="10" fontId="5" fillId="0" borderId="0" xfId="0" applyNumberFormat="1" applyFont="1" applyAlignment="1">
      <alignment horizontal="right" vertical="center" wrapText="1"/>
    </xf>
    <xf numFmtId="0" fontId="5" fillId="0" borderId="3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75" fontId="7" fillId="3" borderId="2" xfId="1" applyNumberFormat="1" applyFont="1" applyFill="1" applyBorder="1" applyAlignment="1">
      <alignment horizontal="center"/>
    </xf>
    <xf numFmtId="175" fontId="7" fillId="3" borderId="4" xfId="1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5" fillId="0" borderId="0" xfId="0" applyFont="1" applyAlignment="1"/>
  </cellXfs>
  <cellStyles count="2">
    <cellStyle name="Normal" xfId="0" builtinId="0"/>
    <cellStyle name="Percent" xfId="1" builtinId="5"/>
  </cellStyles>
  <dxfs count="37">
    <dxf>
      <font>
        <color rgb="FF9C0006"/>
      </font>
      <fill>
        <patternFill>
          <bgColor rgb="FFFFC7CE"/>
        </patternFill>
      </fill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17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Rate by Department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727034120735"/>
          <c:y val="0.16708333333333336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Chart_Data!$D$2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Chart_Data!$C$3:$C$5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Chart_Data!$D$3:$D$5</c:f>
              <c:numCache>
                <c:formatCode>0.00%</c:formatCode>
                <c:ptCount val="3"/>
                <c:pt idx="0">
                  <c:v>0.19</c:v>
                </c:pt>
                <c:pt idx="1">
                  <c:v>0.13800000000000001</c:v>
                </c:pt>
                <c:pt idx="2">
                  <c:v>0.20599999999999999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A-496B-8A74-6BB81E4F4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54976"/>
        <c:axId val="296432975"/>
      </c:barChart>
      <c:catAx>
        <c:axId val="101555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32975"/>
        <c:crosses val="autoZero"/>
        <c:auto val="1"/>
        <c:lblAlgn val="ctr"/>
        <c:lblOffset val="100"/>
        <c:noMultiLvlLbl val="0"/>
      </c:catAx>
      <c:valAx>
        <c:axId val="29643297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Rate by Age Band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560397507563463"/>
          <c:y val="0.16708348448313878"/>
          <c:w val="0.8533495188101487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Chart_Data!$D$7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Chart_Data!$C$8:$C$12</c:f>
              <c:strCache>
                <c:ptCount val="5"/>
                <c:pt idx="0">
                  <c:v>Under 25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55+</c:v>
                </c:pt>
              </c:strCache>
            </c:strRef>
          </c:cat>
          <c:val>
            <c:numRef>
              <c:f>Chart_Data!$D$8:$D$12</c:f>
              <c:numCache>
                <c:formatCode>0.00%</c:formatCode>
                <c:ptCount val="5"/>
                <c:pt idx="0">
                  <c:v>0.39200000000000002</c:v>
                </c:pt>
                <c:pt idx="1">
                  <c:v>0.20200000000000001</c:v>
                </c:pt>
                <c:pt idx="2">
                  <c:v>0.10100000000000001</c:v>
                </c:pt>
                <c:pt idx="3">
                  <c:v>0.10199999999999999</c:v>
                </c:pt>
                <c:pt idx="4">
                  <c:v>0.159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5-458E-9912-82B14294B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5554976"/>
        <c:axId val="296432975"/>
      </c:barChart>
      <c:catAx>
        <c:axId val="101555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32975"/>
        <c:crosses val="autoZero"/>
        <c:auto val="1"/>
        <c:lblAlgn val="ctr"/>
        <c:lblOffset val="100"/>
        <c:noMultiLvlLbl val="0"/>
      </c:catAx>
      <c:valAx>
        <c:axId val="29643297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5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Attrition Rate by Tenure Band</a:t>
            </a:r>
          </a:p>
        </c:rich>
      </c:tx>
      <c:layout>
        <c:manualLayout>
          <c:xMode val="edge"/>
          <c:yMode val="edge"/>
          <c:x val="0.23958685892504999"/>
          <c:y val="2.9069767441860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259898496100308"/>
          <c:y val="0.1695170500137187"/>
          <c:w val="0.79224518810148736"/>
          <c:h val="0.708752329871809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Chart_Data!$B$2:$B$3</c:f>
              <c:strCache>
                <c:ptCount val="2"/>
                <c:pt idx="0">
                  <c:v>B</c:v>
                </c:pt>
                <c:pt idx="1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Chart_Data!$A$4:$A$7</c:f>
              <c:strCache>
                <c:ptCount val="4"/>
                <c:pt idx="0">
                  <c:v>&lt;2 Years</c:v>
                </c:pt>
                <c:pt idx="1">
                  <c:v>2-4 Years</c:v>
                </c:pt>
                <c:pt idx="2">
                  <c:v>5-9 Years</c:v>
                </c:pt>
                <c:pt idx="3">
                  <c:v>10+ Years</c:v>
                </c:pt>
              </c:strCache>
            </c:strRef>
          </c:cat>
          <c:val>
            <c:numRef>
              <c:f>Chart_Data!$B$4:$B$7</c:f>
              <c:numCache>
                <c:formatCode>0.00%</c:formatCode>
                <c:ptCount val="4"/>
                <c:pt idx="0">
                  <c:v>0.34899999999999998</c:v>
                </c:pt>
                <c:pt idx="1">
                  <c:v>0.18099999999999999</c:v>
                </c:pt>
                <c:pt idx="2">
                  <c:v>0.111</c:v>
                </c:pt>
                <c:pt idx="3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4-414F-AE70-310075BD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593952"/>
        <c:axId val="296425775"/>
      </c:barChart>
      <c:catAx>
        <c:axId val="101559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25775"/>
        <c:crosses val="autoZero"/>
        <c:auto val="1"/>
        <c:lblAlgn val="ctr"/>
        <c:lblOffset val="100"/>
        <c:noMultiLvlLbl val="0"/>
      </c:catAx>
      <c:valAx>
        <c:axId val="296425775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59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Attrition Rate by Salary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IN"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Chart_Data!$B$9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Chart_Data!$A$10:$A$13</c:f>
              <c:strCache>
                <c:ptCount val="4"/>
                <c:pt idx="0">
                  <c:v>&lt;3K</c:v>
                </c:pt>
                <c:pt idx="1">
                  <c:v>3K-6K</c:v>
                </c:pt>
                <c:pt idx="2">
                  <c:v>6K-10K</c:v>
                </c:pt>
                <c:pt idx="3">
                  <c:v>10K+</c:v>
                </c:pt>
              </c:strCache>
            </c:strRef>
          </c:cat>
          <c:val>
            <c:numRef>
              <c:f>Chart_Data!$B$10:$B$13</c:f>
              <c:numCache>
                <c:formatCode>0.00%</c:formatCode>
                <c:ptCount val="4"/>
                <c:pt idx="0">
                  <c:v>0.28599999999999998</c:v>
                </c:pt>
                <c:pt idx="1">
                  <c:v>0.127</c:v>
                </c:pt>
                <c:pt idx="2">
                  <c:v>0.12</c:v>
                </c:pt>
                <c:pt idx="3">
                  <c:v>8.8999999999999996E-2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7-47DB-B429-C73FADE7A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053952"/>
        <c:axId val="296407535"/>
      </c:barChart>
      <c:catAx>
        <c:axId val="149205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407535"/>
        <c:crosses val="autoZero"/>
        <c:auto val="1"/>
        <c:lblAlgn val="ctr"/>
        <c:lblOffset val="100"/>
        <c:noMultiLvlLbl val="0"/>
      </c:catAx>
      <c:valAx>
        <c:axId val="29640753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5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Overtime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Chart_Data!$H$4:$H$5</c:f>
              <c:strCache>
                <c:ptCount val="2"/>
                <c:pt idx="0">
                  <c:v>N</c:v>
                </c:pt>
                <c:pt idx="1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Chart_Data!$G$6:$G$7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Chart_Data!$H$6:$H$7</c:f>
              <c:numCache>
                <c:formatCode>0.00%</c:formatCode>
                <c:ptCount val="2"/>
                <c:pt idx="0">
                  <c:v>0.104</c:v>
                </c:pt>
                <c:pt idx="1">
                  <c:v>0.30499999999999999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1-458A-9D0A-AA0FF5A3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063696"/>
        <c:axId val="952735312"/>
      </c:barChart>
      <c:catAx>
        <c:axId val="149206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35312"/>
        <c:crosses val="autoZero"/>
        <c:auto val="1"/>
        <c:lblAlgn val="ctr"/>
        <c:lblOffset val="100"/>
        <c:noMultiLvlLbl val="0"/>
      </c:catAx>
      <c:valAx>
        <c:axId val="952735312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0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0</xdr:rowOff>
    </xdr:from>
    <xdr:to>
      <xdr:col>6</xdr:col>
      <xdr:colOff>373380</xdr:colOff>
      <xdr:row>20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0853CB-0925-D6F1-345C-74633F6E18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411480</xdr:colOff>
      <xdr:row>5</xdr:row>
      <xdr:rowOff>7620</xdr:rowOff>
    </xdr:from>
    <xdr:to>
      <xdr:col>12</xdr:col>
      <xdr:colOff>464820</xdr:colOff>
      <xdr:row>20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EDC4E4-A771-4C8B-B4C9-854CCB0FD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20</xdr:row>
      <xdr:rowOff>68580</xdr:rowOff>
    </xdr:from>
    <xdr:to>
      <xdr:col>6</xdr:col>
      <xdr:colOff>396240</xdr:colOff>
      <xdr:row>35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DABC52-A64F-9810-C240-B9E1068EC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426720</xdr:colOff>
      <xdr:row>20</xdr:row>
      <xdr:rowOff>53340</xdr:rowOff>
    </xdr:from>
    <xdr:to>
      <xdr:col>12</xdr:col>
      <xdr:colOff>487680</xdr:colOff>
      <xdr:row>35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A3DACA-9677-D84E-F7D3-A30F79A81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</xdr:colOff>
      <xdr:row>35</xdr:row>
      <xdr:rowOff>106680</xdr:rowOff>
    </xdr:from>
    <xdr:to>
      <xdr:col>6</xdr:col>
      <xdr:colOff>396240</xdr:colOff>
      <xdr:row>50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A6D75B-D6C7-84B8-CD56-6E0D92730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an B" refreshedDate="46262.491970949071" createdVersion="8" refreshedVersion="8" minRefreshableVersion="3" recordCount="1470" xr:uid="{1A891887-C123-419A-8013-5F26AEDE624F}">
  <cacheSource type="worksheet">
    <worksheetSource name="HR_Data"/>
  </cacheSource>
  <cacheFields count="41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 Band" numFmtId="0">
      <sharedItems count="5">
        <s v="35-44"/>
        <s v="45-54"/>
        <s v="25-34"/>
        <s v="55+"/>
        <s v="Under 25"/>
      </sharedItems>
    </cacheField>
    <cacheField name="Salary Band" numFmtId="0">
      <sharedItems count="4">
        <s v="3K-6K"/>
        <s v="&lt;3K"/>
        <s v="6K-10K"/>
        <s v="10K+"/>
      </sharedItems>
    </cacheField>
    <cacheField name="Tenure Band" numFmtId="0">
      <sharedItems count="4">
        <s v="5-9 Years"/>
        <s v="10+ Years"/>
        <s v="&lt;2 Years"/>
        <s v="2-4 Years"/>
      </sharedItems>
    </cacheField>
    <cacheField name="Attrition Flag" numFmtId="0">
      <sharedItems containsSemiMixedTypes="0" containsString="0" containsNumber="1" containsInteger="1" minValue="0" maxValue="1"/>
    </cacheField>
    <cacheField name="Attrition Rate" numFmtId="0" formula="'Attrition Flag' /EmployeeNumber" databaseField="0"/>
    <cacheField name="Field1" numFmtId="0" formula=" 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x v="0"/>
    <x v="0"/>
    <x v="0"/>
    <n v="1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x v="1"/>
    <x v="0"/>
    <x v="1"/>
    <n v="0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x v="0"/>
    <x v="1"/>
    <x v="2"/>
    <n v="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x v="2"/>
    <x v="1"/>
    <x v="0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x v="2"/>
    <x v="0"/>
    <x v="3"/>
    <n v="0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x v="2"/>
    <x v="0"/>
    <x v="0"/>
    <n v="0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x v="3"/>
    <x v="1"/>
    <x v="2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x v="2"/>
    <x v="1"/>
    <x v="2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x v="0"/>
    <x v="2"/>
    <x v="0"/>
    <n v="0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x v="0"/>
    <x v="0"/>
    <x v="0"/>
    <n v="0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x v="0"/>
    <x v="1"/>
    <x v="0"/>
    <n v="0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x v="2"/>
    <x v="0"/>
    <x v="0"/>
    <n v="0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x v="2"/>
    <x v="1"/>
    <x v="0"/>
    <n v="0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x v="2"/>
    <x v="1"/>
    <x v="3"/>
    <n v="0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x v="2"/>
    <x v="1"/>
    <x v="3"/>
    <n v="1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x v="2"/>
    <x v="2"/>
    <x v="1"/>
    <n v="0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x v="2"/>
    <x v="0"/>
    <x v="0"/>
    <n v="0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x v="4"/>
    <x v="1"/>
    <x v="2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x v="1"/>
    <x v="3"/>
    <x v="1"/>
    <n v="0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x v="0"/>
    <x v="0"/>
    <x v="3"/>
    <n v="0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x v="4"/>
    <x v="0"/>
    <x v="3"/>
    <n v="0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x v="0"/>
    <x v="0"/>
    <x v="0"/>
    <n v="1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x v="2"/>
    <x v="3"/>
    <x v="1"/>
    <n v="0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x v="4"/>
    <x v="1"/>
    <x v="2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x v="2"/>
    <x v="1"/>
    <x v="3"/>
    <n v="1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x v="1"/>
    <x v="3"/>
    <x v="1"/>
    <n v="0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x v="2"/>
    <x v="0"/>
    <x v="1"/>
    <n v="1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x v="0"/>
    <x v="2"/>
    <x v="0"/>
    <n v="0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x v="0"/>
    <x v="3"/>
    <x v="1"/>
    <n v="0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x v="1"/>
    <x v="3"/>
    <x v="3"/>
    <n v="0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x v="2"/>
    <x v="1"/>
    <x v="2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x v="0"/>
    <x v="2"/>
    <x v="3"/>
    <n v="0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x v="2"/>
    <x v="1"/>
    <x v="1"/>
    <n v="0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x v="0"/>
    <x v="1"/>
    <x v="2"/>
    <n v="1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x v="4"/>
    <x v="1"/>
    <x v="3"/>
    <n v="1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x v="0"/>
    <x v="1"/>
    <x v="0"/>
    <n v="0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x v="1"/>
    <x v="1"/>
    <x v="3"/>
    <n v="1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x v="0"/>
    <x v="1"/>
    <x v="3"/>
    <n v="0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x v="0"/>
    <x v="0"/>
    <x v="2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x v="2"/>
    <x v="0"/>
    <x v="0"/>
    <n v="0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x v="0"/>
    <x v="1"/>
    <x v="2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x v="2"/>
    <x v="1"/>
    <x v="2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x v="2"/>
    <x v="1"/>
    <x v="2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x v="2"/>
    <x v="2"/>
    <x v="0"/>
    <n v="0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x v="2"/>
    <x v="0"/>
    <x v="1"/>
    <n v="0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x v="0"/>
    <x v="3"/>
    <x v="1"/>
    <n v="1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x v="2"/>
    <x v="0"/>
    <x v="0"/>
    <n v="0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x v="0"/>
    <x v="0"/>
    <x v="2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x v="1"/>
    <x v="0"/>
    <x v="0"/>
    <n v="0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x v="0"/>
    <x v="1"/>
    <x v="2"/>
    <n v="0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x v="1"/>
    <x v="0"/>
    <x v="2"/>
    <n v="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x v="2"/>
    <x v="0"/>
    <x v="3"/>
    <n v="1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x v="0"/>
    <x v="0"/>
    <x v="3"/>
    <n v="0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x v="0"/>
    <x v="2"/>
    <x v="3"/>
    <n v="0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x v="2"/>
    <x v="0"/>
    <x v="3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x v="2"/>
    <x v="3"/>
    <x v="1"/>
    <n v="0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x v="0"/>
    <x v="2"/>
    <x v="0"/>
    <n v="0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x v="0"/>
    <x v="0"/>
    <x v="3"/>
    <n v="0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x v="2"/>
    <x v="0"/>
    <x v="0"/>
    <n v="0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x v="0"/>
    <x v="0"/>
    <x v="0"/>
    <n v="0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x v="2"/>
    <x v="2"/>
    <x v="0"/>
    <n v="0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x v="0"/>
    <x v="1"/>
    <x v="1"/>
    <n v="0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x v="1"/>
    <x v="3"/>
    <x v="1"/>
    <n v="0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x v="3"/>
    <x v="2"/>
    <x v="1"/>
    <n v="0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x v="0"/>
    <x v="3"/>
    <x v="1"/>
    <n v="0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x v="3"/>
    <x v="3"/>
    <x v="0"/>
    <n v="0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x v="0"/>
    <x v="2"/>
    <x v="0"/>
    <n v="0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x v="1"/>
    <x v="2"/>
    <x v="2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x v="0"/>
    <x v="1"/>
    <x v="3"/>
    <n v="0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x v="0"/>
    <x v="0"/>
    <x v="2"/>
    <n v="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x v="3"/>
    <x v="0"/>
    <x v="3"/>
    <n v="0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x v="2"/>
    <x v="1"/>
    <x v="0"/>
    <n v="0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x v="2"/>
    <x v="1"/>
    <x v="2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x v="2"/>
    <x v="2"/>
    <x v="1"/>
    <n v="0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x v="0"/>
    <x v="0"/>
    <x v="2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x v="2"/>
    <x v="0"/>
    <x v="1"/>
    <n v="0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x v="0"/>
    <x v="0"/>
    <x v="1"/>
    <n v="0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x v="1"/>
    <x v="3"/>
    <x v="2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x v="0"/>
    <x v="3"/>
    <x v="0"/>
    <n v="0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x v="1"/>
    <x v="0"/>
    <x v="3"/>
    <n v="0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x v="2"/>
    <x v="0"/>
    <x v="1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x v="0"/>
    <x v="1"/>
    <x v="0"/>
    <n v="0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x v="3"/>
    <x v="3"/>
    <x v="2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x v="0"/>
    <x v="0"/>
    <x v="1"/>
    <n v="0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x v="2"/>
    <x v="0"/>
    <x v="0"/>
    <n v="0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x v="3"/>
    <x v="2"/>
    <x v="0"/>
    <n v="0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x v="4"/>
    <x v="1"/>
    <x v="2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x v="1"/>
    <x v="1"/>
    <x v="3"/>
    <n v="0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x v="2"/>
    <x v="0"/>
    <x v="1"/>
    <n v="0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x v="1"/>
    <x v="2"/>
    <x v="0"/>
    <n v="1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x v="0"/>
    <x v="3"/>
    <x v="1"/>
    <n v="0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x v="1"/>
    <x v="0"/>
    <x v="1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x v="2"/>
    <x v="0"/>
    <x v="1"/>
    <n v="0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x v="1"/>
    <x v="3"/>
    <x v="1"/>
    <n v="0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x v="2"/>
    <x v="0"/>
    <x v="1"/>
    <n v="0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x v="1"/>
    <x v="3"/>
    <x v="3"/>
    <n v="0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x v="4"/>
    <x v="0"/>
    <x v="3"/>
    <n v="0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x v="2"/>
    <x v="0"/>
    <x v="0"/>
    <n v="0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x v="3"/>
    <x v="3"/>
    <x v="1"/>
    <n v="0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x v="0"/>
    <x v="1"/>
    <x v="3"/>
    <n v="0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x v="0"/>
    <x v="1"/>
    <x v="3"/>
    <n v="1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x v="2"/>
    <x v="1"/>
    <x v="2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x v="4"/>
    <x v="1"/>
    <x v="2"/>
    <n v="1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x v="2"/>
    <x v="0"/>
    <x v="1"/>
    <n v="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x v="0"/>
    <x v="0"/>
    <x v="2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x v="3"/>
    <x v="3"/>
    <x v="3"/>
    <n v="0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x v="1"/>
    <x v="3"/>
    <x v="0"/>
    <n v="0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x v="2"/>
    <x v="0"/>
    <x v="0"/>
    <n v="1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x v="2"/>
    <x v="1"/>
    <x v="3"/>
    <n v="0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x v="4"/>
    <x v="1"/>
    <x v="2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x v="1"/>
    <x v="2"/>
    <x v="1"/>
    <n v="0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x v="2"/>
    <x v="2"/>
    <x v="0"/>
    <n v="1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x v="1"/>
    <x v="3"/>
    <x v="0"/>
    <n v="0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x v="4"/>
    <x v="1"/>
    <x v="0"/>
    <n v="0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x v="2"/>
    <x v="0"/>
    <x v="2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x v="0"/>
    <x v="2"/>
    <x v="0"/>
    <n v="0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x v="2"/>
    <x v="3"/>
    <x v="1"/>
    <n v="0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x v="0"/>
    <x v="2"/>
    <x v="0"/>
    <n v="0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x v="0"/>
    <x v="1"/>
    <x v="2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x v="0"/>
    <x v="3"/>
    <x v="1"/>
    <n v="0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x v="2"/>
    <x v="1"/>
    <x v="1"/>
    <n v="0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x v="2"/>
    <x v="2"/>
    <x v="0"/>
    <n v="0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x v="3"/>
    <x v="0"/>
    <x v="0"/>
    <n v="1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x v="1"/>
    <x v="3"/>
    <x v="1"/>
    <n v="0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x v="2"/>
    <x v="2"/>
    <x v="0"/>
    <n v="1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x v="2"/>
    <x v="1"/>
    <x v="0"/>
    <n v="0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x v="3"/>
    <x v="3"/>
    <x v="1"/>
    <n v="1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x v="4"/>
    <x v="1"/>
    <x v="2"/>
    <n v="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x v="4"/>
    <x v="1"/>
    <x v="3"/>
    <n v="0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x v="1"/>
    <x v="2"/>
    <x v="1"/>
    <n v="0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x v="0"/>
    <x v="0"/>
    <x v="3"/>
    <n v="0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x v="1"/>
    <x v="2"/>
    <x v="3"/>
    <n v="0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x v="2"/>
    <x v="0"/>
    <x v="3"/>
    <n v="1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x v="0"/>
    <x v="2"/>
    <x v="0"/>
    <n v="0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x v="2"/>
    <x v="1"/>
    <x v="0"/>
    <n v="0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x v="0"/>
    <x v="0"/>
    <x v="3"/>
    <n v="0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x v="1"/>
    <x v="3"/>
    <x v="3"/>
    <n v="1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x v="0"/>
    <x v="0"/>
    <x v="1"/>
    <n v="0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x v="2"/>
    <x v="2"/>
    <x v="3"/>
    <n v="0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x v="2"/>
    <x v="2"/>
    <x v="1"/>
    <n v="0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x v="2"/>
    <x v="0"/>
    <x v="0"/>
    <n v="1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x v="1"/>
    <x v="0"/>
    <x v="0"/>
    <n v="0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x v="0"/>
    <x v="0"/>
    <x v="3"/>
    <n v="0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x v="2"/>
    <x v="1"/>
    <x v="0"/>
    <n v="0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x v="2"/>
    <x v="0"/>
    <x v="0"/>
    <n v="0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x v="2"/>
    <x v="0"/>
    <x v="3"/>
    <n v="0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x v="2"/>
    <x v="1"/>
    <x v="0"/>
    <n v="0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x v="0"/>
    <x v="3"/>
    <x v="0"/>
    <n v="0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x v="0"/>
    <x v="1"/>
    <x v="0"/>
    <n v="0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x v="4"/>
    <x v="1"/>
    <x v="2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x v="0"/>
    <x v="0"/>
    <x v="1"/>
    <n v="0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x v="0"/>
    <x v="2"/>
    <x v="1"/>
    <n v="0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x v="1"/>
    <x v="1"/>
    <x v="0"/>
    <n v="0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x v="1"/>
    <x v="1"/>
    <x v="1"/>
    <n v="0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x v="2"/>
    <x v="2"/>
    <x v="0"/>
    <n v="0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x v="2"/>
    <x v="0"/>
    <x v="1"/>
    <n v="0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x v="1"/>
    <x v="2"/>
    <x v="2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x v="3"/>
    <x v="0"/>
    <x v="2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x v="0"/>
    <x v="3"/>
    <x v="1"/>
    <n v="0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x v="2"/>
    <x v="1"/>
    <x v="3"/>
    <n v="0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x v="4"/>
    <x v="1"/>
    <x v="3"/>
    <n v="0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x v="2"/>
    <x v="1"/>
    <x v="3"/>
    <n v="0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x v="2"/>
    <x v="1"/>
    <x v="0"/>
    <n v="0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x v="3"/>
    <x v="2"/>
    <x v="0"/>
    <n v="0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x v="2"/>
    <x v="1"/>
    <x v="2"/>
    <n v="0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x v="1"/>
    <x v="3"/>
    <x v="0"/>
    <n v="0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x v="0"/>
    <x v="1"/>
    <x v="0"/>
    <n v="0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x v="2"/>
    <x v="2"/>
    <x v="1"/>
    <n v="0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x v="0"/>
    <x v="2"/>
    <x v="0"/>
    <n v="0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x v="2"/>
    <x v="0"/>
    <x v="0"/>
    <n v="0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x v="2"/>
    <x v="0"/>
    <x v="0"/>
    <n v="0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x v="4"/>
    <x v="1"/>
    <x v="2"/>
    <n v="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x v="0"/>
    <x v="1"/>
    <x v="0"/>
    <n v="0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x v="2"/>
    <x v="0"/>
    <x v="1"/>
    <n v="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x v="1"/>
    <x v="0"/>
    <x v="0"/>
    <n v="0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x v="3"/>
    <x v="0"/>
    <x v="3"/>
    <n v="0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x v="2"/>
    <x v="1"/>
    <x v="3"/>
    <n v="0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x v="4"/>
    <x v="1"/>
    <x v="2"/>
    <n v="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x v="1"/>
    <x v="3"/>
    <x v="1"/>
    <n v="0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x v="0"/>
    <x v="1"/>
    <x v="3"/>
    <n v="0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x v="2"/>
    <x v="0"/>
    <x v="3"/>
    <n v="0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x v="2"/>
    <x v="1"/>
    <x v="3"/>
    <n v="0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x v="0"/>
    <x v="0"/>
    <x v="3"/>
    <n v="1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x v="1"/>
    <x v="0"/>
    <x v="3"/>
    <n v="0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x v="1"/>
    <x v="0"/>
    <x v="3"/>
    <n v="0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x v="2"/>
    <x v="1"/>
    <x v="0"/>
    <n v="0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x v="0"/>
    <x v="3"/>
    <x v="1"/>
    <n v="0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x v="3"/>
    <x v="3"/>
    <x v="1"/>
    <n v="0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x v="2"/>
    <x v="2"/>
    <x v="1"/>
    <n v="0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x v="1"/>
    <x v="3"/>
    <x v="0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x v="1"/>
    <x v="3"/>
    <x v="1"/>
    <n v="0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x v="2"/>
    <x v="1"/>
    <x v="0"/>
    <n v="0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x v="0"/>
    <x v="0"/>
    <x v="2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x v="0"/>
    <x v="1"/>
    <x v="0"/>
    <n v="0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x v="1"/>
    <x v="3"/>
    <x v="1"/>
    <n v="0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x v="0"/>
    <x v="0"/>
    <x v="0"/>
    <n v="0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x v="0"/>
    <x v="0"/>
    <x v="0"/>
    <n v="0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x v="0"/>
    <x v="0"/>
    <x v="0"/>
    <n v="0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x v="0"/>
    <x v="2"/>
    <x v="2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x v="0"/>
    <x v="2"/>
    <x v="0"/>
    <n v="0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x v="2"/>
    <x v="0"/>
    <x v="3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x v="1"/>
    <x v="2"/>
    <x v="0"/>
    <n v="0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x v="2"/>
    <x v="0"/>
    <x v="0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x v="0"/>
    <x v="1"/>
    <x v="0"/>
    <n v="0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x v="0"/>
    <x v="2"/>
    <x v="2"/>
    <n v="1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x v="2"/>
    <x v="2"/>
    <x v="1"/>
    <n v="1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x v="4"/>
    <x v="1"/>
    <x v="3"/>
    <n v="0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x v="0"/>
    <x v="1"/>
    <x v="0"/>
    <n v="0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x v="0"/>
    <x v="0"/>
    <x v="3"/>
    <n v="0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x v="1"/>
    <x v="2"/>
    <x v="3"/>
    <n v="0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x v="2"/>
    <x v="3"/>
    <x v="1"/>
    <n v="1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x v="2"/>
    <x v="2"/>
    <x v="1"/>
    <n v="0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x v="2"/>
    <x v="2"/>
    <x v="0"/>
    <n v="0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x v="1"/>
    <x v="3"/>
    <x v="1"/>
    <n v="0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x v="2"/>
    <x v="1"/>
    <x v="0"/>
    <n v="1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x v="0"/>
    <x v="3"/>
    <x v="2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x v="2"/>
    <x v="2"/>
    <x v="0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x v="2"/>
    <x v="1"/>
    <x v="0"/>
    <n v="1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x v="1"/>
    <x v="2"/>
    <x v="1"/>
    <n v="0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x v="1"/>
    <x v="0"/>
    <x v="0"/>
    <n v="0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x v="0"/>
    <x v="0"/>
    <x v="1"/>
    <n v="0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x v="2"/>
    <x v="1"/>
    <x v="3"/>
    <n v="0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x v="0"/>
    <x v="3"/>
    <x v="1"/>
    <n v="0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x v="0"/>
    <x v="3"/>
    <x v="1"/>
    <n v="0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x v="2"/>
    <x v="0"/>
    <x v="0"/>
    <n v="0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x v="3"/>
    <x v="1"/>
    <x v="2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x v="0"/>
    <x v="1"/>
    <x v="0"/>
    <n v="0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x v="2"/>
    <x v="2"/>
    <x v="1"/>
    <n v="0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x v="0"/>
    <x v="2"/>
    <x v="1"/>
    <n v="0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x v="2"/>
    <x v="1"/>
    <x v="3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x v="1"/>
    <x v="0"/>
    <x v="3"/>
    <n v="0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x v="0"/>
    <x v="3"/>
    <x v="1"/>
    <n v="0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x v="3"/>
    <x v="1"/>
    <x v="3"/>
    <n v="0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x v="1"/>
    <x v="3"/>
    <x v="0"/>
    <n v="0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x v="2"/>
    <x v="1"/>
    <x v="0"/>
    <n v="1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x v="0"/>
    <x v="3"/>
    <x v="1"/>
    <n v="0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x v="2"/>
    <x v="1"/>
    <x v="0"/>
    <n v="1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x v="1"/>
    <x v="3"/>
    <x v="1"/>
    <n v="0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x v="2"/>
    <x v="0"/>
    <x v="3"/>
    <n v="0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x v="2"/>
    <x v="0"/>
    <x v="3"/>
    <n v="1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x v="0"/>
    <x v="1"/>
    <x v="3"/>
    <n v="0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x v="2"/>
    <x v="0"/>
    <x v="3"/>
    <n v="0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x v="0"/>
    <x v="0"/>
    <x v="2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x v="0"/>
    <x v="0"/>
    <x v="0"/>
    <n v="0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x v="1"/>
    <x v="3"/>
    <x v="1"/>
    <n v="0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x v="2"/>
    <x v="3"/>
    <x v="3"/>
    <n v="0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x v="2"/>
    <x v="1"/>
    <x v="3"/>
    <n v="0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x v="2"/>
    <x v="0"/>
    <x v="1"/>
    <n v="0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x v="0"/>
    <x v="0"/>
    <x v="3"/>
    <n v="0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x v="1"/>
    <x v="2"/>
    <x v="3"/>
    <n v="0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x v="0"/>
    <x v="3"/>
    <x v="2"/>
    <n v="1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x v="0"/>
    <x v="3"/>
    <x v="1"/>
    <n v="0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x v="2"/>
    <x v="1"/>
    <x v="0"/>
    <n v="0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x v="0"/>
    <x v="2"/>
    <x v="3"/>
    <n v="0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x v="2"/>
    <x v="2"/>
    <x v="3"/>
    <n v="0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x v="2"/>
    <x v="0"/>
    <x v="3"/>
    <n v="0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x v="0"/>
    <x v="1"/>
    <x v="0"/>
    <n v="0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x v="0"/>
    <x v="3"/>
    <x v="1"/>
    <n v="0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x v="1"/>
    <x v="1"/>
    <x v="2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x v="2"/>
    <x v="0"/>
    <x v="0"/>
    <n v="1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x v="2"/>
    <x v="1"/>
    <x v="0"/>
    <n v="0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x v="0"/>
    <x v="0"/>
    <x v="0"/>
    <n v="0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x v="2"/>
    <x v="1"/>
    <x v="0"/>
    <n v="0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x v="1"/>
    <x v="3"/>
    <x v="0"/>
    <n v="0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x v="2"/>
    <x v="0"/>
    <x v="2"/>
    <n v="1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x v="2"/>
    <x v="2"/>
    <x v="2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x v="2"/>
    <x v="0"/>
    <x v="0"/>
    <n v="0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x v="2"/>
    <x v="0"/>
    <x v="0"/>
    <n v="0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x v="1"/>
    <x v="3"/>
    <x v="1"/>
    <n v="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x v="0"/>
    <x v="0"/>
    <x v="1"/>
    <n v="0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x v="3"/>
    <x v="3"/>
    <x v="1"/>
    <n v="0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x v="1"/>
    <x v="3"/>
    <x v="1"/>
    <n v="1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x v="2"/>
    <x v="1"/>
    <x v="0"/>
    <n v="0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x v="0"/>
    <x v="2"/>
    <x v="0"/>
    <n v="0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x v="4"/>
    <x v="0"/>
    <x v="3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x v="0"/>
    <x v="3"/>
    <x v="0"/>
    <n v="0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x v="0"/>
    <x v="3"/>
    <x v="0"/>
    <n v="0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x v="0"/>
    <x v="0"/>
    <x v="0"/>
    <n v="0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x v="2"/>
    <x v="2"/>
    <x v="0"/>
    <n v="0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x v="1"/>
    <x v="3"/>
    <x v="1"/>
    <n v="0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x v="1"/>
    <x v="3"/>
    <x v="0"/>
    <n v="0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x v="0"/>
    <x v="0"/>
    <x v="1"/>
    <n v="0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x v="2"/>
    <x v="0"/>
    <x v="1"/>
    <n v="0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x v="3"/>
    <x v="0"/>
    <x v="1"/>
    <n v="0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x v="2"/>
    <x v="0"/>
    <x v="0"/>
    <n v="0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x v="0"/>
    <x v="1"/>
    <x v="1"/>
    <n v="0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x v="0"/>
    <x v="0"/>
    <x v="2"/>
    <n v="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x v="0"/>
    <x v="0"/>
    <x v="3"/>
    <n v="0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x v="2"/>
    <x v="1"/>
    <x v="3"/>
    <n v="1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x v="2"/>
    <x v="0"/>
    <x v="0"/>
    <n v="0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x v="1"/>
    <x v="3"/>
    <x v="3"/>
    <n v="0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x v="0"/>
    <x v="0"/>
    <x v="0"/>
    <n v="0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x v="2"/>
    <x v="1"/>
    <x v="3"/>
    <n v="0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x v="2"/>
    <x v="0"/>
    <x v="0"/>
    <n v="1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x v="0"/>
    <x v="1"/>
    <x v="3"/>
    <n v="0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x v="0"/>
    <x v="3"/>
    <x v="1"/>
    <n v="0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x v="4"/>
    <x v="1"/>
    <x v="2"/>
    <n v="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x v="0"/>
    <x v="2"/>
    <x v="1"/>
    <n v="0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x v="0"/>
    <x v="0"/>
    <x v="2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x v="1"/>
    <x v="0"/>
    <x v="3"/>
    <n v="0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x v="0"/>
    <x v="3"/>
    <x v="1"/>
    <n v="0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x v="4"/>
    <x v="1"/>
    <x v="2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x v="2"/>
    <x v="0"/>
    <x v="0"/>
    <n v="0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x v="2"/>
    <x v="2"/>
    <x v="0"/>
    <n v="0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x v="0"/>
    <x v="2"/>
    <x v="1"/>
    <n v="0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x v="0"/>
    <x v="0"/>
    <x v="0"/>
    <n v="0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x v="2"/>
    <x v="0"/>
    <x v="1"/>
    <n v="0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x v="0"/>
    <x v="3"/>
    <x v="1"/>
    <n v="0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x v="3"/>
    <x v="0"/>
    <x v="0"/>
    <n v="0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x v="2"/>
    <x v="0"/>
    <x v="0"/>
    <n v="0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x v="2"/>
    <x v="2"/>
    <x v="3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x v="1"/>
    <x v="0"/>
    <x v="1"/>
    <n v="0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x v="2"/>
    <x v="1"/>
    <x v="3"/>
    <n v="0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x v="2"/>
    <x v="3"/>
    <x v="1"/>
    <n v="0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x v="0"/>
    <x v="3"/>
    <x v="1"/>
    <n v="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x v="0"/>
    <x v="1"/>
    <x v="0"/>
    <n v="0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x v="1"/>
    <x v="3"/>
    <x v="0"/>
    <n v="0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x v="1"/>
    <x v="0"/>
    <x v="0"/>
    <n v="1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x v="2"/>
    <x v="1"/>
    <x v="3"/>
    <n v="0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x v="2"/>
    <x v="0"/>
    <x v="1"/>
    <n v="0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x v="2"/>
    <x v="0"/>
    <x v="0"/>
    <n v="0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x v="2"/>
    <x v="2"/>
    <x v="0"/>
    <n v="0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x v="2"/>
    <x v="0"/>
    <x v="0"/>
    <n v="0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x v="2"/>
    <x v="0"/>
    <x v="3"/>
    <n v="1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x v="2"/>
    <x v="0"/>
    <x v="1"/>
    <n v="0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x v="2"/>
    <x v="2"/>
    <x v="1"/>
    <n v="0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x v="0"/>
    <x v="3"/>
    <x v="1"/>
    <n v="0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x v="0"/>
    <x v="0"/>
    <x v="2"/>
    <n v="1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x v="2"/>
    <x v="0"/>
    <x v="0"/>
    <n v="0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x v="1"/>
    <x v="3"/>
    <x v="3"/>
    <n v="0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x v="0"/>
    <x v="0"/>
    <x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x v="2"/>
    <x v="2"/>
    <x v="0"/>
    <n v="0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x v="1"/>
    <x v="0"/>
    <x v="3"/>
    <n v="0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x v="0"/>
    <x v="2"/>
    <x v="2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x v="1"/>
    <x v="0"/>
    <x v="1"/>
    <n v="0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x v="0"/>
    <x v="2"/>
    <x v="3"/>
    <n v="0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x v="2"/>
    <x v="1"/>
    <x v="0"/>
    <n v="1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x v="2"/>
    <x v="0"/>
    <x v="3"/>
    <n v="0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x v="2"/>
    <x v="2"/>
    <x v="1"/>
    <n v="0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x v="2"/>
    <x v="2"/>
    <x v="0"/>
    <n v="0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x v="0"/>
    <x v="2"/>
    <x v="0"/>
    <n v="0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x v="0"/>
    <x v="3"/>
    <x v="1"/>
    <n v="0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x v="2"/>
    <x v="2"/>
    <x v="1"/>
    <n v="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x v="2"/>
    <x v="2"/>
    <x v="0"/>
    <n v="0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x v="0"/>
    <x v="2"/>
    <x v="1"/>
    <n v="0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x v="4"/>
    <x v="1"/>
    <x v="3"/>
    <n v="0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x v="0"/>
    <x v="2"/>
    <x v="0"/>
    <n v="0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x v="1"/>
    <x v="1"/>
    <x v="2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x v="0"/>
    <x v="3"/>
    <x v="2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x v="2"/>
    <x v="0"/>
    <x v="3"/>
    <n v="0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x v="0"/>
    <x v="1"/>
    <x v="3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x v="2"/>
    <x v="1"/>
    <x v="0"/>
    <n v="0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x v="1"/>
    <x v="3"/>
    <x v="2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x v="0"/>
    <x v="0"/>
    <x v="0"/>
    <n v="0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x v="2"/>
    <x v="0"/>
    <x v="3"/>
    <n v="0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x v="2"/>
    <x v="0"/>
    <x v="0"/>
    <n v="0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x v="0"/>
    <x v="2"/>
    <x v="2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x v="4"/>
    <x v="1"/>
    <x v="3"/>
    <n v="1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x v="0"/>
    <x v="2"/>
    <x v="2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x v="0"/>
    <x v="2"/>
    <x v="1"/>
    <n v="0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x v="3"/>
    <x v="2"/>
    <x v="3"/>
    <n v="0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x v="0"/>
    <x v="1"/>
    <x v="0"/>
    <n v="0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x v="4"/>
    <x v="1"/>
    <x v="3"/>
    <n v="0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x v="2"/>
    <x v="1"/>
    <x v="2"/>
    <n v="1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x v="0"/>
    <x v="0"/>
    <x v="0"/>
    <n v="0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x v="1"/>
    <x v="0"/>
    <x v="2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x v="0"/>
    <x v="2"/>
    <x v="0"/>
    <n v="1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x v="1"/>
    <x v="3"/>
    <x v="3"/>
    <n v="0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x v="0"/>
    <x v="2"/>
    <x v="0"/>
    <n v="1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x v="2"/>
    <x v="1"/>
    <x v="3"/>
    <n v="0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x v="4"/>
    <x v="1"/>
    <x v="2"/>
    <n v="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x v="2"/>
    <x v="1"/>
    <x v="3"/>
    <n v="0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x v="0"/>
    <x v="2"/>
    <x v="2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x v="2"/>
    <x v="0"/>
    <x v="0"/>
    <n v="0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x v="2"/>
    <x v="0"/>
    <x v="0"/>
    <n v="0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x v="1"/>
    <x v="3"/>
    <x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x v="1"/>
    <x v="0"/>
    <x v="0"/>
    <n v="0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x v="0"/>
    <x v="1"/>
    <x v="3"/>
    <n v="0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x v="2"/>
    <x v="0"/>
    <x v="0"/>
    <n v="1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x v="3"/>
    <x v="3"/>
    <x v="0"/>
    <n v="0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x v="4"/>
    <x v="0"/>
    <x v="0"/>
    <n v="0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x v="2"/>
    <x v="1"/>
    <x v="2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x v="2"/>
    <x v="0"/>
    <x v="0"/>
    <n v="1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x v="4"/>
    <x v="1"/>
    <x v="3"/>
    <n v="0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x v="0"/>
    <x v="2"/>
    <x v="1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x v="2"/>
    <x v="1"/>
    <x v="2"/>
    <n v="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x v="0"/>
    <x v="0"/>
    <x v="1"/>
    <n v="0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x v="0"/>
    <x v="0"/>
    <x v="0"/>
    <n v="0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x v="0"/>
    <x v="1"/>
    <x v="0"/>
    <n v="0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x v="0"/>
    <x v="0"/>
    <x v="2"/>
    <n v="0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x v="0"/>
    <x v="3"/>
    <x v="1"/>
    <n v="0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x v="0"/>
    <x v="0"/>
    <x v="2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x v="1"/>
    <x v="3"/>
    <x v="3"/>
    <n v="0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x v="2"/>
    <x v="2"/>
    <x v="3"/>
    <n v="0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x v="2"/>
    <x v="0"/>
    <x v="1"/>
    <n v="0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x v="0"/>
    <x v="1"/>
    <x v="3"/>
    <n v="0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x v="0"/>
    <x v="0"/>
    <x v="0"/>
    <n v="0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x v="2"/>
    <x v="0"/>
    <x v="0"/>
    <n v="0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x v="0"/>
    <x v="0"/>
    <x v="1"/>
    <n v="0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x v="2"/>
    <x v="1"/>
    <x v="3"/>
    <n v="0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x v="0"/>
    <x v="3"/>
    <x v="1"/>
    <n v="0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x v="3"/>
    <x v="3"/>
    <x v="0"/>
    <n v="0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x v="2"/>
    <x v="2"/>
    <x v="0"/>
    <n v="0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x v="0"/>
    <x v="2"/>
    <x v="1"/>
    <n v="0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x v="2"/>
    <x v="0"/>
    <x v="1"/>
    <n v="0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x v="2"/>
    <x v="0"/>
    <x v="3"/>
    <n v="1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x v="1"/>
    <x v="2"/>
    <x v="0"/>
    <n v="0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x v="1"/>
    <x v="1"/>
    <x v="3"/>
    <n v="0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x v="1"/>
    <x v="3"/>
    <x v="0"/>
    <n v="0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x v="0"/>
    <x v="0"/>
    <x v="0"/>
    <n v="0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x v="2"/>
    <x v="2"/>
    <x v="0"/>
    <n v="0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x v="3"/>
    <x v="3"/>
    <x v="1"/>
    <n v="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x v="1"/>
    <x v="0"/>
    <x v="1"/>
    <n v="0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x v="0"/>
    <x v="0"/>
    <x v="0"/>
    <n v="0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x v="4"/>
    <x v="0"/>
    <x v="0"/>
    <n v="1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x v="2"/>
    <x v="1"/>
    <x v="3"/>
    <n v="1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x v="0"/>
    <x v="1"/>
    <x v="2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x v="0"/>
    <x v="3"/>
    <x v="1"/>
    <n v="0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x v="2"/>
    <x v="1"/>
    <x v="3"/>
    <n v="0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x v="2"/>
    <x v="1"/>
    <x v="0"/>
    <n v="0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x v="2"/>
    <x v="3"/>
    <x v="1"/>
    <n v="0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x v="2"/>
    <x v="1"/>
    <x v="3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x v="4"/>
    <x v="1"/>
    <x v="2"/>
    <n v="1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x v="2"/>
    <x v="2"/>
    <x v="0"/>
    <n v="0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x v="3"/>
    <x v="3"/>
    <x v="2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x v="1"/>
    <x v="3"/>
    <x v="1"/>
    <n v="0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x v="2"/>
    <x v="1"/>
    <x v="1"/>
    <n v="0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x v="3"/>
    <x v="3"/>
    <x v="1"/>
    <n v="0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x v="1"/>
    <x v="0"/>
    <x v="0"/>
    <n v="0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x v="1"/>
    <x v="3"/>
    <x v="3"/>
    <n v="0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x v="0"/>
    <x v="0"/>
    <x v="0"/>
    <n v="0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x v="1"/>
    <x v="0"/>
    <x v="2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x v="2"/>
    <x v="1"/>
    <x v="0"/>
    <n v="0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x v="1"/>
    <x v="2"/>
    <x v="3"/>
    <n v="0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x v="2"/>
    <x v="3"/>
    <x v="1"/>
    <n v="0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x v="2"/>
    <x v="3"/>
    <x v="0"/>
    <n v="1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x v="2"/>
    <x v="0"/>
    <x v="3"/>
    <n v="1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x v="2"/>
    <x v="1"/>
    <x v="3"/>
    <n v="0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x v="0"/>
    <x v="2"/>
    <x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x v="2"/>
    <x v="2"/>
    <x v="2"/>
    <n v="1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x v="2"/>
    <x v="2"/>
    <x v="3"/>
    <n v="1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x v="0"/>
    <x v="1"/>
    <x v="3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x v="0"/>
    <x v="2"/>
    <x v="1"/>
    <n v="0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x v="4"/>
    <x v="0"/>
    <x v="3"/>
    <n v="1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x v="1"/>
    <x v="0"/>
    <x v="0"/>
    <n v="0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x v="3"/>
    <x v="3"/>
    <x v="1"/>
    <n v="0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x v="0"/>
    <x v="2"/>
    <x v="1"/>
    <n v="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x v="0"/>
    <x v="0"/>
    <x v="1"/>
    <n v="0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x v="0"/>
    <x v="3"/>
    <x v="1"/>
    <n v="0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x v="0"/>
    <x v="0"/>
    <x v="0"/>
    <n v="0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x v="2"/>
    <x v="2"/>
    <x v="0"/>
    <n v="0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x v="0"/>
    <x v="2"/>
    <x v="1"/>
    <n v="0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x v="1"/>
    <x v="0"/>
    <x v="0"/>
    <n v="0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x v="2"/>
    <x v="1"/>
    <x v="0"/>
    <n v="1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x v="2"/>
    <x v="0"/>
    <x v="3"/>
    <n v="0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x v="2"/>
    <x v="3"/>
    <x v="0"/>
    <n v="0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x v="2"/>
    <x v="3"/>
    <x v="0"/>
    <n v="0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x v="4"/>
    <x v="1"/>
    <x v="2"/>
    <n v="1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x v="0"/>
    <x v="3"/>
    <x v="2"/>
    <n v="0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x v="0"/>
    <x v="2"/>
    <x v="0"/>
    <n v="0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x v="2"/>
    <x v="0"/>
    <x v="2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x v="0"/>
    <x v="0"/>
    <x v="0"/>
    <n v="0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x v="2"/>
    <x v="0"/>
    <x v="1"/>
    <n v="0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x v="2"/>
    <x v="1"/>
    <x v="2"/>
    <n v="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x v="0"/>
    <x v="2"/>
    <x v="0"/>
    <n v="0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x v="1"/>
    <x v="3"/>
    <x v="3"/>
    <n v="0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x v="0"/>
    <x v="3"/>
    <x v="1"/>
    <n v="0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x v="0"/>
    <x v="2"/>
    <x v="0"/>
    <n v="0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x v="1"/>
    <x v="0"/>
    <x v="1"/>
    <n v="0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x v="2"/>
    <x v="0"/>
    <x v="3"/>
    <n v="1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x v="4"/>
    <x v="1"/>
    <x v="3"/>
    <n v="0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x v="0"/>
    <x v="2"/>
    <x v="2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x v="0"/>
    <x v="2"/>
    <x v="0"/>
    <n v="0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x v="1"/>
    <x v="3"/>
    <x v="1"/>
    <n v="0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x v="4"/>
    <x v="1"/>
    <x v="0"/>
    <n v="0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x v="2"/>
    <x v="2"/>
    <x v="0"/>
    <n v="0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x v="4"/>
    <x v="1"/>
    <x v="2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x v="1"/>
    <x v="3"/>
    <x v="1"/>
    <n v="0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x v="2"/>
    <x v="1"/>
    <x v="0"/>
    <n v="0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x v="4"/>
    <x v="1"/>
    <x v="0"/>
    <n v="1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x v="2"/>
    <x v="1"/>
    <x v="2"/>
    <n v="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x v="2"/>
    <x v="0"/>
    <x v="0"/>
    <n v="0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x v="2"/>
    <x v="0"/>
    <x v="3"/>
    <n v="1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x v="0"/>
    <x v="0"/>
    <x v="3"/>
    <n v="0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x v="2"/>
    <x v="0"/>
    <x v="0"/>
    <n v="0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x v="2"/>
    <x v="1"/>
    <x v="0"/>
    <n v="0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x v="0"/>
    <x v="2"/>
    <x v="3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x v="4"/>
    <x v="1"/>
    <x v="2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x v="0"/>
    <x v="0"/>
    <x v="1"/>
    <n v="0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x v="0"/>
    <x v="3"/>
    <x v="2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x v="0"/>
    <x v="1"/>
    <x v="2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x v="0"/>
    <x v="0"/>
    <x v="0"/>
    <n v="0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x v="1"/>
    <x v="3"/>
    <x v="3"/>
    <n v="0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x v="0"/>
    <x v="0"/>
    <x v="3"/>
    <n v="0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x v="2"/>
    <x v="1"/>
    <x v="0"/>
    <n v="0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x v="2"/>
    <x v="0"/>
    <x v="3"/>
    <n v="1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x v="4"/>
    <x v="0"/>
    <x v="3"/>
    <n v="0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x v="0"/>
    <x v="3"/>
    <x v="3"/>
    <n v="0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x v="4"/>
    <x v="1"/>
    <x v="3"/>
    <n v="0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x v="2"/>
    <x v="2"/>
    <x v="0"/>
    <n v="0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x v="2"/>
    <x v="2"/>
    <x v="0"/>
    <n v="0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x v="2"/>
    <x v="1"/>
    <x v="2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x v="1"/>
    <x v="2"/>
    <x v="1"/>
    <n v="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x v="2"/>
    <x v="1"/>
    <x v="1"/>
    <n v="0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x v="1"/>
    <x v="0"/>
    <x v="2"/>
    <n v="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x v="2"/>
    <x v="1"/>
    <x v="3"/>
    <n v="0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x v="0"/>
    <x v="2"/>
    <x v="1"/>
    <n v="0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x v="2"/>
    <x v="0"/>
    <x v="0"/>
    <n v="0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x v="0"/>
    <x v="2"/>
    <x v="1"/>
    <n v="0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x v="2"/>
    <x v="2"/>
    <x v="1"/>
    <n v="0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x v="1"/>
    <x v="3"/>
    <x v="0"/>
    <n v="0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x v="0"/>
    <x v="2"/>
    <x v="3"/>
    <n v="0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x v="2"/>
    <x v="1"/>
    <x v="3"/>
    <n v="0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x v="4"/>
    <x v="1"/>
    <x v="2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x v="2"/>
    <x v="0"/>
    <x v="1"/>
    <n v="1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x v="0"/>
    <x v="1"/>
    <x v="2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x v="4"/>
    <x v="1"/>
    <x v="3"/>
    <n v="0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x v="2"/>
    <x v="0"/>
    <x v="3"/>
    <n v="0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x v="0"/>
    <x v="0"/>
    <x v="0"/>
    <n v="0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x v="2"/>
    <x v="1"/>
    <x v="1"/>
    <n v="0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x v="1"/>
    <x v="2"/>
    <x v="3"/>
    <n v="0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x v="2"/>
    <x v="0"/>
    <x v="0"/>
    <n v="0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x v="0"/>
    <x v="0"/>
    <x v="2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x v="1"/>
    <x v="0"/>
    <x v="1"/>
    <n v="0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x v="2"/>
    <x v="2"/>
    <x v="0"/>
    <n v="0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x v="4"/>
    <x v="0"/>
    <x v="3"/>
    <n v="1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x v="0"/>
    <x v="0"/>
    <x v="1"/>
    <n v="0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x v="2"/>
    <x v="0"/>
    <x v="1"/>
    <n v="0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x v="1"/>
    <x v="2"/>
    <x v="3"/>
    <n v="1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x v="0"/>
    <x v="2"/>
    <x v="0"/>
    <n v="0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x v="2"/>
    <x v="2"/>
    <x v="0"/>
    <n v="0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x v="2"/>
    <x v="3"/>
    <x v="0"/>
    <n v="0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x v="1"/>
    <x v="0"/>
    <x v="0"/>
    <n v="0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x v="0"/>
    <x v="3"/>
    <x v="1"/>
    <n v="0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x v="1"/>
    <x v="3"/>
    <x v="0"/>
    <n v="0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x v="0"/>
    <x v="3"/>
    <x v="1"/>
    <n v="0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x v="3"/>
    <x v="0"/>
    <x v="3"/>
    <n v="0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x v="2"/>
    <x v="2"/>
    <x v="0"/>
    <n v="0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x v="0"/>
    <x v="3"/>
    <x v="1"/>
    <n v="0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x v="1"/>
    <x v="0"/>
    <x v="3"/>
    <n v="0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x v="2"/>
    <x v="1"/>
    <x v="0"/>
    <n v="1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x v="0"/>
    <x v="3"/>
    <x v="0"/>
    <n v="0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x v="0"/>
    <x v="2"/>
    <x v="2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x v="0"/>
    <x v="0"/>
    <x v="0"/>
    <n v="0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x v="1"/>
    <x v="3"/>
    <x v="1"/>
    <n v="0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x v="2"/>
    <x v="0"/>
    <x v="0"/>
    <n v="0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x v="2"/>
    <x v="1"/>
    <x v="2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x v="0"/>
    <x v="1"/>
    <x v="3"/>
    <n v="1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x v="0"/>
    <x v="2"/>
    <x v="3"/>
    <n v="0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x v="2"/>
    <x v="2"/>
    <x v="0"/>
    <n v="0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x v="4"/>
    <x v="1"/>
    <x v="3"/>
    <n v="0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x v="0"/>
    <x v="2"/>
    <x v="0"/>
    <n v="0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x v="3"/>
    <x v="3"/>
    <x v="1"/>
    <n v="0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x v="0"/>
    <x v="1"/>
    <x v="3"/>
    <n v="0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x v="2"/>
    <x v="2"/>
    <x v="0"/>
    <n v="0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x v="2"/>
    <x v="1"/>
    <x v="3"/>
    <n v="0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x v="1"/>
    <x v="1"/>
    <x v="3"/>
    <n v="0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x v="0"/>
    <x v="0"/>
    <x v="2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x v="2"/>
    <x v="0"/>
    <x v="1"/>
    <n v="0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x v="0"/>
    <x v="0"/>
    <x v="2"/>
    <n v="0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x v="2"/>
    <x v="0"/>
    <x v="2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x v="1"/>
    <x v="3"/>
    <x v="1"/>
    <n v="0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x v="2"/>
    <x v="1"/>
    <x v="1"/>
    <n v="1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x v="2"/>
    <x v="2"/>
    <x v="0"/>
    <n v="0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x v="1"/>
    <x v="2"/>
    <x v="0"/>
    <n v="0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x v="4"/>
    <x v="0"/>
    <x v="3"/>
    <n v="0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x v="1"/>
    <x v="2"/>
    <x v="0"/>
    <n v="1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x v="2"/>
    <x v="2"/>
    <x v="0"/>
    <n v="0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x v="3"/>
    <x v="3"/>
    <x v="0"/>
    <n v="1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x v="0"/>
    <x v="2"/>
    <x v="1"/>
    <n v="0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x v="1"/>
    <x v="0"/>
    <x v="3"/>
    <n v="0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x v="2"/>
    <x v="0"/>
    <x v="3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x v="2"/>
    <x v="0"/>
    <x v="0"/>
    <n v="0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x v="2"/>
    <x v="0"/>
    <x v="3"/>
    <n v="1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x v="2"/>
    <x v="0"/>
    <x v="3"/>
    <n v="0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x v="1"/>
    <x v="0"/>
    <x v="0"/>
    <n v="0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x v="2"/>
    <x v="0"/>
    <x v="3"/>
    <n v="0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x v="0"/>
    <x v="1"/>
    <x v="0"/>
    <n v="0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x v="0"/>
    <x v="0"/>
    <x v="1"/>
    <n v="0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x v="2"/>
    <x v="0"/>
    <x v="0"/>
    <n v="0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x v="0"/>
    <x v="1"/>
    <x v="3"/>
    <n v="0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x v="2"/>
    <x v="0"/>
    <x v="3"/>
    <n v="0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x v="0"/>
    <x v="0"/>
    <x v="0"/>
    <n v="0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x v="2"/>
    <x v="2"/>
    <x v="3"/>
    <n v="0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x v="0"/>
    <x v="3"/>
    <x v="1"/>
    <n v="0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x v="4"/>
    <x v="1"/>
    <x v="2"/>
    <n v="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x v="4"/>
    <x v="1"/>
    <x v="2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x v="1"/>
    <x v="0"/>
    <x v="0"/>
    <n v="0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x v="1"/>
    <x v="3"/>
    <x v="3"/>
    <n v="0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x v="2"/>
    <x v="1"/>
    <x v="2"/>
    <n v="1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x v="2"/>
    <x v="3"/>
    <x v="1"/>
    <n v="0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x v="2"/>
    <x v="0"/>
    <x v="3"/>
    <n v="1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x v="1"/>
    <x v="3"/>
    <x v="1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x v="0"/>
    <x v="0"/>
    <x v="0"/>
    <n v="0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x v="2"/>
    <x v="1"/>
    <x v="1"/>
    <n v="0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x v="3"/>
    <x v="3"/>
    <x v="1"/>
    <n v="1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x v="0"/>
    <x v="1"/>
    <x v="3"/>
    <n v="0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x v="0"/>
    <x v="2"/>
    <x v="3"/>
    <n v="0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x v="2"/>
    <x v="0"/>
    <x v="3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x v="0"/>
    <x v="1"/>
    <x v="0"/>
    <n v="0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x v="2"/>
    <x v="2"/>
    <x v="1"/>
    <n v="0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x v="0"/>
    <x v="0"/>
    <x v="2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x v="2"/>
    <x v="2"/>
    <x v="2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x v="1"/>
    <x v="1"/>
    <x v="2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x v="0"/>
    <x v="0"/>
    <x v="0"/>
    <n v="0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x v="0"/>
    <x v="2"/>
    <x v="3"/>
    <n v="0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x v="2"/>
    <x v="1"/>
    <x v="0"/>
    <n v="0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x v="1"/>
    <x v="2"/>
    <x v="0"/>
    <n v="1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x v="3"/>
    <x v="0"/>
    <x v="0"/>
    <n v="1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x v="0"/>
    <x v="3"/>
    <x v="3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x v="2"/>
    <x v="3"/>
    <x v="0"/>
    <n v="0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x v="0"/>
    <x v="3"/>
    <x v="0"/>
    <n v="0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x v="2"/>
    <x v="0"/>
    <x v="0"/>
    <n v="0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x v="2"/>
    <x v="0"/>
    <x v="3"/>
    <n v="0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x v="2"/>
    <x v="1"/>
    <x v="0"/>
    <n v="1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x v="2"/>
    <x v="1"/>
    <x v="2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x v="1"/>
    <x v="3"/>
    <x v="1"/>
    <n v="0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x v="0"/>
    <x v="0"/>
    <x v="0"/>
    <n v="0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x v="2"/>
    <x v="0"/>
    <x v="3"/>
    <n v="0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x v="2"/>
    <x v="0"/>
    <x v="0"/>
    <n v="0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x v="0"/>
    <x v="1"/>
    <x v="0"/>
    <n v="0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x v="0"/>
    <x v="2"/>
    <x v="1"/>
    <n v="0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x v="2"/>
    <x v="0"/>
    <x v="0"/>
    <n v="0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x v="2"/>
    <x v="0"/>
    <x v="0"/>
    <n v="0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x v="1"/>
    <x v="3"/>
    <x v="0"/>
    <n v="0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x v="1"/>
    <x v="3"/>
    <x v="0"/>
    <n v="0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x v="2"/>
    <x v="0"/>
    <x v="0"/>
    <n v="0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x v="1"/>
    <x v="3"/>
    <x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x v="0"/>
    <x v="2"/>
    <x v="2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x v="2"/>
    <x v="0"/>
    <x v="0"/>
    <n v="0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x v="4"/>
    <x v="0"/>
    <x v="3"/>
    <n v="0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x v="0"/>
    <x v="1"/>
    <x v="3"/>
    <n v="0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x v="0"/>
    <x v="1"/>
    <x v="3"/>
    <n v="0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x v="0"/>
    <x v="1"/>
    <x v="0"/>
    <n v="0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x v="2"/>
    <x v="0"/>
    <x v="0"/>
    <n v="0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x v="0"/>
    <x v="3"/>
    <x v="1"/>
    <n v="0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x v="0"/>
    <x v="1"/>
    <x v="1"/>
    <n v="1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x v="2"/>
    <x v="1"/>
    <x v="3"/>
    <n v="0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x v="2"/>
    <x v="0"/>
    <x v="0"/>
    <n v="0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x v="1"/>
    <x v="0"/>
    <x v="3"/>
    <n v="0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x v="4"/>
    <x v="0"/>
    <x v="0"/>
    <n v="0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x v="2"/>
    <x v="2"/>
    <x v="1"/>
    <n v="0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x v="0"/>
    <x v="1"/>
    <x v="3"/>
    <n v="0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x v="0"/>
    <x v="0"/>
    <x v="0"/>
    <n v="0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x v="2"/>
    <x v="1"/>
    <x v="0"/>
    <n v="0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x v="2"/>
    <x v="1"/>
    <x v="3"/>
    <n v="1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x v="1"/>
    <x v="3"/>
    <x v="3"/>
    <n v="0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x v="0"/>
    <x v="3"/>
    <x v="1"/>
    <n v="0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x v="0"/>
    <x v="1"/>
    <x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x v="1"/>
    <x v="3"/>
    <x v="1"/>
    <n v="0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x v="0"/>
    <x v="0"/>
    <x v="0"/>
    <n v="0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x v="1"/>
    <x v="0"/>
    <x v="0"/>
    <n v="0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x v="0"/>
    <x v="2"/>
    <x v="1"/>
    <n v="0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x v="1"/>
    <x v="3"/>
    <x v="1"/>
    <n v="0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x v="0"/>
    <x v="0"/>
    <x v="0"/>
    <n v="0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x v="2"/>
    <x v="1"/>
    <x v="3"/>
    <n v="0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x v="2"/>
    <x v="1"/>
    <x v="2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x v="2"/>
    <x v="1"/>
    <x v="3"/>
    <n v="0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x v="0"/>
    <x v="1"/>
    <x v="0"/>
    <n v="0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x v="2"/>
    <x v="0"/>
    <x v="3"/>
    <n v="0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x v="3"/>
    <x v="1"/>
    <x v="2"/>
    <n v="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x v="0"/>
    <x v="0"/>
    <x v="2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x v="4"/>
    <x v="1"/>
    <x v="3"/>
    <n v="1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x v="4"/>
    <x v="1"/>
    <x v="2"/>
    <n v="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x v="0"/>
    <x v="2"/>
    <x v="1"/>
    <n v="0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x v="1"/>
    <x v="0"/>
    <x v="3"/>
    <n v="0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x v="4"/>
    <x v="0"/>
    <x v="3"/>
    <n v="1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x v="0"/>
    <x v="1"/>
    <x v="0"/>
    <n v="1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x v="2"/>
    <x v="1"/>
    <x v="3"/>
    <n v="0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x v="0"/>
    <x v="1"/>
    <x v="3"/>
    <n v="1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x v="2"/>
    <x v="1"/>
    <x v="2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x v="2"/>
    <x v="1"/>
    <x v="2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x v="0"/>
    <x v="2"/>
    <x v="0"/>
    <n v="0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x v="2"/>
    <x v="1"/>
    <x v="3"/>
    <n v="0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x v="3"/>
    <x v="3"/>
    <x v="0"/>
    <n v="0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x v="2"/>
    <x v="1"/>
    <x v="0"/>
    <n v="0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x v="0"/>
    <x v="0"/>
    <x v="1"/>
    <n v="0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x v="1"/>
    <x v="2"/>
    <x v="1"/>
    <n v="0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x v="1"/>
    <x v="1"/>
    <x v="2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x v="2"/>
    <x v="2"/>
    <x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x v="0"/>
    <x v="0"/>
    <x v="0"/>
    <n v="0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x v="0"/>
    <x v="3"/>
    <x v="1"/>
    <n v="0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x v="2"/>
    <x v="1"/>
    <x v="3"/>
    <n v="0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x v="2"/>
    <x v="1"/>
    <x v="2"/>
    <n v="1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x v="0"/>
    <x v="2"/>
    <x v="2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x v="2"/>
    <x v="0"/>
    <x v="0"/>
    <n v="0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x v="0"/>
    <x v="0"/>
    <x v="1"/>
    <n v="0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x v="0"/>
    <x v="1"/>
    <x v="1"/>
    <n v="0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x v="4"/>
    <x v="1"/>
    <x v="2"/>
    <n v="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x v="4"/>
    <x v="1"/>
    <x v="2"/>
    <n v="1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x v="2"/>
    <x v="0"/>
    <x v="0"/>
    <n v="0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x v="0"/>
    <x v="0"/>
    <x v="2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x v="2"/>
    <x v="2"/>
    <x v="0"/>
    <n v="0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x v="0"/>
    <x v="3"/>
    <x v="1"/>
    <n v="1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x v="2"/>
    <x v="2"/>
    <x v="0"/>
    <n v="0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x v="0"/>
    <x v="3"/>
    <x v="1"/>
    <n v="1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x v="1"/>
    <x v="0"/>
    <x v="0"/>
    <n v="0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x v="2"/>
    <x v="1"/>
    <x v="3"/>
    <n v="0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x v="0"/>
    <x v="0"/>
    <x v="0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x v="1"/>
    <x v="3"/>
    <x v="0"/>
    <n v="0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x v="3"/>
    <x v="1"/>
    <x v="2"/>
    <n v="1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x v="1"/>
    <x v="3"/>
    <x v="1"/>
    <n v="0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x v="2"/>
    <x v="2"/>
    <x v="0"/>
    <n v="0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x v="0"/>
    <x v="0"/>
    <x v="0"/>
    <n v="0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x v="0"/>
    <x v="2"/>
    <x v="1"/>
    <n v="0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x v="0"/>
    <x v="2"/>
    <x v="0"/>
    <n v="0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x v="0"/>
    <x v="3"/>
    <x v="2"/>
    <n v="1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x v="1"/>
    <x v="0"/>
    <x v="1"/>
    <n v="0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x v="0"/>
    <x v="0"/>
    <x v="0"/>
    <n v="0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x v="2"/>
    <x v="1"/>
    <x v="3"/>
    <n v="1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x v="2"/>
    <x v="3"/>
    <x v="1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x v="2"/>
    <x v="1"/>
    <x v="2"/>
    <n v="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x v="2"/>
    <x v="0"/>
    <x v="3"/>
    <n v="0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x v="1"/>
    <x v="1"/>
    <x v="0"/>
    <n v="0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x v="1"/>
    <x v="3"/>
    <x v="0"/>
    <n v="0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x v="2"/>
    <x v="0"/>
    <x v="0"/>
    <n v="0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x v="0"/>
    <x v="3"/>
    <x v="1"/>
    <n v="0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x v="2"/>
    <x v="1"/>
    <x v="3"/>
    <n v="0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x v="1"/>
    <x v="0"/>
    <x v="0"/>
    <n v="0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x v="1"/>
    <x v="0"/>
    <x v="0"/>
    <n v="0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x v="2"/>
    <x v="1"/>
    <x v="0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x v="1"/>
    <x v="3"/>
    <x v="1"/>
    <n v="0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x v="0"/>
    <x v="1"/>
    <x v="3"/>
    <n v="0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x v="1"/>
    <x v="3"/>
    <x v="0"/>
    <n v="0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x v="4"/>
    <x v="0"/>
    <x v="3"/>
    <n v="0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x v="0"/>
    <x v="0"/>
    <x v="3"/>
    <n v="1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x v="2"/>
    <x v="0"/>
    <x v="3"/>
    <n v="0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x v="4"/>
    <x v="1"/>
    <x v="2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x v="1"/>
    <x v="3"/>
    <x v="1"/>
    <n v="0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x v="0"/>
    <x v="3"/>
    <x v="1"/>
    <n v="0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x v="2"/>
    <x v="3"/>
    <x v="0"/>
    <n v="0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x v="4"/>
    <x v="1"/>
    <x v="2"/>
    <n v="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x v="2"/>
    <x v="1"/>
    <x v="3"/>
    <n v="1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x v="2"/>
    <x v="0"/>
    <x v="0"/>
    <n v="0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x v="4"/>
    <x v="1"/>
    <x v="3"/>
    <n v="0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x v="1"/>
    <x v="0"/>
    <x v="3"/>
    <n v="0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x v="1"/>
    <x v="3"/>
    <x v="1"/>
    <n v="0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x v="0"/>
    <x v="0"/>
    <x v="3"/>
    <n v="0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x v="0"/>
    <x v="3"/>
    <x v="1"/>
    <n v="0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x v="2"/>
    <x v="0"/>
    <x v="3"/>
    <n v="0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x v="0"/>
    <x v="0"/>
    <x v="3"/>
    <n v="0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x v="0"/>
    <x v="3"/>
    <x v="2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x v="1"/>
    <x v="1"/>
    <x v="2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x v="3"/>
    <x v="3"/>
    <x v="0"/>
    <n v="0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x v="0"/>
    <x v="0"/>
    <x v="2"/>
    <n v="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x v="3"/>
    <x v="2"/>
    <x v="0"/>
    <n v="0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x v="0"/>
    <x v="3"/>
    <x v="1"/>
    <n v="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x v="0"/>
    <x v="2"/>
    <x v="2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x v="2"/>
    <x v="0"/>
    <x v="3"/>
    <n v="1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x v="1"/>
    <x v="3"/>
    <x v="1"/>
    <n v="1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x v="0"/>
    <x v="3"/>
    <x v="1"/>
    <n v="0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x v="1"/>
    <x v="2"/>
    <x v="1"/>
    <n v="0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x v="0"/>
    <x v="1"/>
    <x v="1"/>
    <n v="1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x v="0"/>
    <x v="3"/>
    <x v="1"/>
    <n v="0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x v="2"/>
    <x v="1"/>
    <x v="3"/>
    <n v="0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x v="1"/>
    <x v="3"/>
    <x v="0"/>
    <n v="0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x v="2"/>
    <x v="0"/>
    <x v="0"/>
    <n v="0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x v="2"/>
    <x v="2"/>
    <x v="1"/>
    <n v="0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x v="3"/>
    <x v="3"/>
    <x v="0"/>
    <n v="0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x v="1"/>
    <x v="1"/>
    <x v="0"/>
    <n v="0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x v="1"/>
    <x v="2"/>
    <x v="1"/>
    <n v="0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x v="0"/>
    <x v="0"/>
    <x v="2"/>
    <n v="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x v="2"/>
    <x v="1"/>
    <x v="3"/>
    <n v="1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x v="2"/>
    <x v="1"/>
    <x v="2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x v="2"/>
    <x v="1"/>
    <x v="2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x v="0"/>
    <x v="1"/>
    <x v="3"/>
    <n v="0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x v="1"/>
    <x v="3"/>
    <x v="0"/>
    <n v="0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x v="0"/>
    <x v="0"/>
    <x v="3"/>
    <n v="0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x v="0"/>
    <x v="2"/>
    <x v="0"/>
    <n v="0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x v="2"/>
    <x v="1"/>
    <x v="0"/>
    <n v="0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x v="1"/>
    <x v="3"/>
    <x v="3"/>
    <n v="0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x v="1"/>
    <x v="3"/>
    <x v="0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x v="3"/>
    <x v="1"/>
    <x v="0"/>
    <n v="0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x v="0"/>
    <x v="2"/>
    <x v="1"/>
    <n v="0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x v="3"/>
    <x v="3"/>
    <x v="0"/>
    <n v="0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x v="0"/>
    <x v="3"/>
    <x v="2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x v="4"/>
    <x v="1"/>
    <x v="3"/>
    <n v="1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x v="4"/>
    <x v="1"/>
    <x v="2"/>
    <n v="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x v="1"/>
    <x v="0"/>
    <x v="1"/>
    <n v="0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x v="1"/>
    <x v="1"/>
    <x v="1"/>
    <n v="1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x v="2"/>
    <x v="2"/>
    <x v="1"/>
    <n v="1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x v="2"/>
    <x v="0"/>
    <x v="0"/>
    <n v="0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x v="2"/>
    <x v="2"/>
    <x v="0"/>
    <n v="0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x v="0"/>
    <x v="0"/>
    <x v="1"/>
    <n v="0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x v="0"/>
    <x v="2"/>
    <x v="1"/>
    <n v="0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x v="0"/>
    <x v="3"/>
    <x v="1"/>
    <n v="0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x v="2"/>
    <x v="0"/>
    <x v="3"/>
    <n v="0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x v="3"/>
    <x v="3"/>
    <x v="3"/>
    <n v="0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x v="2"/>
    <x v="0"/>
    <x v="0"/>
    <n v="0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x v="0"/>
    <x v="3"/>
    <x v="1"/>
    <n v="1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x v="2"/>
    <x v="2"/>
    <x v="3"/>
    <n v="0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x v="0"/>
    <x v="2"/>
    <x v="0"/>
    <n v="1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x v="2"/>
    <x v="0"/>
    <x v="1"/>
    <n v="1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x v="2"/>
    <x v="1"/>
    <x v="3"/>
    <n v="0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x v="2"/>
    <x v="2"/>
    <x v="0"/>
    <n v="0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x v="0"/>
    <x v="2"/>
    <x v="2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x v="2"/>
    <x v="0"/>
    <x v="0"/>
    <n v="1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x v="2"/>
    <x v="1"/>
    <x v="2"/>
    <n v="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x v="2"/>
    <x v="1"/>
    <x v="3"/>
    <n v="1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x v="0"/>
    <x v="3"/>
    <x v="1"/>
    <n v="0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x v="2"/>
    <x v="1"/>
    <x v="2"/>
    <n v="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x v="1"/>
    <x v="0"/>
    <x v="2"/>
    <n v="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x v="2"/>
    <x v="0"/>
    <x v="3"/>
    <n v="0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x v="2"/>
    <x v="1"/>
    <x v="2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x v="1"/>
    <x v="3"/>
    <x v="0"/>
    <n v="0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x v="1"/>
    <x v="0"/>
    <x v="1"/>
    <n v="0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x v="1"/>
    <x v="3"/>
    <x v="0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x v="0"/>
    <x v="2"/>
    <x v="0"/>
    <n v="0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x v="2"/>
    <x v="1"/>
    <x v="0"/>
    <n v="0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x v="2"/>
    <x v="2"/>
    <x v="0"/>
    <n v="0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x v="1"/>
    <x v="3"/>
    <x v="1"/>
    <n v="0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x v="0"/>
    <x v="2"/>
    <x v="2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x v="0"/>
    <x v="3"/>
    <x v="0"/>
    <n v="0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x v="0"/>
    <x v="3"/>
    <x v="1"/>
    <n v="1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x v="0"/>
    <x v="3"/>
    <x v="1"/>
    <n v="0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x v="4"/>
    <x v="1"/>
    <x v="3"/>
    <n v="0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x v="0"/>
    <x v="2"/>
    <x v="0"/>
    <n v="0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x v="0"/>
    <x v="2"/>
    <x v="1"/>
    <n v="0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x v="2"/>
    <x v="1"/>
    <x v="3"/>
    <n v="0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x v="2"/>
    <x v="0"/>
    <x v="0"/>
    <n v="0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x v="0"/>
    <x v="0"/>
    <x v="0"/>
    <n v="0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x v="1"/>
    <x v="3"/>
    <x v="0"/>
    <n v="0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x v="2"/>
    <x v="0"/>
    <x v="3"/>
    <n v="0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x v="2"/>
    <x v="0"/>
    <x v="0"/>
    <n v="0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x v="0"/>
    <x v="0"/>
    <x v="2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x v="2"/>
    <x v="0"/>
    <x v="1"/>
    <n v="0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x v="0"/>
    <x v="1"/>
    <x v="0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x v="2"/>
    <x v="1"/>
    <x v="3"/>
    <n v="0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x v="4"/>
    <x v="1"/>
    <x v="2"/>
    <n v="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x v="2"/>
    <x v="2"/>
    <x v="0"/>
    <n v="1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x v="0"/>
    <x v="0"/>
    <x v="2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x v="2"/>
    <x v="1"/>
    <x v="3"/>
    <n v="1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x v="0"/>
    <x v="0"/>
    <x v="0"/>
    <n v="0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x v="2"/>
    <x v="1"/>
    <x v="3"/>
    <n v="0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x v="2"/>
    <x v="0"/>
    <x v="0"/>
    <n v="0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x v="0"/>
    <x v="0"/>
    <x v="0"/>
    <n v="0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x v="2"/>
    <x v="2"/>
    <x v="1"/>
    <n v="1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x v="0"/>
    <x v="3"/>
    <x v="1"/>
    <n v="0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x v="0"/>
    <x v="3"/>
    <x v="1"/>
    <n v="1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x v="0"/>
    <x v="0"/>
    <x v="0"/>
    <n v="0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x v="0"/>
    <x v="1"/>
    <x v="0"/>
    <n v="0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x v="4"/>
    <x v="0"/>
    <x v="3"/>
    <n v="0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x v="2"/>
    <x v="1"/>
    <x v="2"/>
    <n v="1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x v="2"/>
    <x v="0"/>
    <x v="0"/>
    <n v="0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x v="2"/>
    <x v="2"/>
    <x v="1"/>
    <n v="0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x v="0"/>
    <x v="0"/>
    <x v="2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x v="0"/>
    <x v="3"/>
    <x v="0"/>
    <n v="0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x v="2"/>
    <x v="0"/>
    <x v="1"/>
    <n v="0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x v="0"/>
    <x v="1"/>
    <x v="3"/>
    <n v="0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x v="0"/>
    <x v="0"/>
    <x v="3"/>
    <n v="1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x v="2"/>
    <x v="1"/>
    <x v="2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x v="3"/>
    <x v="3"/>
    <x v="0"/>
    <n v="0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x v="2"/>
    <x v="0"/>
    <x v="1"/>
    <n v="0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x v="4"/>
    <x v="1"/>
    <x v="2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x v="1"/>
    <x v="0"/>
    <x v="3"/>
    <n v="0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x v="0"/>
    <x v="2"/>
    <x v="1"/>
    <n v="0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x v="4"/>
    <x v="0"/>
    <x v="3"/>
    <n v="0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x v="0"/>
    <x v="1"/>
    <x v="0"/>
    <n v="1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x v="1"/>
    <x v="3"/>
    <x v="0"/>
    <n v="0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x v="2"/>
    <x v="1"/>
    <x v="0"/>
    <n v="0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x v="4"/>
    <x v="1"/>
    <x v="2"/>
    <n v="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x v="1"/>
    <x v="3"/>
    <x v="1"/>
    <n v="0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x v="0"/>
    <x v="1"/>
    <x v="2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x v="2"/>
    <x v="0"/>
    <x v="0"/>
    <n v="0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x v="0"/>
    <x v="1"/>
    <x v="2"/>
    <n v="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x v="2"/>
    <x v="0"/>
    <x v="3"/>
    <n v="0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x v="0"/>
    <x v="0"/>
    <x v="2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x v="1"/>
    <x v="3"/>
    <x v="3"/>
    <n v="0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x v="2"/>
    <x v="0"/>
    <x v="0"/>
    <n v="0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x v="1"/>
    <x v="3"/>
    <x v="3"/>
    <n v="0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x v="0"/>
    <x v="2"/>
    <x v="0"/>
    <n v="0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x v="4"/>
    <x v="1"/>
    <x v="2"/>
    <n v="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x v="2"/>
    <x v="0"/>
    <x v="1"/>
    <n v="0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x v="0"/>
    <x v="1"/>
    <x v="0"/>
    <n v="0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x v="2"/>
    <x v="0"/>
    <x v="1"/>
    <n v="0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x v="0"/>
    <x v="0"/>
    <x v="1"/>
    <n v="0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x v="4"/>
    <x v="1"/>
    <x v="3"/>
    <n v="0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x v="1"/>
    <x v="2"/>
    <x v="0"/>
    <n v="0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x v="0"/>
    <x v="2"/>
    <x v="3"/>
    <n v="0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x v="3"/>
    <x v="0"/>
    <x v="1"/>
    <n v="0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x v="2"/>
    <x v="1"/>
    <x v="3"/>
    <n v="0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x v="2"/>
    <x v="0"/>
    <x v="0"/>
    <n v="0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x v="0"/>
    <x v="3"/>
    <x v="0"/>
    <n v="0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x v="2"/>
    <x v="1"/>
    <x v="1"/>
    <n v="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x v="0"/>
    <x v="2"/>
    <x v="0"/>
    <n v="0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x v="2"/>
    <x v="0"/>
    <x v="3"/>
    <n v="0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x v="2"/>
    <x v="0"/>
    <x v="1"/>
    <n v="0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x v="0"/>
    <x v="3"/>
    <x v="2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x v="0"/>
    <x v="3"/>
    <x v="1"/>
    <n v="0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x v="2"/>
    <x v="1"/>
    <x v="0"/>
    <n v="0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x v="1"/>
    <x v="3"/>
    <x v="0"/>
    <n v="0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x v="0"/>
    <x v="1"/>
    <x v="1"/>
    <n v="0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x v="4"/>
    <x v="1"/>
    <x v="2"/>
    <n v="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x v="2"/>
    <x v="0"/>
    <x v="3"/>
    <n v="0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x v="1"/>
    <x v="3"/>
    <x v="1"/>
    <n v="0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x v="2"/>
    <x v="2"/>
    <x v="0"/>
    <n v="0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x v="2"/>
    <x v="2"/>
    <x v="1"/>
    <n v="0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x v="3"/>
    <x v="0"/>
    <x v="0"/>
    <n v="0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x v="0"/>
    <x v="3"/>
    <x v="0"/>
    <n v="0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x v="1"/>
    <x v="3"/>
    <x v="2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x v="0"/>
    <x v="0"/>
    <x v="1"/>
    <n v="0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x v="1"/>
    <x v="1"/>
    <x v="2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x v="2"/>
    <x v="1"/>
    <x v="0"/>
    <n v="0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x v="2"/>
    <x v="2"/>
    <x v="0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x v="1"/>
    <x v="3"/>
    <x v="2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x v="2"/>
    <x v="3"/>
    <x v="0"/>
    <n v="0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x v="2"/>
    <x v="1"/>
    <x v="2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x v="0"/>
    <x v="3"/>
    <x v="1"/>
    <n v="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x v="2"/>
    <x v="2"/>
    <x v="0"/>
    <n v="0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x v="4"/>
    <x v="1"/>
    <x v="2"/>
    <n v="0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x v="4"/>
    <x v="1"/>
    <x v="2"/>
    <n v="0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x v="2"/>
    <x v="1"/>
    <x v="2"/>
    <n v="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x v="2"/>
    <x v="1"/>
    <x v="0"/>
    <n v="0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x v="1"/>
    <x v="3"/>
    <x v="1"/>
    <n v="1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x v="3"/>
    <x v="3"/>
    <x v="1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x v="4"/>
    <x v="1"/>
    <x v="3"/>
    <n v="1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x v="1"/>
    <x v="3"/>
    <x v="1"/>
    <n v="0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x v="2"/>
    <x v="0"/>
    <x v="3"/>
    <n v="0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x v="1"/>
    <x v="3"/>
    <x v="1"/>
    <n v="0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x v="3"/>
    <x v="3"/>
    <x v="0"/>
    <n v="0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x v="2"/>
    <x v="0"/>
    <x v="1"/>
    <n v="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x v="2"/>
    <x v="1"/>
    <x v="3"/>
    <n v="0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x v="0"/>
    <x v="3"/>
    <x v="1"/>
    <n v="0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x v="2"/>
    <x v="0"/>
    <x v="1"/>
    <n v="0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x v="0"/>
    <x v="0"/>
    <x v="3"/>
    <n v="0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x v="0"/>
    <x v="1"/>
    <x v="2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x v="0"/>
    <x v="3"/>
    <x v="1"/>
    <n v="0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x v="0"/>
    <x v="0"/>
    <x v="1"/>
    <n v="0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x v="0"/>
    <x v="2"/>
    <x v="1"/>
    <n v="1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x v="2"/>
    <x v="0"/>
    <x v="3"/>
    <n v="0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x v="1"/>
    <x v="1"/>
    <x v="0"/>
    <n v="0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x v="2"/>
    <x v="0"/>
    <x v="0"/>
    <n v="0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x v="2"/>
    <x v="0"/>
    <x v="0"/>
    <n v="1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x v="2"/>
    <x v="1"/>
    <x v="3"/>
    <n v="0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x v="2"/>
    <x v="1"/>
    <x v="3"/>
    <n v="0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x v="2"/>
    <x v="2"/>
    <x v="1"/>
    <n v="0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x v="1"/>
    <x v="3"/>
    <x v="2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x v="0"/>
    <x v="3"/>
    <x v="1"/>
    <n v="0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x v="3"/>
    <x v="1"/>
    <x v="3"/>
    <n v="0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x v="2"/>
    <x v="0"/>
    <x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x v="0"/>
    <x v="0"/>
    <x v="0"/>
    <n v="1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x v="2"/>
    <x v="0"/>
    <x v="0"/>
    <n v="0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x v="0"/>
    <x v="2"/>
    <x v="0"/>
    <n v="0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x v="1"/>
    <x v="0"/>
    <x v="0"/>
    <n v="0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x v="2"/>
    <x v="2"/>
    <x v="0"/>
    <n v="0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x v="1"/>
    <x v="3"/>
    <x v="3"/>
    <n v="0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x v="0"/>
    <x v="2"/>
    <x v="0"/>
    <n v="1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x v="1"/>
    <x v="2"/>
    <x v="0"/>
    <n v="1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x v="2"/>
    <x v="3"/>
    <x v="0"/>
    <n v="0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x v="0"/>
    <x v="0"/>
    <x v="0"/>
    <n v="0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x v="2"/>
    <x v="2"/>
    <x v="1"/>
    <n v="0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x v="0"/>
    <x v="2"/>
    <x v="1"/>
    <n v="0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x v="2"/>
    <x v="1"/>
    <x v="3"/>
    <n v="1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x v="0"/>
    <x v="1"/>
    <x v="3"/>
    <n v="1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x v="0"/>
    <x v="3"/>
    <x v="1"/>
    <n v="0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x v="3"/>
    <x v="3"/>
    <x v="1"/>
    <n v="0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x v="3"/>
    <x v="3"/>
    <x v="0"/>
    <n v="0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x v="0"/>
    <x v="0"/>
    <x v="3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x v="2"/>
    <x v="2"/>
    <x v="0"/>
    <n v="0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x v="0"/>
    <x v="0"/>
    <x v="0"/>
    <n v="0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x v="0"/>
    <x v="0"/>
    <x v="0"/>
    <n v="0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x v="0"/>
    <x v="0"/>
    <x v="0"/>
    <n v="0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x v="1"/>
    <x v="3"/>
    <x v="1"/>
    <n v="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x v="0"/>
    <x v="2"/>
    <x v="0"/>
    <n v="0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x v="2"/>
    <x v="2"/>
    <x v="1"/>
    <n v="0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x v="2"/>
    <x v="0"/>
    <x v="3"/>
    <n v="0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x v="3"/>
    <x v="3"/>
    <x v="1"/>
    <n v="1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x v="0"/>
    <x v="1"/>
    <x v="3"/>
    <n v="0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x v="0"/>
    <x v="0"/>
    <x v="1"/>
    <n v="0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x v="1"/>
    <x v="2"/>
    <x v="1"/>
    <n v="0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x v="2"/>
    <x v="1"/>
    <x v="2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x v="1"/>
    <x v="3"/>
    <x v="0"/>
    <n v="0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x v="4"/>
    <x v="1"/>
    <x v="2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x v="0"/>
    <x v="0"/>
    <x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x v="2"/>
    <x v="0"/>
    <x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x v="3"/>
    <x v="3"/>
    <x v="1"/>
    <n v="1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x v="3"/>
    <x v="3"/>
    <x v="1"/>
    <n v="0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x v="2"/>
    <x v="1"/>
    <x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x v="0"/>
    <x v="2"/>
    <x v="1"/>
    <n v="0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x v="2"/>
    <x v="0"/>
    <x v="0"/>
    <n v="0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x v="2"/>
    <x v="1"/>
    <x v="2"/>
    <n v="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x v="0"/>
    <x v="0"/>
    <x v="3"/>
    <n v="1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x v="0"/>
    <x v="1"/>
    <x v="3"/>
    <n v="0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x v="2"/>
    <x v="2"/>
    <x v="1"/>
    <n v="0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x v="2"/>
    <x v="0"/>
    <x v="0"/>
    <n v="0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x v="2"/>
    <x v="2"/>
    <x v="1"/>
    <n v="1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x v="0"/>
    <x v="2"/>
    <x v="0"/>
    <n v="0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x v="1"/>
    <x v="3"/>
    <x v="3"/>
    <n v="0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x v="0"/>
    <x v="0"/>
    <x v="0"/>
    <n v="0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x v="0"/>
    <x v="1"/>
    <x v="0"/>
    <n v="0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x v="2"/>
    <x v="2"/>
    <x v="0"/>
    <n v="0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x v="2"/>
    <x v="0"/>
    <x v="3"/>
    <n v="0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x v="0"/>
    <x v="3"/>
    <x v="0"/>
    <n v="0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x v="2"/>
    <x v="2"/>
    <x v="3"/>
    <n v="0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x v="1"/>
    <x v="3"/>
    <x v="0"/>
    <n v="0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x v="0"/>
    <x v="0"/>
    <x v="1"/>
    <n v="0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x v="2"/>
    <x v="0"/>
    <x v="0"/>
    <n v="0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x v="2"/>
    <x v="1"/>
    <x v="0"/>
    <n v="1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x v="2"/>
    <x v="0"/>
    <x v="3"/>
    <n v="0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x v="0"/>
    <x v="3"/>
    <x v="1"/>
    <n v="0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x v="1"/>
    <x v="1"/>
    <x v="0"/>
    <n v="0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x v="0"/>
    <x v="0"/>
    <x v="3"/>
    <n v="0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x v="0"/>
    <x v="2"/>
    <x v="3"/>
    <n v="0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x v="2"/>
    <x v="0"/>
    <x v="3"/>
    <n v="0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x v="2"/>
    <x v="0"/>
    <x v="0"/>
    <n v="0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x v="2"/>
    <x v="2"/>
    <x v="1"/>
    <n v="0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x v="1"/>
    <x v="0"/>
    <x v="3"/>
    <n v="1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x v="2"/>
    <x v="2"/>
    <x v="0"/>
    <n v="1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x v="1"/>
    <x v="3"/>
    <x v="1"/>
    <n v="0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x v="3"/>
    <x v="3"/>
    <x v="0"/>
    <n v="0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x v="3"/>
    <x v="3"/>
    <x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x v="0"/>
    <x v="2"/>
    <x v="0"/>
    <n v="0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x v="2"/>
    <x v="1"/>
    <x v="2"/>
    <n v="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x v="2"/>
    <x v="0"/>
    <x v="3"/>
    <n v="0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x v="2"/>
    <x v="3"/>
    <x v="3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x v="2"/>
    <x v="1"/>
    <x v="3"/>
    <n v="0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x v="2"/>
    <x v="1"/>
    <x v="2"/>
    <n v="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x v="2"/>
    <x v="1"/>
    <x v="0"/>
    <n v="0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x v="0"/>
    <x v="0"/>
    <x v="1"/>
    <n v="0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x v="0"/>
    <x v="0"/>
    <x v="3"/>
    <n v="0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x v="1"/>
    <x v="0"/>
    <x v="0"/>
    <n v="0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x v="2"/>
    <x v="0"/>
    <x v="3"/>
    <n v="1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x v="0"/>
    <x v="0"/>
    <x v="0"/>
    <n v="0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x v="3"/>
    <x v="1"/>
    <x v="3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x v="1"/>
    <x v="3"/>
    <x v="1"/>
    <n v="0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x v="4"/>
    <x v="0"/>
    <x v="0"/>
    <n v="0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x v="2"/>
    <x v="2"/>
    <x v="3"/>
    <n v="0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x v="2"/>
    <x v="0"/>
    <x v="0"/>
    <n v="0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x v="0"/>
    <x v="1"/>
    <x v="3"/>
    <n v="0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x v="0"/>
    <x v="0"/>
    <x v="0"/>
    <n v="0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x v="2"/>
    <x v="3"/>
    <x v="1"/>
    <n v="0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x v="1"/>
    <x v="3"/>
    <x v="0"/>
    <n v="1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x v="0"/>
    <x v="0"/>
    <x v="2"/>
    <n v="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x v="2"/>
    <x v="2"/>
    <x v="1"/>
    <n v="1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x v="1"/>
    <x v="3"/>
    <x v="0"/>
    <n v="0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x v="2"/>
    <x v="1"/>
    <x v="3"/>
    <n v="0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x v="2"/>
    <x v="0"/>
    <x v="3"/>
    <n v="1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x v="1"/>
    <x v="2"/>
    <x v="3"/>
    <n v="0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x v="1"/>
    <x v="0"/>
    <x v="3"/>
    <n v="0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x v="2"/>
    <x v="1"/>
    <x v="3"/>
    <n v="1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x v="0"/>
    <x v="3"/>
    <x v="0"/>
    <n v="0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x v="2"/>
    <x v="2"/>
    <x v="0"/>
    <n v="0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x v="0"/>
    <x v="0"/>
    <x v="0"/>
    <n v="0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x v="1"/>
    <x v="3"/>
    <x v="0"/>
    <n v="0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x v="1"/>
    <x v="2"/>
    <x v="3"/>
    <n v="0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x v="0"/>
    <x v="1"/>
    <x v="3"/>
    <n v="0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x v="0"/>
    <x v="0"/>
    <x v="0"/>
    <n v="0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x v="2"/>
    <x v="0"/>
    <x v="3"/>
    <n v="0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x v="2"/>
    <x v="0"/>
    <x v="1"/>
    <n v="0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x v="2"/>
    <x v="0"/>
    <x v="3"/>
    <n v="0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x v="0"/>
    <x v="0"/>
    <x v="1"/>
    <n v="0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x v="0"/>
    <x v="0"/>
    <x v="2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x v="2"/>
    <x v="1"/>
    <x v="2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x v="3"/>
    <x v="0"/>
    <x v="1"/>
    <n v="0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x v="1"/>
    <x v="3"/>
    <x v="0"/>
    <n v="0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x v="2"/>
    <x v="3"/>
    <x v="1"/>
    <n v="0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x v="2"/>
    <x v="1"/>
    <x v="3"/>
    <n v="1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x v="2"/>
    <x v="0"/>
    <x v="0"/>
    <n v="1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x v="2"/>
    <x v="0"/>
    <x v="1"/>
    <n v="1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x v="0"/>
    <x v="1"/>
    <x v="2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x v="4"/>
    <x v="0"/>
    <x v="2"/>
    <n v="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x v="4"/>
    <x v="1"/>
    <x v="2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x v="0"/>
    <x v="3"/>
    <x v="3"/>
    <n v="0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x v="2"/>
    <x v="2"/>
    <x v="1"/>
    <n v="0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x v="2"/>
    <x v="1"/>
    <x v="0"/>
    <n v="0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x v="3"/>
    <x v="0"/>
    <x v="3"/>
    <n v="0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x v="2"/>
    <x v="0"/>
    <x v="0"/>
    <n v="0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x v="1"/>
    <x v="0"/>
    <x v="0"/>
    <n v="0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x v="2"/>
    <x v="1"/>
    <x v="2"/>
    <n v="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x v="2"/>
    <x v="1"/>
    <x v="2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x v="2"/>
    <x v="0"/>
    <x v="3"/>
    <n v="0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x v="1"/>
    <x v="0"/>
    <x v="3"/>
    <n v="0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x v="2"/>
    <x v="0"/>
    <x v="3"/>
    <n v="0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x v="2"/>
    <x v="2"/>
    <x v="0"/>
    <n v="0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x v="2"/>
    <x v="2"/>
    <x v="2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x v="2"/>
    <x v="3"/>
    <x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x v="1"/>
    <x v="3"/>
    <x v="1"/>
    <n v="0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x v="2"/>
    <x v="1"/>
    <x v="0"/>
    <n v="1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x v="0"/>
    <x v="3"/>
    <x v="1"/>
    <n v="0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x v="0"/>
    <x v="2"/>
    <x v="3"/>
    <n v="0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x v="1"/>
    <x v="3"/>
    <x v="1"/>
    <n v="0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x v="0"/>
    <x v="2"/>
    <x v="1"/>
    <n v="0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x v="4"/>
    <x v="1"/>
    <x v="3"/>
    <n v="0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x v="0"/>
    <x v="1"/>
    <x v="0"/>
    <n v="1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x v="2"/>
    <x v="2"/>
    <x v="1"/>
    <n v="0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x v="2"/>
    <x v="0"/>
    <x v="0"/>
    <n v="1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x v="1"/>
    <x v="3"/>
    <x v="1"/>
    <n v="0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x v="2"/>
    <x v="1"/>
    <x v="1"/>
    <n v="0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x v="0"/>
    <x v="0"/>
    <x v="2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x v="0"/>
    <x v="0"/>
    <x v="1"/>
    <n v="0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x v="2"/>
    <x v="2"/>
    <x v="0"/>
    <n v="0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x v="2"/>
    <x v="0"/>
    <x v="0"/>
    <n v="0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x v="1"/>
    <x v="1"/>
    <x v="0"/>
    <n v="0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x v="0"/>
    <x v="3"/>
    <x v="1"/>
    <n v="0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x v="0"/>
    <x v="0"/>
    <x v="0"/>
    <n v="0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x v="2"/>
    <x v="0"/>
    <x v="1"/>
    <n v="0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x v="0"/>
    <x v="3"/>
    <x v="1"/>
    <n v="0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x v="4"/>
    <x v="1"/>
    <x v="2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x v="0"/>
    <x v="0"/>
    <x v="3"/>
    <n v="0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x v="1"/>
    <x v="2"/>
    <x v="1"/>
    <n v="0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x v="0"/>
    <x v="1"/>
    <x v="0"/>
    <n v="0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x v="2"/>
    <x v="0"/>
    <x v="0"/>
    <n v="0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x v="0"/>
    <x v="1"/>
    <x v="3"/>
    <n v="0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x v="1"/>
    <x v="2"/>
    <x v="0"/>
    <n v="0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x v="2"/>
    <x v="1"/>
    <x v="2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x v="2"/>
    <x v="2"/>
    <x v="3"/>
    <n v="0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x v="2"/>
    <x v="2"/>
    <x v="1"/>
    <n v="1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x v="0"/>
    <x v="2"/>
    <x v="0"/>
    <n v="0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x v="0"/>
    <x v="1"/>
    <x v="3"/>
    <n v="0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x v="2"/>
    <x v="2"/>
    <x v="3"/>
    <n v="0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x v="0"/>
    <x v="1"/>
    <x v="2"/>
    <n v="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x v="1"/>
    <x v="3"/>
    <x v="1"/>
    <n v="1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x v="0"/>
    <x v="0"/>
    <x v="0"/>
    <n v="1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x v="2"/>
    <x v="0"/>
    <x v="0"/>
    <n v="0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x v="1"/>
    <x v="1"/>
    <x v="0"/>
    <n v="0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x v="2"/>
    <x v="1"/>
    <x v="2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x v="3"/>
    <x v="3"/>
    <x v="1"/>
    <n v="0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x v="2"/>
    <x v="0"/>
    <x v="3"/>
    <n v="0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x v="2"/>
    <x v="1"/>
    <x v="2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x v="0"/>
    <x v="2"/>
    <x v="0"/>
    <n v="0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x v="0"/>
    <x v="0"/>
    <x v="3"/>
    <n v="0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x v="0"/>
    <x v="2"/>
    <x v="2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x v="2"/>
    <x v="0"/>
    <x v="1"/>
    <n v="0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x v="0"/>
    <x v="2"/>
    <x v="0"/>
    <n v="0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x v="0"/>
    <x v="2"/>
    <x v="0"/>
    <n v="0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x v="2"/>
    <x v="2"/>
    <x v="0"/>
    <n v="0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x v="1"/>
    <x v="3"/>
    <x v="2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x v="4"/>
    <x v="1"/>
    <x v="3"/>
    <n v="0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x v="0"/>
    <x v="0"/>
    <x v="3"/>
    <n v="0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x v="0"/>
    <x v="3"/>
    <x v="2"/>
    <n v="0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x v="0"/>
    <x v="0"/>
    <x v="1"/>
    <n v="0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x v="2"/>
    <x v="0"/>
    <x v="0"/>
    <n v="0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x v="0"/>
    <x v="0"/>
    <x v="0"/>
    <n v="0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x v="0"/>
    <x v="0"/>
    <x v="0"/>
    <n v="0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x v="0"/>
    <x v="1"/>
    <x v="2"/>
    <n v="0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x v="1"/>
    <x v="3"/>
    <x v="1"/>
    <n v="0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x v="2"/>
    <x v="1"/>
    <x v="2"/>
    <n v="1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x v="4"/>
    <x v="1"/>
    <x v="3"/>
    <n v="0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x v="1"/>
    <x v="3"/>
    <x v="1"/>
    <n v="0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x v="2"/>
    <x v="0"/>
    <x v="3"/>
    <n v="0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x v="0"/>
    <x v="3"/>
    <x v="1"/>
    <n v="0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x v="2"/>
    <x v="1"/>
    <x v="0"/>
    <n v="0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x v="1"/>
    <x v="0"/>
    <x v="1"/>
    <n v="0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x v="1"/>
    <x v="0"/>
    <x v="1"/>
    <n v="0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x v="2"/>
    <x v="0"/>
    <x v="0"/>
    <n v="0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x v="0"/>
    <x v="0"/>
    <x v="3"/>
    <n v="0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x v="2"/>
    <x v="0"/>
    <x v="0"/>
    <n v="0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x v="1"/>
    <x v="0"/>
    <x v="0"/>
    <n v="0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x v="0"/>
    <x v="0"/>
    <x v="0"/>
    <n v="0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x v="2"/>
    <x v="0"/>
    <x v="0"/>
    <n v="0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x v="0"/>
    <x v="0"/>
    <x v="1"/>
    <n v="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x v="2"/>
    <x v="0"/>
    <x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x v="4"/>
    <x v="0"/>
    <x v="3"/>
    <n v="0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x v="4"/>
    <x v="1"/>
    <x v="2"/>
    <n v="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x v="1"/>
    <x v="3"/>
    <x v="0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x v="0"/>
    <x v="0"/>
    <x v="1"/>
    <n v="0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x v="0"/>
    <x v="3"/>
    <x v="1"/>
    <n v="0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x v="0"/>
    <x v="0"/>
    <x v="1"/>
    <n v="0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x v="0"/>
    <x v="0"/>
    <x v="3"/>
    <n v="0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x v="0"/>
    <x v="0"/>
    <x v="0"/>
    <n v="0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x v="1"/>
    <x v="0"/>
    <x v="1"/>
    <n v="0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x v="0"/>
    <x v="2"/>
    <x v="0"/>
    <n v="0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x v="0"/>
    <x v="3"/>
    <x v="1"/>
    <n v="1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x v="0"/>
    <x v="0"/>
    <x v="0"/>
    <n v="0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x v="0"/>
    <x v="2"/>
    <x v="3"/>
    <n v="0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x v="0"/>
    <x v="0"/>
    <x v="1"/>
    <n v="0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x v="1"/>
    <x v="3"/>
    <x v="3"/>
    <n v="0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x v="0"/>
    <x v="0"/>
    <x v="3"/>
    <n v="1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x v="4"/>
    <x v="0"/>
    <x v="0"/>
    <n v="0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x v="2"/>
    <x v="0"/>
    <x v="3"/>
    <n v="0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x v="2"/>
    <x v="1"/>
    <x v="3"/>
    <n v="0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x v="0"/>
    <x v="1"/>
    <x v="3"/>
    <n v="1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x v="2"/>
    <x v="0"/>
    <x v="0"/>
    <n v="0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x v="0"/>
    <x v="2"/>
    <x v="3"/>
    <n v="0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x v="2"/>
    <x v="0"/>
    <x v="0"/>
    <n v="0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x v="0"/>
    <x v="0"/>
    <x v="0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x v="1"/>
    <x v="3"/>
    <x v="3"/>
    <n v="0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x v="1"/>
    <x v="3"/>
    <x v="1"/>
    <n v="0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x v="4"/>
    <x v="1"/>
    <x v="3"/>
    <n v="0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x v="2"/>
    <x v="0"/>
    <x v="1"/>
    <n v="0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x v="0"/>
    <x v="1"/>
    <x v="3"/>
    <n v="0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x v="1"/>
    <x v="3"/>
    <x v="1"/>
    <n v="0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x v="0"/>
    <x v="0"/>
    <x v="3"/>
    <n v="0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x v="0"/>
    <x v="2"/>
    <x v="0"/>
    <n v="0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x v="1"/>
    <x v="3"/>
    <x v="1"/>
    <n v="0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x v="0"/>
    <x v="3"/>
    <x v="1"/>
    <n v="0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x v="0"/>
    <x v="0"/>
    <x v="1"/>
    <n v="1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x v="0"/>
    <x v="0"/>
    <x v="1"/>
    <n v="0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x v="2"/>
    <x v="0"/>
    <x v="1"/>
    <n v="0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x v="2"/>
    <x v="0"/>
    <x v="0"/>
    <n v="0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x v="2"/>
    <x v="0"/>
    <x v="0"/>
    <n v="0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x v="2"/>
    <x v="0"/>
    <x v="1"/>
    <n v="0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x v="1"/>
    <x v="1"/>
    <x v="3"/>
    <n v="0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x v="0"/>
    <x v="1"/>
    <x v="3"/>
    <n v="0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x v="1"/>
    <x v="3"/>
    <x v="3"/>
    <n v="0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x v="1"/>
    <x v="3"/>
    <x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x v="0"/>
    <x v="2"/>
    <x v="3"/>
    <n v="0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x v="4"/>
    <x v="1"/>
    <x v="3"/>
    <n v="0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x v="2"/>
    <x v="0"/>
    <x v="0"/>
    <n v="0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x v="0"/>
    <x v="0"/>
    <x v="3"/>
    <n v="0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x v="0"/>
    <x v="0"/>
    <x v="3"/>
    <n v="0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x v="4"/>
    <x v="0"/>
    <x v="0"/>
    <n v="1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x v="0"/>
    <x v="0"/>
    <x v="2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x v="1"/>
    <x v="2"/>
    <x v="3"/>
    <n v="0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x v="1"/>
    <x v="1"/>
    <x v="0"/>
    <n v="1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x v="2"/>
    <x v="1"/>
    <x v="2"/>
    <n v="1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x v="2"/>
    <x v="1"/>
    <x v="0"/>
    <n v="0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x v="3"/>
    <x v="0"/>
    <x v="3"/>
    <n v="0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x v="2"/>
    <x v="0"/>
    <x v="1"/>
    <n v="0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x v="3"/>
    <x v="3"/>
    <x v="2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x v="2"/>
    <x v="1"/>
    <x v="1"/>
    <n v="0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x v="0"/>
    <x v="2"/>
    <x v="0"/>
    <n v="0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x v="2"/>
    <x v="1"/>
    <x v="1"/>
    <n v="0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x v="4"/>
    <x v="1"/>
    <x v="3"/>
    <n v="1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x v="0"/>
    <x v="2"/>
    <x v="0"/>
    <n v="0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x v="0"/>
    <x v="0"/>
    <x v="0"/>
    <n v="0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x v="0"/>
    <x v="2"/>
    <x v="1"/>
    <n v="0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x v="4"/>
    <x v="0"/>
    <x v="0"/>
    <n v="0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x v="0"/>
    <x v="2"/>
    <x v="1"/>
    <n v="0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x v="2"/>
    <x v="1"/>
    <x v="0"/>
    <n v="0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x v="0"/>
    <x v="0"/>
    <x v="1"/>
    <n v="0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x v="1"/>
    <x v="3"/>
    <x v="1"/>
    <n v="0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x v="4"/>
    <x v="1"/>
    <x v="2"/>
    <n v="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x v="1"/>
    <x v="3"/>
    <x v="1"/>
    <n v="1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x v="2"/>
    <x v="1"/>
    <x v="3"/>
    <n v="0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x v="1"/>
    <x v="3"/>
    <x v="1"/>
    <n v="0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x v="2"/>
    <x v="0"/>
    <x v="0"/>
    <n v="0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x v="2"/>
    <x v="0"/>
    <x v="0"/>
    <n v="0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x v="0"/>
    <x v="2"/>
    <x v="3"/>
    <n v="0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x v="0"/>
    <x v="2"/>
    <x v="2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x v="4"/>
    <x v="0"/>
    <x v="0"/>
    <n v="0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x v="1"/>
    <x v="0"/>
    <x v="1"/>
    <n v="0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x v="0"/>
    <x v="2"/>
    <x v="0"/>
    <n v="0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x v="2"/>
    <x v="1"/>
    <x v="1"/>
    <n v="0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x v="1"/>
    <x v="0"/>
    <x v="2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x v="1"/>
    <x v="3"/>
    <x v="1"/>
    <n v="0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x v="0"/>
    <x v="2"/>
    <x v="3"/>
    <n v="1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x v="2"/>
    <x v="2"/>
    <x v="2"/>
    <n v="1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x v="4"/>
    <x v="0"/>
    <x v="3"/>
    <n v="0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x v="2"/>
    <x v="0"/>
    <x v="0"/>
    <n v="0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x v="0"/>
    <x v="2"/>
    <x v="0"/>
    <n v="0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x v="2"/>
    <x v="2"/>
    <x v="3"/>
    <n v="0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x v="0"/>
    <x v="3"/>
    <x v="1"/>
    <n v="0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x v="1"/>
    <x v="2"/>
    <x v="0"/>
    <n v="0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x v="2"/>
    <x v="0"/>
    <x v="0"/>
    <n v="0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x v="4"/>
    <x v="1"/>
    <x v="3"/>
    <n v="0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x v="2"/>
    <x v="1"/>
    <x v="3"/>
    <n v="1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x v="2"/>
    <x v="2"/>
    <x v="0"/>
    <n v="0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x v="2"/>
    <x v="0"/>
    <x v="0"/>
    <n v="0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x v="2"/>
    <x v="1"/>
    <x v="3"/>
    <n v="1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x v="2"/>
    <x v="2"/>
    <x v="3"/>
    <n v="0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x v="2"/>
    <x v="2"/>
    <x v="0"/>
    <n v="0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x v="2"/>
    <x v="1"/>
    <x v="0"/>
    <n v="0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x v="2"/>
    <x v="0"/>
    <x v="1"/>
    <n v="0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x v="1"/>
    <x v="0"/>
    <x v="0"/>
    <n v="0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x v="2"/>
    <x v="2"/>
    <x v="2"/>
    <n v="1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x v="0"/>
    <x v="1"/>
    <x v="0"/>
    <n v="0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x v="2"/>
    <x v="2"/>
    <x v="2"/>
    <n v="1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x v="2"/>
    <x v="1"/>
    <x v="2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x v="2"/>
    <x v="0"/>
    <x v="0"/>
    <n v="0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x v="2"/>
    <x v="1"/>
    <x v="0"/>
    <n v="0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x v="0"/>
    <x v="0"/>
    <x v="2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x v="0"/>
    <x v="1"/>
    <x v="2"/>
    <n v="1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x v="0"/>
    <x v="1"/>
    <x v="0"/>
    <n v="0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x v="3"/>
    <x v="3"/>
    <x v="2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x v="2"/>
    <x v="0"/>
    <x v="0"/>
    <n v="0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x v="0"/>
    <x v="1"/>
    <x v="0"/>
    <n v="0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x v="2"/>
    <x v="0"/>
    <x v="1"/>
    <n v="0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x v="1"/>
    <x v="3"/>
    <x v="3"/>
    <n v="0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x v="0"/>
    <x v="0"/>
    <x v="0"/>
    <n v="0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x v="2"/>
    <x v="2"/>
    <x v="3"/>
    <n v="0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x v="4"/>
    <x v="1"/>
    <x v="2"/>
    <n v="1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x v="0"/>
    <x v="0"/>
    <x v="0"/>
    <n v="0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x v="4"/>
    <x v="1"/>
    <x v="2"/>
    <n v="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x v="2"/>
    <x v="0"/>
    <x v="1"/>
    <n v="0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x v="1"/>
    <x v="3"/>
    <x v="3"/>
    <n v="0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x v="0"/>
    <x v="0"/>
    <x v="0"/>
    <n v="0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x v="1"/>
    <x v="3"/>
    <x v="3"/>
    <n v="0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x v="0"/>
    <x v="2"/>
    <x v="1"/>
    <n v="0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x v="0"/>
    <x v="1"/>
    <x v="0"/>
    <n v="1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x v="0"/>
    <x v="0"/>
    <x v="1"/>
    <n v="0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x v="0"/>
    <x v="0"/>
    <x v="1"/>
    <n v="1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x v="2"/>
    <x v="0"/>
    <x v="1"/>
    <n v="0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x v="2"/>
    <x v="1"/>
    <x v="0"/>
    <n v="0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x v="0"/>
    <x v="3"/>
    <x v="3"/>
    <n v="0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x v="1"/>
    <x v="2"/>
    <x v="3"/>
    <n v="0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x v="0"/>
    <x v="0"/>
    <x v="3"/>
    <n v="0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x v="0"/>
    <x v="0"/>
    <x v="2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x v="0"/>
    <x v="0"/>
    <x v="0"/>
    <n v="0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x v="0"/>
    <x v="1"/>
    <x v="1"/>
    <n v="0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x v="2"/>
    <x v="0"/>
    <x v="0"/>
    <n v="1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x v="0"/>
    <x v="0"/>
    <x v="1"/>
    <n v="1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x v="0"/>
    <x v="0"/>
    <x v="3"/>
    <n v="0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x v="0"/>
    <x v="1"/>
    <x v="3"/>
    <n v="0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x v="0"/>
    <x v="2"/>
    <x v="3"/>
    <n v="0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x v="0"/>
    <x v="3"/>
    <x v="1"/>
    <n v="0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x v="2"/>
    <x v="2"/>
    <x v="0"/>
    <n v="0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x v="2"/>
    <x v="1"/>
    <x v="0"/>
    <n v="1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x v="1"/>
    <x v="2"/>
    <x v="0"/>
    <n v="1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x v="0"/>
    <x v="2"/>
    <x v="0"/>
    <n v="0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x v="2"/>
    <x v="2"/>
    <x v="1"/>
    <n v="0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x v="3"/>
    <x v="3"/>
    <x v="1"/>
    <n v="0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x v="0"/>
    <x v="1"/>
    <x v="0"/>
    <n v="0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x v="1"/>
    <x v="3"/>
    <x v="1"/>
    <n v="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x v="0"/>
    <x v="0"/>
    <x v="0"/>
    <n v="0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x v="1"/>
    <x v="2"/>
    <x v="0"/>
    <n v="0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x v="2"/>
    <x v="2"/>
    <x v="3"/>
    <n v="0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x v="2"/>
    <x v="0"/>
    <x v="3"/>
    <n v="0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x v="0"/>
    <x v="0"/>
    <x v="3"/>
    <n v="0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x v="2"/>
    <x v="0"/>
    <x v="0"/>
    <n v="0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x v="3"/>
    <x v="3"/>
    <x v="3"/>
    <n v="0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x v="4"/>
    <x v="1"/>
    <x v="2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x v="2"/>
    <x v="1"/>
    <x v="2"/>
    <n v="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x v="2"/>
    <x v="1"/>
    <x v="3"/>
    <n v="1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x v="1"/>
    <x v="0"/>
    <x v="0"/>
    <n v="0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x v="0"/>
    <x v="2"/>
    <x v="2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x v="0"/>
    <x v="0"/>
    <x v="0"/>
    <n v="0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x v="2"/>
    <x v="1"/>
    <x v="0"/>
    <n v="0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x v="2"/>
    <x v="0"/>
    <x v="1"/>
    <n v="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x v="2"/>
    <x v="0"/>
    <x v="2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x v="0"/>
    <x v="1"/>
    <x v="0"/>
    <n v="0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x v="1"/>
    <x v="1"/>
    <x v="3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x v="1"/>
    <x v="2"/>
    <x v="0"/>
    <n v="0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x v="2"/>
    <x v="1"/>
    <x v="3"/>
    <n v="0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x v="2"/>
    <x v="2"/>
    <x v="0"/>
    <n v="0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x v="0"/>
    <x v="0"/>
    <x v="2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x v="2"/>
    <x v="2"/>
    <x v="3"/>
    <n v="1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x v="1"/>
    <x v="3"/>
    <x v="1"/>
    <n v="0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x v="2"/>
    <x v="0"/>
    <x v="0"/>
    <n v="0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x v="2"/>
    <x v="1"/>
    <x v="2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x v="0"/>
    <x v="3"/>
    <x v="1"/>
    <n v="0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x v="1"/>
    <x v="3"/>
    <x v="1"/>
    <n v="0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x v="2"/>
    <x v="1"/>
    <x v="2"/>
    <n v="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x v="1"/>
    <x v="2"/>
    <x v="0"/>
    <n v="1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x v="2"/>
    <x v="0"/>
    <x v="0"/>
    <n v="0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x v="0"/>
    <x v="0"/>
    <x v="3"/>
    <n v="0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x v="3"/>
    <x v="1"/>
    <x v="0"/>
    <n v="0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x v="2"/>
    <x v="1"/>
    <x v="2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x v="2"/>
    <x v="1"/>
    <x v="2"/>
    <n v="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x v="4"/>
    <x v="1"/>
    <x v="2"/>
    <n v="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x v="0"/>
    <x v="0"/>
    <x v="1"/>
    <n v="0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x v="2"/>
    <x v="0"/>
    <x v="1"/>
    <n v="0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x v="2"/>
    <x v="2"/>
    <x v="0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x v="2"/>
    <x v="1"/>
    <x v="3"/>
    <n v="0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x v="0"/>
    <x v="0"/>
    <x v="0"/>
    <n v="0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x v="0"/>
    <x v="0"/>
    <x v="3"/>
    <n v="0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x v="1"/>
    <x v="0"/>
    <x v="0"/>
    <n v="0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x v="0"/>
    <x v="0"/>
    <x v="1"/>
    <n v="0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x v="0"/>
    <x v="3"/>
    <x v="1"/>
    <n v="0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x v="2"/>
    <x v="1"/>
    <x v="2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x v="2"/>
    <x v="2"/>
    <x v="0"/>
    <n v="0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x v="1"/>
    <x v="3"/>
    <x v="1"/>
    <n v="0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x v="0"/>
    <x v="0"/>
    <x v="3"/>
    <n v="0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x v="2"/>
    <x v="1"/>
    <x v="0"/>
    <n v="1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x v="3"/>
    <x v="1"/>
    <x v="3"/>
    <n v="1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x v="0"/>
    <x v="0"/>
    <x v="3"/>
    <n v="0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x v="0"/>
    <x v="0"/>
    <x v="0"/>
    <n v="0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x v="0"/>
    <x v="3"/>
    <x v="1"/>
    <n v="0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x v="2"/>
    <x v="2"/>
    <x v="0"/>
    <n v="0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x v="2"/>
    <x v="2"/>
    <x v="3"/>
    <n v="0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x v="2"/>
    <x v="0"/>
    <x v="3"/>
    <n v="0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x v="2"/>
    <x v="1"/>
    <x v="0"/>
    <n v="0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x v="1"/>
    <x v="0"/>
    <x v="3"/>
    <n v="0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x v="2"/>
    <x v="0"/>
    <x v="1"/>
    <n v="0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x v="2"/>
    <x v="2"/>
    <x v="0"/>
    <n v="0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x v="2"/>
    <x v="1"/>
    <x v="2"/>
    <n v="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x v="0"/>
    <x v="0"/>
    <x v="3"/>
    <n v="0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x v="2"/>
    <x v="1"/>
    <x v="0"/>
    <n v="0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x v="2"/>
    <x v="0"/>
    <x v="1"/>
    <n v="0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x v="2"/>
    <x v="2"/>
    <x v="3"/>
    <n v="1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x v="1"/>
    <x v="0"/>
    <x v="0"/>
    <n v="0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x v="3"/>
    <x v="0"/>
    <x v="2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x v="0"/>
    <x v="0"/>
    <x v="1"/>
    <n v="0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x v="0"/>
    <x v="1"/>
    <x v="1"/>
    <n v="0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x v="3"/>
    <x v="3"/>
    <x v="2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x v="2"/>
    <x v="1"/>
    <x v="3"/>
    <n v="1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x v="0"/>
    <x v="0"/>
    <x v="0"/>
    <n v="0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x v="1"/>
    <x v="3"/>
    <x v="0"/>
    <n v="0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x v="0"/>
    <x v="0"/>
    <x v="2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x v="2"/>
    <x v="1"/>
    <x v="2"/>
    <n v="1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x v="0"/>
    <x v="0"/>
    <x v="0"/>
    <n v="0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x v="2"/>
    <x v="1"/>
    <x v="0"/>
    <n v="0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x v="2"/>
    <x v="0"/>
    <x v="3"/>
    <n v="0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x v="0"/>
    <x v="1"/>
    <x v="0"/>
    <n v="0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x v="2"/>
    <x v="2"/>
    <x v="1"/>
    <n v="0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x v="2"/>
    <x v="2"/>
    <x v="0"/>
    <n v="0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x v="2"/>
    <x v="1"/>
    <x v="0"/>
    <n v="0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x v="2"/>
    <x v="0"/>
    <x v="0"/>
    <n v="0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x v="2"/>
    <x v="2"/>
    <x v="0"/>
    <n v="0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x v="2"/>
    <x v="0"/>
    <x v="1"/>
    <n v="0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x v="2"/>
    <x v="1"/>
    <x v="3"/>
    <n v="1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x v="0"/>
    <x v="1"/>
    <x v="2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x v="0"/>
    <x v="0"/>
    <x v="1"/>
    <n v="0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x v="2"/>
    <x v="0"/>
    <x v="0"/>
    <n v="0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x v="2"/>
    <x v="2"/>
    <x v="2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x v="2"/>
    <x v="0"/>
    <x v="1"/>
    <n v="1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x v="1"/>
    <x v="3"/>
    <x v="3"/>
    <n v="1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x v="1"/>
    <x v="1"/>
    <x v="3"/>
    <n v="0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x v="2"/>
    <x v="0"/>
    <x v="0"/>
    <n v="0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x v="0"/>
    <x v="2"/>
    <x v="1"/>
    <n v="0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x v="0"/>
    <x v="1"/>
    <x v="0"/>
    <n v="0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x v="3"/>
    <x v="3"/>
    <x v="1"/>
    <n v="0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x v="2"/>
    <x v="1"/>
    <x v="2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x v="0"/>
    <x v="3"/>
    <x v="1"/>
    <n v="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x v="0"/>
    <x v="0"/>
    <x v="1"/>
    <n v="0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x v="2"/>
    <x v="3"/>
    <x v="1"/>
    <n v="0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x v="1"/>
    <x v="0"/>
    <x v="0"/>
    <n v="0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x v="4"/>
    <x v="0"/>
    <x v="3"/>
    <n v="0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x v="4"/>
    <x v="1"/>
    <x v="0"/>
    <n v="0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x v="0"/>
    <x v="2"/>
    <x v="1"/>
    <n v="0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x v="0"/>
    <x v="0"/>
    <x v="1"/>
    <n v="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x v="2"/>
    <x v="1"/>
    <x v="3"/>
    <n v="0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x v="2"/>
    <x v="0"/>
    <x v="1"/>
    <n v="0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x v="2"/>
    <x v="0"/>
    <x v="3"/>
    <n v="0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x v="1"/>
    <x v="2"/>
    <x v="1"/>
    <n v="0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x v="2"/>
    <x v="1"/>
    <x v="2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x v="0"/>
    <x v="0"/>
    <x v="1"/>
    <n v="0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x v="2"/>
    <x v="0"/>
    <x v="3"/>
    <n v="0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x v="0"/>
    <x v="0"/>
    <x v="0"/>
    <n v="0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x v="0"/>
    <x v="0"/>
    <x v="3"/>
    <n v="0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x v="0"/>
    <x v="1"/>
    <x v="0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x v="1"/>
    <x v="3"/>
    <x v="1"/>
    <n v="0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x v="0"/>
    <x v="1"/>
    <x v="3"/>
    <n v="0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x v="4"/>
    <x v="0"/>
    <x v="3"/>
    <n v="0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x v="0"/>
    <x v="0"/>
    <x v="1"/>
    <n v="0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x v="2"/>
    <x v="0"/>
    <x v="0"/>
    <n v="0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x v="2"/>
    <x v="1"/>
    <x v="0"/>
    <n v="0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x v="0"/>
    <x v="1"/>
    <x v="2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x v="2"/>
    <x v="1"/>
    <x v="3"/>
    <n v="0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x v="0"/>
    <x v="0"/>
    <x v="0"/>
    <n v="0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x v="0"/>
    <x v="3"/>
    <x v="1"/>
    <n v="0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x v="2"/>
    <x v="3"/>
    <x v="1"/>
    <n v="0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x v="0"/>
    <x v="3"/>
    <x v="1"/>
    <n v="0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x v="2"/>
    <x v="0"/>
    <x v="0"/>
    <n v="0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x v="1"/>
    <x v="0"/>
    <x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x v="0"/>
    <x v="1"/>
    <x v="3"/>
    <n v="0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x v="4"/>
    <x v="1"/>
    <x v="3"/>
    <n v="0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x v="0"/>
    <x v="3"/>
    <x v="0"/>
    <n v="0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x v="4"/>
    <x v="1"/>
    <x v="2"/>
    <n v="1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x v="0"/>
    <x v="2"/>
    <x v="0"/>
    <n v="0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x v="0"/>
    <x v="0"/>
    <x v="3"/>
    <n v="0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x v="3"/>
    <x v="2"/>
    <x v="1"/>
    <n v="0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x v="2"/>
    <x v="0"/>
    <x v="3"/>
    <n v="1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x v="0"/>
    <x v="3"/>
    <x v="1"/>
    <n v="0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x v="3"/>
    <x v="1"/>
    <x v="1"/>
    <n v="1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x v="0"/>
    <x v="3"/>
    <x v="1"/>
    <n v="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x v="2"/>
    <x v="2"/>
    <x v="0"/>
    <n v="0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x v="0"/>
    <x v="0"/>
    <x v="1"/>
    <n v="0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x v="0"/>
    <x v="2"/>
    <x v="0"/>
    <n v="0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x v="2"/>
    <x v="1"/>
    <x v="3"/>
    <n v="0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x v="0"/>
    <x v="2"/>
    <x v="0"/>
    <n v="0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x v="0"/>
    <x v="0"/>
    <x v="1"/>
    <n v="0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x v="1"/>
    <x v="2"/>
    <x v="0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x v="0"/>
    <x v="2"/>
    <x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x v="1"/>
    <x v="0"/>
    <x v="0"/>
    <n v="0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x v="0"/>
    <x v="1"/>
    <x v="3"/>
    <n v="0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x v="0"/>
    <x v="0"/>
    <x v="1"/>
    <n v="0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x v="0"/>
    <x v="1"/>
    <x v="0"/>
    <n v="0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x v="0"/>
    <x v="1"/>
    <x v="3"/>
    <n v="0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x v="2"/>
    <x v="0"/>
    <x v="3"/>
    <n v="0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x v="2"/>
    <x v="0"/>
    <x v="0"/>
    <n v="0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x v="1"/>
    <x v="3"/>
    <x v="3"/>
    <n v="1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x v="0"/>
    <x v="3"/>
    <x v="1"/>
    <n v="0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x v="2"/>
    <x v="2"/>
    <x v="0"/>
    <n v="0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x v="2"/>
    <x v="1"/>
    <x v="3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x v="0"/>
    <x v="1"/>
    <x v="0"/>
    <n v="0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x v="0"/>
    <x v="2"/>
    <x v="0"/>
    <n v="0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x v="2"/>
    <x v="2"/>
    <x v="0"/>
    <n v="0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x v="1"/>
    <x v="0"/>
    <x v="0"/>
    <n v="0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x v="2"/>
    <x v="0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F1E8F-CF52-4D5B-97D9-335998DB09E1}" name="PivotTable1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" colHeaderCaption="Over Time">
  <location ref="A71:D77" firstHeaderRow="1" firstDataRow="2" firstDataCol="1" rowPageCount="1" colPageCount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pageFields count="1">
    <pageField fld="15" item="8" hier="-1"/>
  </pageFields>
  <dataFields count="1">
    <dataField name=" Attrition Rate" fld="38" subtotal="average" baseField="37" baseItem="0" numFmtId="175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251F82-0432-4C96-A273-FFBB696B8E96}" name="Tenure × Overtime PivotTable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Band" colHeaderCaption="Overtime">
  <location ref="A60:G67" firstHeaderRow="1" firstDataRow="3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2">
    <field x="2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Headcount" fld="8" baseField="15" baseItem="0"/>
    <dataField name="Average of Attrition Flag" fld="38" subtotal="average" baseField="15" baseItem="0"/>
  </dataFields>
  <formats count="3">
    <format dxfId="3">
      <pivotArea outline="0" collapsedLevelsAreSubtotals="1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format>
    <format dxfId="5">
      <pivotArea field="2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31A01-C397-4B27-BFA7-7AFADA13E36D}" name="Job Role × Overtime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s" colHeaderCaption="Overtime">
  <location ref="A46:G58" firstHeaderRow="1" firstDataRow="3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Headcount" fld="8" baseField="15" baseItem="0"/>
    <dataField name="Average of Attrition Flag" fld="38" subtotal="average" baseField="15" baseItem="0"/>
  </dataFields>
  <formats count="4">
    <format dxfId="9">
      <pivotArea outline="0" collapsedLevelsAreSubtotals="1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format>
    <format dxfId="8">
      <pivotArea outline="0" collapsedLevelsAreSubtotals="1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format>
    <format dxfId="7">
      <pivotArea field="15" grandCol="1" collapsedLevelsAreSubtotals="1" axis="axisRow" fieldPosition="0">
        <references count="2">
          <reference field="4294967294" count="1" selected="0">
            <x v="1"/>
          </reference>
          <reference field="15" count="3">
            <x v="1"/>
            <x v="2"/>
            <x v="3"/>
          </reference>
        </references>
      </pivotArea>
    </format>
    <format dxfId="6">
      <pivotArea field="2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793BAD-9900-41F0-A249-E73B6C2CDBDE}" name="Attrition by Overtime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A41:C44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Head Count" fld="8" baseField="22" baseItem="0"/>
    <dataField name=" Attrition Rate" fld="38" subtotal="average" baseField="22" baseItem="0" numFmtId="175"/>
  </dataFields>
  <formats count="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A98E6-8124-498A-9BAA-948C8E1938C7}" name="Attrition by Job Role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Role">
  <location ref="A29:C39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Head Count" fld="8" baseField="15" baseItem="0"/>
    <dataField name=" Attrition Rate" fld="38" subtotal="average" baseField="15" baseItem="0" numFmtId="175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8CC5D-64C4-40E9-AC73-1DA30B359BB9}" name="Attrition by Tenure Band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Band">
  <location ref="A22:C27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Head Count" fld="8" baseField="37" baseItem="0"/>
    <dataField name=" Attrition Rate" fld="38" subtotal="average" baseField="37" baseItem="1" numFmtId="175"/>
  </dataFields>
  <formats count="1"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DA02E-FAEA-43B5-8FBC-1C9A7166BB66}" name="Salary Band Atttrition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ary Band">
  <location ref="A15:C20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8" baseField="36" baseItem="0"/>
    <dataField name=" Attrition Rate" fld="38" subtotal="average" baseField="36" baseItem="1" numFmtId="175"/>
  </dataFields>
  <formats count="1"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141E1-CA7D-41B5-BAA9-BC1F62749F85}" name="Age Band Attrition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Band">
  <location ref="A7:C13" firstHeaderRow="0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3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HeadCount" fld="8" baseField="35" baseItem="0"/>
    <dataField name=" Attrition Rate" fld="38" subtotal="average" baseField="35" baseItem="0" numFmtId="175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D9A07-AC61-42C8-960E-9B7D6879EE38}" name="Department Attrition Anlaysis" cacheId="25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Department">
  <location ref="A1:D5" firstHeaderRow="0" firstDataRow="1" firstDataCol="1"/>
  <pivotFields count="41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Headcount" fld="8" baseField="4" baseItem="0"/>
    <dataField name="Employees Left" fld="38" baseField="4" baseItem="0"/>
    <dataField name=" Attrition Rate" fld="38" subtotal="average" baseField="4" baseItem="0" numFmtId="175"/>
  </dataFields>
  <formats count="1"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BFC231-275E-4B7C-8EA7-B8AE4401F84D}" autoFormatId="16" applyNumberFormats="0" applyBorderFormats="0" applyFontFormats="0" applyPatternFormats="0" applyAlignmentFormats="0" applyWidthHeightFormats="0">
  <queryTableRefresh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C41A31C-B25C-42BE-AC35-A89DEB337524}" autoFormatId="16" applyNumberFormats="0" applyBorderFormats="0" applyFontFormats="0" applyPatternFormats="0" applyAlignmentFormats="0" applyWidthHeightFormats="0">
  <queryTableRefresh nextId="40" unboundColumnsRight="4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BFD43-A075-4778-8281-301F1A74C236}" name="WA_Fn_UseC__HR_Employee_Attrition" displayName="WA_Fn_UseC__HR_Employee_Attrition" ref="A1:AI1471" tableType="queryTable" totalsRowShown="0">
  <autoFilter ref="A1:AI1471" xr:uid="{28DBFD43-A075-4778-8281-301F1A74C236}"/>
  <tableColumns count="35">
    <tableColumn id="1" xr3:uid="{DAF6494C-620A-4469-BD26-DD043BBF4605}" uniqueName="1" name="Age" queryTableFieldId="1"/>
    <tableColumn id="2" xr3:uid="{82FAF02C-C3E0-4193-9600-F5934EC2987C}" uniqueName="2" name="Attrition" queryTableFieldId="2" dataDxfId="36"/>
    <tableColumn id="3" xr3:uid="{8B190044-2DFF-4FAA-B844-ADA63BAA5049}" uniqueName="3" name="BusinessTravel" queryTableFieldId="3" dataDxfId="35"/>
    <tableColumn id="4" xr3:uid="{E39A104D-B035-450F-BD28-B0E1E5F525C4}" uniqueName="4" name="DailyRate" queryTableFieldId="4"/>
    <tableColumn id="5" xr3:uid="{B9CD0B83-A256-4F71-A8F9-1985E7F3242F}" uniqueName="5" name="Department" queryTableFieldId="5" dataDxfId="34"/>
    <tableColumn id="6" xr3:uid="{68436AFA-392E-4237-A866-19998CC0740A}" uniqueName="6" name="DistanceFromHome" queryTableFieldId="6"/>
    <tableColumn id="7" xr3:uid="{13939D5F-F2D3-44A3-BDB2-EFE8E65EC3F6}" uniqueName="7" name="Education" queryTableFieldId="7"/>
    <tableColumn id="8" xr3:uid="{7C176AE3-17C7-4DE7-A08C-54865A5077C5}" uniqueName="8" name="EducationField" queryTableFieldId="8" dataDxfId="33"/>
    <tableColumn id="9" xr3:uid="{DD190270-54E2-47E6-95C7-AF3D54523394}" uniqueName="9" name="EmployeeCount" queryTableFieldId="9"/>
    <tableColumn id="10" xr3:uid="{70617F59-C827-4B20-8AAB-CA98757A9CB8}" uniqueName="10" name="EmployeeNumber" queryTableFieldId="10"/>
    <tableColumn id="11" xr3:uid="{AD8AFCD2-9B15-4EA7-AA38-8095311DF47C}" uniqueName="11" name="EnvironmentSatisfaction" queryTableFieldId="11"/>
    <tableColumn id="12" xr3:uid="{62D77068-874A-4A73-80D0-57A46F37374C}" uniqueName="12" name="Gender" queryTableFieldId="12" dataDxfId="32"/>
    <tableColumn id="13" xr3:uid="{61001B58-5D84-4924-AE05-A16F821E38CE}" uniqueName="13" name="HourlyRate" queryTableFieldId="13"/>
    <tableColumn id="14" xr3:uid="{5762FEE1-2995-48DF-8F50-50C9E037F3EA}" uniqueName="14" name="JobInvolvement" queryTableFieldId="14"/>
    <tableColumn id="15" xr3:uid="{157249F5-323B-418A-BC60-312EE2294FAC}" uniqueName="15" name="JobLevel" queryTableFieldId="15"/>
    <tableColumn id="16" xr3:uid="{E75CFB3B-8812-4098-81CE-E4BBBE3E4E92}" uniqueName="16" name="JobRole" queryTableFieldId="16" dataDxfId="31"/>
    <tableColumn id="17" xr3:uid="{EAF9B2DC-36D7-43CE-A0D7-35C03326848C}" uniqueName="17" name="JobSatisfaction" queryTableFieldId="17"/>
    <tableColumn id="18" xr3:uid="{8749142C-D4DD-4153-B060-2ADAD74DB7B1}" uniqueName="18" name="MaritalStatus" queryTableFieldId="18" dataDxfId="30"/>
    <tableColumn id="19" xr3:uid="{C6B72AE0-A776-4E3C-B882-15B7DAF930B1}" uniqueName="19" name="MonthlyIncome" queryTableFieldId="19"/>
    <tableColumn id="20" xr3:uid="{1345EE9A-A7B7-4D27-B2A9-B271978FADBB}" uniqueName="20" name="MonthlyRate" queryTableFieldId="20"/>
    <tableColumn id="21" xr3:uid="{2C49059B-ED4C-4119-BCEC-B771E7EA29E6}" uniqueName="21" name="NumCompaniesWorked" queryTableFieldId="21"/>
    <tableColumn id="22" xr3:uid="{1644CB29-2B7E-46E5-94B8-0CF6F92339E1}" uniqueName="22" name="Over18" queryTableFieldId="22" dataDxfId="29"/>
    <tableColumn id="23" xr3:uid="{9FBE0779-7A2D-448A-918D-05639903B683}" uniqueName="23" name="OverTime" queryTableFieldId="23" dataDxfId="28"/>
    <tableColumn id="24" xr3:uid="{6E849022-B25B-403E-B778-B3C80B93C6A3}" uniqueName="24" name="PercentSalaryHike" queryTableFieldId="24"/>
    <tableColumn id="25" xr3:uid="{6FCF898C-B60D-4F3D-B6BC-FA8F5EB577A2}" uniqueName="25" name="PerformanceRating" queryTableFieldId="25"/>
    <tableColumn id="26" xr3:uid="{0D90250C-BE5B-4AC3-8BA8-3F274894B586}" uniqueName="26" name="RelationshipSatisfaction" queryTableFieldId="26"/>
    <tableColumn id="27" xr3:uid="{0E19A7DC-D75E-4B3A-AC72-FBA9DB42594F}" uniqueName="27" name="StandardHours" queryTableFieldId="27"/>
    <tableColumn id="28" xr3:uid="{B82AC960-1639-41AA-ADF3-F4AF411BD8B0}" uniqueName="28" name="StockOptionLevel" queryTableFieldId="28"/>
    <tableColumn id="29" xr3:uid="{62F02608-6F55-49F5-83C0-9F1574E96A9E}" uniqueName="29" name="TotalWorkingYears" queryTableFieldId="29"/>
    <tableColumn id="30" xr3:uid="{4A146614-71C3-4A9A-9E2D-4191A33CA792}" uniqueName="30" name="TrainingTimesLastYear" queryTableFieldId="30"/>
    <tableColumn id="31" xr3:uid="{63CA08F8-CC4D-4FE8-8C47-8028CECA0CFF}" uniqueName="31" name="WorkLifeBalance" queryTableFieldId="31"/>
    <tableColumn id="32" xr3:uid="{65A0ED02-8973-4066-B632-F81B0EA0552A}" uniqueName="32" name="YearsAtCompany" queryTableFieldId="32"/>
    <tableColumn id="33" xr3:uid="{23593059-5B24-45AB-9F59-9BC630B58C0C}" uniqueName="33" name="YearsInCurrentRole" queryTableFieldId="33"/>
    <tableColumn id="34" xr3:uid="{64B85030-0502-4844-A3AB-0E4E3010ABCE}" uniqueName="34" name="YearsSinceLastPromotion" queryTableFieldId="34"/>
    <tableColumn id="35" xr3:uid="{349178FD-8002-49F5-998D-1933F8B8C494}" uniqueName="35" name="YearsWithCurrManager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B666C5-A244-4687-A184-63387508CA77}" name="HR_Data" displayName="HR_Data" ref="A1:AM1471" tableType="queryTable" totalsRowShown="0">
  <autoFilter ref="A1:AM1471" xr:uid="{E5B666C5-A244-4687-A184-63387508CA77}"/>
  <tableColumns count="39">
    <tableColumn id="1" xr3:uid="{70C31254-8AC3-4CBC-94DC-13A9D217F570}" uniqueName="1" name="Age" queryTableFieldId="1"/>
    <tableColumn id="2" xr3:uid="{1AC47C42-C970-4119-B765-0216E2CDBE60}" uniqueName="2" name="Attrition" queryTableFieldId="2" dataDxfId="27"/>
    <tableColumn id="3" xr3:uid="{E272BAF1-9EA0-4A31-BBC8-E89D993A255B}" uniqueName="3" name="BusinessTravel" queryTableFieldId="3" dataDxfId="26"/>
    <tableColumn id="4" xr3:uid="{07AFF91D-4E2C-499F-9255-3885C28687D4}" uniqueName="4" name="DailyRate" queryTableFieldId="4"/>
    <tableColumn id="5" xr3:uid="{6D32E2E4-8985-4BA0-8F8C-F197427DC939}" uniqueName="5" name="Department" queryTableFieldId="5" dataDxfId="25"/>
    <tableColumn id="6" xr3:uid="{09E7AC28-7DEB-496A-BEE3-CC8BF8D38A94}" uniqueName="6" name="DistanceFromHome" queryTableFieldId="6"/>
    <tableColumn id="7" xr3:uid="{197FE189-C09A-4BAA-9136-C3757DA054B9}" uniqueName="7" name="Education" queryTableFieldId="7"/>
    <tableColumn id="8" xr3:uid="{D4CC919D-933F-4809-87BF-DE2AA687FB95}" uniqueName="8" name="EducationField" queryTableFieldId="8" dataDxfId="24"/>
    <tableColumn id="9" xr3:uid="{9FD225BC-44F0-4AA6-A74C-68A3C6A17A83}" uniqueName="9" name="EmployeeCount" queryTableFieldId="9"/>
    <tableColumn id="10" xr3:uid="{E7862FC7-0FF5-498B-BC08-30CF4E0A56FA}" uniqueName="10" name="EmployeeNumber" queryTableFieldId="10"/>
    <tableColumn id="11" xr3:uid="{8F5390F6-BD6E-4E7A-8B56-E370D6EC6101}" uniqueName="11" name="EnvironmentSatisfaction" queryTableFieldId="11"/>
    <tableColumn id="12" xr3:uid="{964455C5-541C-4306-830F-A164B703FA5D}" uniqueName="12" name="Gender" queryTableFieldId="12" dataDxfId="23"/>
    <tableColumn id="13" xr3:uid="{8043E71A-4091-4E11-BDBE-B79E3849C0BF}" uniqueName="13" name="HourlyRate" queryTableFieldId="13"/>
    <tableColumn id="14" xr3:uid="{99A2FCC7-0F62-4B6D-A727-4D2BF8E61D6F}" uniqueName="14" name="JobInvolvement" queryTableFieldId="14"/>
    <tableColumn id="15" xr3:uid="{44868AC7-4263-4E6C-B050-AB0DEBCF81BA}" uniqueName="15" name="JobLevel" queryTableFieldId="15"/>
    <tableColumn id="16" xr3:uid="{932809A4-77D1-4F5A-9FED-DE92BEE42EE0}" uniqueName="16" name="JobRole" queryTableFieldId="16" dataDxfId="22"/>
    <tableColumn id="17" xr3:uid="{26D37AF8-7E9D-4059-B8D6-041921F2AE4C}" uniqueName="17" name="JobSatisfaction" queryTableFieldId="17"/>
    <tableColumn id="18" xr3:uid="{852A8D01-CD36-4F3D-B008-4D4C78EF8830}" uniqueName="18" name="MaritalStatus" queryTableFieldId="18" dataDxfId="21"/>
    <tableColumn id="19" xr3:uid="{22DEBB90-4DBA-4A53-8120-F69A833B545E}" uniqueName="19" name="MonthlyIncome" queryTableFieldId="19"/>
    <tableColumn id="20" xr3:uid="{568D3885-153C-4E1D-9544-941AB31F8F47}" uniqueName="20" name="MonthlyRate" queryTableFieldId="20"/>
    <tableColumn id="21" xr3:uid="{1929DE09-2246-4E1A-94AF-FB98FDFE868F}" uniqueName="21" name="NumCompaniesWorked" queryTableFieldId="21"/>
    <tableColumn id="22" xr3:uid="{C20697C0-0AD3-4AA2-B45B-EAE5010522DA}" uniqueName="22" name="Over18" queryTableFieldId="22" dataDxfId="20"/>
    <tableColumn id="23" xr3:uid="{83672E76-2F39-4FD3-B5D1-F70F7911E8A8}" uniqueName="23" name="OverTime" queryTableFieldId="23" dataDxfId="19"/>
    <tableColumn id="24" xr3:uid="{C01FFE3B-B92B-41F1-BCA1-685B0EDBE91E}" uniqueName="24" name="PercentSalaryHike" queryTableFieldId="24"/>
    <tableColumn id="25" xr3:uid="{8F731D1D-8E2F-46F2-92D3-B8838CFDCEDC}" uniqueName="25" name="PerformanceRating" queryTableFieldId="25"/>
    <tableColumn id="26" xr3:uid="{A3635E90-494C-4D26-9F27-4E3EA37C227A}" uniqueName="26" name="RelationshipSatisfaction" queryTableFieldId="26"/>
    <tableColumn id="27" xr3:uid="{735EED0E-BEF7-48B5-A4A5-DDE0CDC877EB}" uniqueName="27" name="StandardHours" queryTableFieldId="27"/>
    <tableColumn id="28" xr3:uid="{7647693E-6CA3-4539-8DD3-7486E213DE36}" uniqueName="28" name="StockOptionLevel" queryTableFieldId="28"/>
    <tableColumn id="29" xr3:uid="{A5FCB47F-9FFA-4F84-98B2-423979CF8605}" uniqueName="29" name="TotalWorkingYears" queryTableFieldId="29"/>
    <tableColumn id="30" xr3:uid="{3FA393C0-96C3-4BCF-B9A8-37E35301FD97}" uniqueName="30" name="TrainingTimesLastYear" queryTableFieldId="30"/>
    <tableColumn id="31" xr3:uid="{E8D70764-D7DA-421B-B51C-DD2E686A3C24}" uniqueName="31" name="WorkLifeBalance" queryTableFieldId="31"/>
    <tableColumn id="32" xr3:uid="{9C27DF55-A1B2-48F6-B6D7-7441F55F6C08}" uniqueName="32" name="YearsAtCompany" queryTableFieldId="32"/>
    <tableColumn id="33" xr3:uid="{C2A390DB-C519-4782-9FBA-D63B322EFD5C}" uniqueName="33" name="YearsInCurrentRole" queryTableFieldId="33"/>
    <tableColumn id="34" xr3:uid="{E5CF35EC-2649-4F60-A4D5-2151AA8CBFB6}" uniqueName="34" name="YearsSinceLastPromotion" queryTableFieldId="34"/>
    <tableColumn id="35" xr3:uid="{C5849D67-B9D8-4130-9C76-321692428F5B}" uniqueName="35" name="YearsWithCurrManager" queryTableFieldId="35"/>
    <tableColumn id="36" xr3:uid="{6DCBA7F1-A43D-4529-8AF9-77785D16D20A}" uniqueName="36" name="Age Band" queryTableFieldId="36" dataDxfId="18">
      <calculatedColumnFormula array="1">_xlfn.IFS(
HR_Data[[#This Row],[Age]]&lt;25,"Under 25",
HR_Data[[#This Row],[Age]]&lt;35,"25-34",
HR_Data[[#This Row],[Age]]&lt;45,"35-44",
HR_Data[[#This Row],[Age]]&lt;55,"45-54",
TRUE,"55+"
)</calculatedColumnFormula>
    </tableColumn>
    <tableColumn id="37" xr3:uid="{CBE1F553-3CA4-4C9E-ABF7-E26147B9F959}" uniqueName="37" name="Salary Band" queryTableFieldId="37" dataDxfId="17">
      <calculatedColumnFormula array="1">_xlfn.IFS(
HR_Data[[#This Row],[MonthlyIncome]]&lt;3000,"&lt;3K",
HR_Data[[#This Row],[MonthlyIncome]]&lt;6000,"3K-6K",
HR_Data[[#This Row],[MonthlyIncome]]&lt;10000,"6K-10K",
TRUE,"10K+"
)</calculatedColumnFormula>
    </tableColumn>
    <tableColumn id="38" xr3:uid="{9F9F8404-F588-4DAA-8C2F-70C106005AA7}" uniqueName="38" name="Tenure Band" queryTableFieldId="38" dataDxfId="16">
      <calculatedColumnFormula array="1">_xlfn.IFS(
HR_Data[[#This Row],[YearsAtCompany]]&lt;2,"&lt;2 Years",
HR_Data[[#This Row],[YearsAtCompany]]&lt;5,"2-4 Years",
HR_Data[[#This Row],[YearsAtCompany]]&lt;10,"5-9 Years",
TRUE,"10+ Years"
)</calculatedColumnFormula>
    </tableColumn>
    <tableColumn id="39" xr3:uid="{03FC76A8-221C-43E4-8F15-35371C30BD65}" uniqueName="39" name="Attrition Flag" queryTableFieldId="39" dataDxfId="15">
      <calculatedColumnFormula>IF(HR_Data[[#This Row],[Attrition]]="Yes",1,0)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14F2-37F4-4170-AEF9-12D98BDB4DC3}">
  <dimension ref="A1:AI1471"/>
  <sheetViews>
    <sheetView workbookViewId="0">
      <selection sqref="A1:AI1471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04B9-4CA8-4F57-AEB6-CA9D9DA51046}">
  <dimension ref="A1:AM1471"/>
  <sheetViews>
    <sheetView workbookViewId="0">
      <selection sqref="A1:AM1"/>
    </sheetView>
  </sheetViews>
  <sheetFormatPr defaultRowHeight="14.4" x14ac:dyDescent="0.3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6.77734375" bestFit="1" customWidth="1"/>
    <col min="10" max="10" width="18.5546875" bestFit="1" customWidth="1"/>
    <col min="11" max="11" width="24.21875" bestFit="1" customWidth="1"/>
    <col min="12" max="12" width="9.33203125" bestFit="1" customWidth="1"/>
    <col min="13" max="13" width="12.5546875" bestFit="1" customWidth="1"/>
    <col min="14" max="14" width="16.88671875" bestFit="1" customWidth="1"/>
    <col min="15" max="15" width="10.44140625" bestFit="1" customWidth="1"/>
    <col min="16" max="16" width="22.88671875" bestFit="1" customWidth="1"/>
    <col min="17" max="17" width="16" bestFit="1" customWidth="1"/>
    <col min="18" max="18" width="14.44140625" bestFit="1" customWidth="1"/>
    <col min="19" max="19" width="16.88671875" bestFit="1" customWidth="1"/>
    <col min="20" max="20" width="14.21875" bestFit="1" customWidth="1"/>
    <col min="21" max="21" width="23.6640625" bestFit="1" customWidth="1"/>
    <col min="22" max="22" width="9.21875" bestFit="1" customWidth="1"/>
    <col min="23" max="23" width="11.33203125" bestFit="1" customWidth="1"/>
    <col min="24" max="24" width="18.5546875" bestFit="1" customWidth="1"/>
    <col min="25" max="25" width="19.6640625" bestFit="1" customWidth="1"/>
    <col min="26" max="26" width="23.6640625" bestFit="1" customWidth="1"/>
    <col min="27" max="27" width="15.88671875" bestFit="1" customWidth="1"/>
    <col min="28" max="28" width="18.109375" bestFit="1" customWidth="1"/>
    <col min="29" max="29" width="19.109375" bestFit="1" customWidth="1"/>
    <col min="30" max="30" width="22.109375" bestFit="1" customWidth="1"/>
    <col min="31" max="31" width="17.44140625" bestFit="1" customWidth="1"/>
    <col min="32" max="32" width="17.77734375" bestFit="1" customWidth="1"/>
    <col min="33" max="33" width="19.5546875" bestFit="1" customWidth="1"/>
    <col min="34" max="34" width="24.77734375" bestFit="1" customWidth="1"/>
    <col min="35" max="35" width="23" bestFit="1" customWidth="1"/>
    <col min="36" max="36" width="11.21875" bestFit="1" customWidth="1"/>
    <col min="37" max="37" width="13.109375" bestFit="1" customWidth="1"/>
    <col min="38" max="38" width="13.88671875" bestFit="1" customWidth="1"/>
    <col min="39" max="39" width="14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67</v>
      </c>
      <c r="AK1" t="s">
        <v>68</v>
      </c>
      <c r="AL1" t="s">
        <v>69</v>
      </c>
      <c r="AM1" t="s">
        <v>70</v>
      </c>
    </row>
    <row r="2" spans="1:39" x14ac:dyDescent="0.3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 cm="1">
        <f t="array" ref="AJ2">_xlfn.IFS(
HR_Data[[#This Row],[Age]]&lt;25,"Under 25",
HR_Data[[#This Row],[Age]]&lt;35,"25-34",
HR_Data[[#This Row],[Age]]&lt;45,"35-44",
HR_Data[[#This Row],[Age]]&lt;55,"45-54",
TRUE,"55+"
)</f>
        <v>35-44</v>
      </c>
      <c r="AK2" t="str" cm="1">
        <f t="array" ref="AK2">_xlfn.IFS(
HR_Data[[#This Row],[MonthlyIncome]]&lt;3000,"&lt;3K",
HR_Data[[#This Row],[MonthlyIncome]]&lt;6000,"3K-6K",
HR_Data[[#This Row],[MonthlyIncome]]&lt;10000,"6K-10K",
TRUE,"10K+"
)</f>
        <v>3K-6K</v>
      </c>
      <c r="AL2" t="str" cm="1">
        <f t="array" ref="AL2">_xlfn.IFS(
HR_Data[[#This Row],[YearsAtCompany]]&lt;2,"&lt;2 Years",
HR_Data[[#This Row],[YearsAtCompany]]&lt;5,"2-4 Years",
HR_Data[[#This Row],[YearsAtCompany]]&lt;10,"5-9 Years",
TRUE,"10+ Years"
)</f>
        <v>5-9 Years</v>
      </c>
      <c r="AM2" s="1">
        <f>IF(HR_Data[[#This Row],[Attrition]]="Yes",1,0)</f>
        <v>1</v>
      </c>
    </row>
    <row r="3" spans="1:39" x14ac:dyDescent="0.3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 cm="1">
        <f t="array" ref="AJ3">_xlfn.IFS(
HR_Data[[#This Row],[Age]]&lt;25,"Under 25",
HR_Data[[#This Row],[Age]]&lt;35,"25-34",
HR_Data[[#This Row],[Age]]&lt;45,"35-44",
HR_Data[[#This Row],[Age]]&lt;55,"45-54",
TRUE,"55+"
)</f>
        <v>45-54</v>
      </c>
      <c r="AK3" t="str" cm="1">
        <f t="array" ref="AK3">_xlfn.IFS(
HR_Data[[#This Row],[MonthlyIncome]]&lt;3000,"&lt;3K",
HR_Data[[#This Row],[MonthlyIncome]]&lt;6000,"3K-6K",
HR_Data[[#This Row],[MonthlyIncome]]&lt;10000,"6K-10K",
TRUE,"10K+"
)</f>
        <v>3K-6K</v>
      </c>
      <c r="AL3" t="str" cm="1">
        <f t="array" ref="AL3">_xlfn.IFS(
HR_Data[[#This Row],[YearsAtCompany]]&lt;2,"&lt;2 Years",
HR_Data[[#This Row],[YearsAtCompany]]&lt;5,"2-4 Years",
HR_Data[[#This Row],[YearsAtCompany]]&lt;10,"5-9 Years",
TRUE,"10+ Years"
)</f>
        <v>10+ Years</v>
      </c>
      <c r="AM3" s="1">
        <f>IF(HR_Data[[#This Row],[Attrition]]="Yes",1,0)</f>
        <v>0</v>
      </c>
    </row>
    <row r="4" spans="1:39" x14ac:dyDescent="0.3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 cm="1">
        <f t="array" ref="AJ4">_xlfn.IFS(
HR_Data[[#This Row],[Age]]&lt;25,"Under 25",
HR_Data[[#This Row],[Age]]&lt;35,"25-34",
HR_Data[[#This Row],[Age]]&lt;45,"35-44",
HR_Data[[#This Row],[Age]]&lt;55,"45-54",
TRUE,"55+"
)</f>
        <v>35-44</v>
      </c>
      <c r="AK4" t="str" cm="1">
        <f t="array" ref="AK4">_xlfn.IFS(
HR_Data[[#This Row],[MonthlyIncome]]&lt;3000,"&lt;3K",
HR_Data[[#This Row],[MonthlyIncome]]&lt;6000,"3K-6K",
HR_Data[[#This Row],[MonthlyIncome]]&lt;10000,"6K-10K",
TRUE,"10K+"
)</f>
        <v>&lt;3K</v>
      </c>
      <c r="AL4" t="str" cm="1">
        <f t="array" ref="AL4">_xlfn.IFS(
HR_Data[[#This Row],[YearsAtCompany]]&lt;2,"&lt;2 Years",
HR_Data[[#This Row],[YearsAtCompany]]&lt;5,"2-4 Years",
HR_Data[[#This Row],[YearsAtCompany]]&lt;10,"5-9 Years",
TRUE,"10+ Years"
)</f>
        <v>&lt;2 Years</v>
      </c>
      <c r="AM4" s="1">
        <f>IF(HR_Data[[#This Row],[Attrition]]="Yes",1,0)</f>
        <v>1</v>
      </c>
    </row>
    <row r="5" spans="1:39" x14ac:dyDescent="0.3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 cm="1">
        <f t="array" ref="AJ5">_xlfn.IFS(
HR_Data[[#This Row],[Age]]&lt;25,"Under 25",
HR_Data[[#This Row],[Age]]&lt;35,"25-34",
HR_Data[[#This Row],[Age]]&lt;45,"35-44",
HR_Data[[#This Row],[Age]]&lt;55,"45-54",
TRUE,"55+"
)</f>
        <v>25-34</v>
      </c>
      <c r="AK5" t="str" cm="1">
        <f t="array" ref="AK5">_xlfn.IFS(
HR_Data[[#This Row],[MonthlyIncome]]&lt;3000,"&lt;3K",
HR_Data[[#This Row],[MonthlyIncome]]&lt;6000,"3K-6K",
HR_Data[[#This Row],[MonthlyIncome]]&lt;10000,"6K-10K",
TRUE,"10K+"
)</f>
        <v>&lt;3K</v>
      </c>
      <c r="AL5" t="str" cm="1">
        <f t="array" ref="AL5">_xlfn.IFS(
HR_Data[[#This Row],[YearsAtCompany]]&lt;2,"&lt;2 Years",
HR_Data[[#This Row],[YearsAtCompany]]&lt;5,"2-4 Years",
HR_Data[[#This Row],[YearsAtCompany]]&lt;10,"5-9 Years",
TRUE,"10+ Years"
)</f>
        <v>5-9 Years</v>
      </c>
      <c r="AM5" s="1">
        <f>IF(HR_Data[[#This Row],[Attrition]]="Yes",1,0)</f>
        <v>0</v>
      </c>
    </row>
    <row r="6" spans="1:39" x14ac:dyDescent="0.3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 cm="1">
        <f t="array" ref="AJ6">_xlfn.IFS(
HR_Data[[#This Row],[Age]]&lt;25,"Under 25",
HR_Data[[#This Row],[Age]]&lt;35,"25-34",
HR_Data[[#This Row],[Age]]&lt;45,"35-44",
HR_Data[[#This Row],[Age]]&lt;55,"45-54",
TRUE,"55+"
)</f>
        <v>25-34</v>
      </c>
      <c r="AK6" t="str" cm="1">
        <f t="array" ref="AK6">_xlfn.IFS(
HR_Data[[#This Row],[MonthlyIncome]]&lt;3000,"&lt;3K",
HR_Data[[#This Row],[MonthlyIncome]]&lt;6000,"3K-6K",
HR_Data[[#This Row],[MonthlyIncome]]&lt;10000,"6K-10K",
TRUE,"10K+"
)</f>
        <v>3K-6K</v>
      </c>
      <c r="AL6" t="str" cm="1">
        <f t="array" ref="AL6">_xlfn.IFS(
HR_Data[[#This Row],[YearsAtCompany]]&lt;2,"&lt;2 Years",
HR_Data[[#This Row],[YearsAtCompany]]&lt;5,"2-4 Years",
HR_Data[[#This Row],[YearsAtCompany]]&lt;10,"5-9 Years",
TRUE,"10+ Years"
)</f>
        <v>2-4 Years</v>
      </c>
      <c r="AM6" s="1">
        <f>IF(HR_Data[[#This Row],[Attrition]]="Yes",1,0)</f>
        <v>0</v>
      </c>
    </row>
    <row r="7" spans="1:39" x14ac:dyDescent="0.3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 cm="1">
        <f t="array" ref="AJ7">_xlfn.IFS(
HR_Data[[#This Row],[Age]]&lt;25,"Under 25",
HR_Data[[#This Row],[Age]]&lt;35,"25-34",
HR_Data[[#This Row],[Age]]&lt;45,"35-44",
HR_Data[[#This Row],[Age]]&lt;55,"45-54",
TRUE,"55+"
)</f>
        <v>25-34</v>
      </c>
      <c r="AK7" t="str" cm="1">
        <f t="array" ref="AK7">_xlfn.IFS(
HR_Data[[#This Row],[MonthlyIncome]]&lt;3000,"&lt;3K",
HR_Data[[#This Row],[MonthlyIncome]]&lt;6000,"3K-6K",
HR_Data[[#This Row],[MonthlyIncome]]&lt;10000,"6K-10K",
TRUE,"10K+"
)</f>
        <v>3K-6K</v>
      </c>
      <c r="AL7" t="str" cm="1">
        <f t="array" ref="AL7">_xlfn.IFS(
HR_Data[[#This Row],[YearsAtCompany]]&lt;2,"&lt;2 Years",
HR_Data[[#This Row],[YearsAtCompany]]&lt;5,"2-4 Years",
HR_Data[[#This Row],[YearsAtCompany]]&lt;10,"5-9 Years",
TRUE,"10+ Years"
)</f>
        <v>5-9 Years</v>
      </c>
      <c r="AM7" s="1">
        <f>IF(HR_Data[[#This Row],[Attrition]]="Yes",1,0)</f>
        <v>0</v>
      </c>
    </row>
    <row r="8" spans="1:39" x14ac:dyDescent="0.3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 cm="1">
        <f t="array" ref="AJ8">_xlfn.IFS(
HR_Data[[#This Row],[Age]]&lt;25,"Under 25",
HR_Data[[#This Row],[Age]]&lt;35,"25-34",
HR_Data[[#This Row],[Age]]&lt;45,"35-44",
HR_Data[[#This Row],[Age]]&lt;55,"45-54",
TRUE,"55+"
)</f>
        <v>55+</v>
      </c>
      <c r="AK8" t="str" cm="1">
        <f t="array" ref="AK8">_xlfn.IFS(
HR_Data[[#This Row],[MonthlyIncome]]&lt;3000,"&lt;3K",
HR_Data[[#This Row],[MonthlyIncome]]&lt;6000,"3K-6K",
HR_Data[[#This Row],[MonthlyIncome]]&lt;10000,"6K-10K",
TRUE,"10K+"
)</f>
        <v>&lt;3K</v>
      </c>
      <c r="AL8" t="str" cm="1">
        <f t="array" ref="AL8">_xlfn.IFS(
HR_Data[[#This Row],[YearsAtCompany]]&lt;2,"&lt;2 Years",
HR_Data[[#This Row],[YearsAtCompany]]&lt;5,"2-4 Years",
HR_Data[[#This Row],[YearsAtCompany]]&lt;10,"5-9 Years",
TRUE,"10+ Years"
)</f>
        <v>&lt;2 Years</v>
      </c>
      <c r="AM8" s="1">
        <f>IF(HR_Data[[#This Row],[Attrition]]="Yes",1,0)</f>
        <v>0</v>
      </c>
    </row>
    <row r="9" spans="1:39" x14ac:dyDescent="0.3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 cm="1">
        <f t="array" ref="AJ9">_xlfn.IFS(
HR_Data[[#This Row],[Age]]&lt;25,"Under 25",
HR_Data[[#This Row],[Age]]&lt;35,"25-34",
HR_Data[[#This Row],[Age]]&lt;45,"35-44",
HR_Data[[#This Row],[Age]]&lt;55,"45-54",
TRUE,"55+"
)</f>
        <v>25-34</v>
      </c>
      <c r="AK9" t="str" cm="1">
        <f t="array" ref="AK9">_xlfn.IFS(
HR_Data[[#This Row],[MonthlyIncome]]&lt;3000,"&lt;3K",
HR_Data[[#This Row],[MonthlyIncome]]&lt;6000,"3K-6K",
HR_Data[[#This Row],[MonthlyIncome]]&lt;10000,"6K-10K",
TRUE,"10K+"
)</f>
        <v>&lt;3K</v>
      </c>
      <c r="AL9" t="str" cm="1">
        <f t="array" ref="AL9">_xlfn.IFS(
HR_Data[[#This Row],[YearsAtCompany]]&lt;2,"&lt;2 Years",
HR_Data[[#This Row],[YearsAtCompany]]&lt;5,"2-4 Years",
HR_Data[[#This Row],[YearsAtCompany]]&lt;10,"5-9 Years",
TRUE,"10+ Years"
)</f>
        <v>&lt;2 Years</v>
      </c>
      <c r="AM9" s="1">
        <f>IF(HR_Data[[#This Row],[Attrition]]="Yes",1,0)</f>
        <v>0</v>
      </c>
    </row>
    <row r="10" spans="1:39" x14ac:dyDescent="0.3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 cm="1">
        <f t="array" ref="AJ10">_xlfn.IFS(
HR_Data[[#This Row],[Age]]&lt;25,"Under 25",
HR_Data[[#This Row],[Age]]&lt;35,"25-34",
HR_Data[[#This Row],[Age]]&lt;45,"35-44",
HR_Data[[#This Row],[Age]]&lt;55,"45-54",
TRUE,"55+"
)</f>
        <v>35-44</v>
      </c>
      <c r="AK10" t="str" cm="1">
        <f t="array" ref="AK10">_xlfn.IFS(
HR_Data[[#This Row],[MonthlyIncome]]&lt;3000,"&lt;3K",
HR_Data[[#This Row],[MonthlyIncome]]&lt;6000,"3K-6K",
HR_Data[[#This Row],[MonthlyIncome]]&lt;10000,"6K-10K",
TRUE,"10K+"
)</f>
        <v>6K-10K</v>
      </c>
      <c r="AL10" t="str" cm="1">
        <f t="array" ref="AL10">_xlfn.IFS(
HR_Data[[#This Row],[YearsAtCompany]]&lt;2,"&lt;2 Years",
HR_Data[[#This Row],[YearsAtCompany]]&lt;5,"2-4 Years",
HR_Data[[#This Row],[YearsAtCompany]]&lt;10,"5-9 Years",
TRUE,"10+ Years"
)</f>
        <v>5-9 Years</v>
      </c>
      <c r="AM10" s="1">
        <f>IF(HR_Data[[#This Row],[Attrition]]="Yes",1,0)</f>
        <v>0</v>
      </c>
    </row>
    <row r="11" spans="1:39" x14ac:dyDescent="0.3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 cm="1">
        <f t="array" ref="AJ11">_xlfn.IFS(
HR_Data[[#This Row],[Age]]&lt;25,"Under 25",
HR_Data[[#This Row],[Age]]&lt;35,"25-34",
HR_Data[[#This Row],[Age]]&lt;45,"35-44",
HR_Data[[#This Row],[Age]]&lt;55,"45-54",
TRUE,"55+"
)</f>
        <v>35-44</v>
      </c>
      <c r="AK11" t="str" cm="1">
        <f t="array" ref="AK11">_xlfn.IFS(
HR_Data[[#This Row],[MonthlyIncome]]&lt;3000,"&lt;3K",
HR_Data[[#This Row],[MonthlyIncome]]&lt;6000,"3K-6K",
HR_Data[[#This Row],[MonthlyIncome]]&lt;10000,"6K-10K",
TRUE,"10K+"
)</f>
        <v>3K-6K</v>
      </c>
      <c r="AL11" t="str" cm="1">
        <f t="array" ref="AL11">_xlfn.IFS(
HR_Data[[#This Row],[YearsAtCompany]]&lt;2,"&lt;2 Years",
HR_Data[[#This Row],[YearsAtCompany]]&lt;5,"2-4 Years",
HR_Data[[#This Row],[YearsAtCompany]]&lt;10,"5-9 Years",
TRUE,"10+ Years"
)</f>
        <v>5-9 Years</v>
      </c>
      <c r="AM11" s="1">
        <f>IF(HR_Data[[#This Row],[Attrition]]="Yes",1,0)</f>
        <v>0</v>
      </c>
    </row>
    <row r="12" spans="1:39" x14ac:dyDescent="0.3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 cm="1">
        <f t="array" ref="AJ12">_xlfn.IFS(
HR_Data[[#This Row],[Age]]&lt;25,"Under 25",
HR_Data[[#This Row],[Age]]&lt;35,"25-34",
HR_Data[[#This Row],[Age]]&lt;45,"35-44",
HR_Data[[#This Row],[Age]]&lt;55,"45-54",
TRUE,"55+"
)</f>
        <v>35-44</v>
      </c>
      <c r="AK12" t="str" cm="1">
        <f t="array" ref="AK12">_xlfn.IFS(
HR_Data[[#This Row],[MonthlyIncome]]&lt;3000,"&lt;3K",
HR_Data[[#This Row],[MonthlyIncome]]&lt;6000,"3K-6K",
HR_Data[[#This Row],[MonthlyIncome]]&lt;10000,"6K-10K",
TRUE,"10K+"
)</f>
        <v>&lt;3K</v>
      </c>
      <c r="AL12" t="str" cm="1">
        <f t="array" ref="AL12">_xlfn.IFS(
HR_Data[[#This Row],[YearsAtCompany]]&lt;2,"&lt;2 Years",
HR_Data[[#This Row],[YearsAtCompany]]&lt;5,"2-4 Years",
HR_Data[[#This Row],[YearsAtCompany]]&lt;10,"5-9 Years",
TRUE,"10+ Years"
)</f>
        <v>5-9 Years</v>
      </c>
      <c r="AM12" s="1">
        <f>IF(HR_Data[[#This Row],[Attrition]]="Yes",1,0)</f>
        <v>0</v>
      </c>
    </row>
    <row r="13" spans="1:39" x14ac:dyDescent="0.3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 cm="1">
        <f t="array" ref="AJ13">_xlfn.IFS(
HR_Data[[#This Row],[Age]]&lt;25,"Under 25",
HR_Data[[#This Row],[Age]]&lt;35,"25-34",
HR_Data[[#This Row],[Age]]&lt;45,"35-44",
HR_Data[[#This Row],[Age]]&lt;55,"45-54",
TRUE,"55+"
)</f>
        <v>25-34</v>
      </c>
      <c r="AK13" t="str" cm="1">
        <f t="array" ref="AK13">_xlfn.IFS(
HR_Data[[#This Row],[MonthlyIncome]]&lt;3000,"&lt;3K",
HR_Data[[#This Row],[MonthlyIncome]]&lt;6000,"3K-6K",
HR_Data[[#This Row],[MonthlyIncome]]&lt;10000,"6K-10K",
TRUE,"10K+"
)</f>
        <v>3K-6K</v>
      </c>
      <c r="AL13" t="str" cm="1">
        <f t="array" ref="AL13">_xlfn.IFS(
HR_Data[[#This Row],[YearsAtCompany]]&lt;2,"&lt;2 Years",
HR_Data[[#This Row],[YearsAtCompany]]&lt;5,"2-4 Years",
HR_Data[[#This Row],[YearsAtCompany]]&lt;10,"5-9 Years",
TRUE,"10+ Years"
)</f>
        <v>5-9 Years</v>
      </c>
      <c r="AM13" s="1">
        <f>IF(HR_Data[[#This Row],[Attrition]]="Yes",1,0)</f>
        <v>0</v>
      </c>
    </row>
    <row r="14" spans="1:39" x14ac:dyDescent="0.3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 cm="1">
        <f t="array" ref="AJ14">_xlfn.IFS(
HR_Data[[#This Row],[Age]]&lt;25,"Under 25",
HR_Data[[#This Row],[Age]]&lt;35,"25-34",
HR_Data[[#This Row],[Age]]&lt;45,"35-44",
HR_Data[[#This Row],[Age]]&lt;55,"45-54",
TRUE,"55+"
)</f>
        <v>25-34</v>
      </c>
      <c r="AK14" t="str" cm="1">
        <f t="array" ref="AK14">_xlfn.IFS(
HR_Data[[#This Row],[MonthlyIncome]]&lt;3000,"&lt;3K",
HR_Data[[#This Row],[MonthlyIncome]]&lt;6000,"3K-6K",
HR_Data[[#This Row],[MonthlyIncome]]&lt;10000,"6K-10K",
TRUE,"10K+"
)</f>
        <v>&lt;3K</v>
      </c>
      <c r="AL14" t="str" cm="1">
        <f t="array" ref="AL14">_xlfn.IFS(
HR_Data[[#This Row],[YearsAtCompany]]&lt;2,"&lt;2 Years",
HR_Data[[#This Row],[YearsAtCompany]]&lt;5,"2-4 Years",
HR_Data[[#This Row],[YearsAtCompany]]&lt;10,"5-9 Years",
TRUE,"10+ Years"
)</f>
        <v>5-9 Years</v>
      </c>
      <c r="AM14" s="1">
        <f>IF(HR_Data[[#This Row],[Attrition]]="Yes",1,0)</f>
        <v>0</v>
      </c>
    </row>
    <row r="15" spans="1:39" x14ac:dyDescent="0.3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 cm="1">
        <f t="array" ref="AJ15">_xlfn.IFS(
HR_Data[[#This Row],[Age]]&lt;25,"Under 25",
HR_Data[[#This Row],[Age]]&lt;35,"25-34",
HR_Data[[#This Row],[Age]]&lt;45,"35-44",
HR_Data[[#This Row],[Age]]&lt;55,"45-54",
TRUE,"55+"
)</f>
        <v>25-34</v>
      </c>
      <c r="AK15" t="str" cm="1">
        <f t="array" ref="AK15">_xlfn.IFS(
HR_Data[[#This Row],[MonthlyIncome]]&lt;3000,"&lt;3K",
HR_Data[[#This Row],[MonthlyIncome]]&lt;6000,"3K-6K",
HR_Data[[#This Row],[MonthlyIncome]]&lt;10000,"6K-10K",
TRUE,"10K+"
)</f>
        <v>&lt;3K</v>
      </c>
      <c r="AL15" t="str" cm="1">
        <f t="array" ref="AL15">_xlfn.IFS(
HR_Data[[#This Row],[YearsAtCompany]]&lt;2,"&lt;2 Years",
HR_Data[[#This Row],[YearsAtCompany]]&lt;5,"2-4 Years",
HR_Data[[#This Row],[YearsAtCompany]]&lt;10,"5-9 Years",
TRUE,"10+ Years"
)</f>
        <v>2-4 Years</v>
      </c>
      <c r="AM15" s="1">
        <f>IF(HR_Data[[#This Row],[Attrition]]="Yes",1,0)</f>
        <v>0</v>
      </c>
    </row>
    <row r="16" spans="1:39" x14ac:dyDescent="0.3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 cm="1">
        <f t="array" ref="AJ16">_xlfn.IFS(
HR_Data[[#This Row],[Age]]&lt;25,"Under 25",
HR_Data[[#This Row],[Age]]&lt;35,"25-34",
HR_Data[[#This Row],[Age]]&lt;45,"35-44",
HR_Data[[#This Row],[Age]]&lt;55,"45-54",
TRUE,"55+"
)</f>
        <v>25-34</v>
      </c>
      <c r="AK16" t="str" cm="1">
        <f t="array" ref="AK16">_xlfn.IFS(
HR_Data[[#This Row],[MonthlyIncome]]&lt;3000,"&lt;3K",
HR_Data[[#This Row],[MonthlyIncome]]&lt;6000,"3K-6K",
HR_Data[[#This Row],[MonthlyIncome]]&lt;10000,"6K-10K",
TRUE,"10K+"
)</f>
        <v>&lt;3K</v>
      </c>
      <c r="AL16" t="str" cm="1">
        <f t="array" ref="AL16">_xlfn.IFS(
HR_Data[[#This Row],[YearsAtCompany]]&lt;2,"&lt;2 Years",
HR_Data[[#This Row],[YearsAtCompany]]&lt;5,"2-4 Years",
HR_Data[[#This Row],[YearsAtCompany]]&lt;10,"5-9 Years",
TRUE,"10+ Years"
)</f>
        <v>2-4 Years</v>
      </c>
      <c r="AM16" s="1">
        <f>IF(HR_Data[[#This Row],[Attrition]]="Yes",1,0)</f>
        <v>1</v>
      </c>
    </row>
    <row r="17" spans="1:39" x14ac:dyDescent="0.3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 cm="1">
        <f t="array" ref="AJ17">_xlfn.IFS(
HR_Data[[#This Row],[Age]]&lt;25,"Under 25",
HR_Data[[#This Row],[Age]]&lt;35,"25-34",
HR_Data[[#This Row],[Age]]&lt;45,"35-44",
HR_Data[[#This Row],[Age]]&lt;55,"45-54",
TRUE,"55+"
)</f>
        <v>25-34</v>
      </c>
      <c r="AK17" t="str" cm="1">
        <f t="array" ref="AK17">_xlfn.IFS(
HR_Data[[#This Row],[MonthlyIncome]]&lt;3000,"&lt;3K",
HR_Data[[#This Row],[MonthlyIncome]]&lt;6000,"3K-6K",
HR_Data[[#This Row],[MonthlyIncome]]&lt;10000,"6K-10K",
TRUE,"10K+"
)</f>
        <v>6K-10K</v>
      </c>
      <c r="AL17" t="str" cm="1">
        <f t="array" ref="AL17">_xlfn.IFS(
HR_Data[[#This Row],[YearsAtCompany]]&lt;2,"&lt;2 Years",
HR_Data[[#This Row],[YearsAtCompany]]&lt;5,"2-4 Years",
HR_Data[[#This Row],[YearsAtCompany]]&lt;10,"5-9 Years",
TRUE,"10+ Years"
)</f>
        <v>10+ Years</v>
      </c>
      <c r="AM17" s="1">
        <f>IF(HR_Data[[#This Row],[Attrition]]="Yes",1,0)</f>
        <v>0</v>
      </c>
    </row>
    <row r="18" spans="1:39" x14ac:dyDescent="0.3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 cm="1">
        <f t="array" ref="AJ18">_xlfn.IFS(
HR_Data[[#This Row],[Age]]&lt;25,"Under 25",
HR_Data[[#This Row],[Age]]&lt;35,"25-34",
HR_Data[[#This Row],[Age]]&lt;45,"35-44",
HR_Data[[#This Row],[Age]]&lt;55,"45-54",
TRUE,"55+"
)</f>
        <v>25-34</v>
      </c>
      <c r="AK18" t="str" cm="1">
        <f t="array" ref="AK18">_xlfn.IFS(
HR_Data[[#This Row],[MonthlyIncome]]&lt;3000,"&lt;3K",
HR_Data[[#This Row],[MonthlyIncome]]&lt;6000,"3K-6K",
HR_Data[[#This Row],[MonthlyIncome]]&lt;10000,"6K-10K",
TRUE,"10K+"
)</f>
        <v>3K-6K</v>
      </c>
      <c r="AL18" t="str" cm="1">
        <f t="array" ref="AL18">_xlfn.IFS(
HR_Data[[#This Row],[YearsAtCompany]]&lt;2,"&lt;2 Years",
HR_Data[[#This Row],[YearsAtCompany]]&lt;5,"2-4 Years",
HR_Data[[#This Row],[YearsAtCompany]]&lt;10,"5-9 Years",
TRUE,"10+ Years"
)</f>
        <v>5-9 Years</v>
      </c>
      <c r="AM18" s="1">
        <f>IF(HR_Data[[#This Row],[Attrition]]="Yes",1,0)</f>
        <v>0</v>
      </c>
    </row>
    <row r="19" spans="1:39" x14ac:dyDescent="0.3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 cm="1">
        <f t="array" ref="AJ19">_xlfn.IFS(
HR_Data[[#This Row],[Age]]&lt;25,"Under 25",
HR_Data[[#This Row],[Age]]&lt;35,"25-34",
HR_Data[[#This Row],[Age]]&lt;45,"35-44",
HR_Data[[#This Row],[Age]]&lt;55,"45-54",
TRUE,"55+"
)</f>
        <v>Under 25</v>
      </c>
      <c r="AK19" t="str" cm="1">
        <f t="array" ref="AK19">_xlfn.IFS(
HR_Data[[#This Row],[MonthlyIncome]]&lt;3000,"&lt;3K",
HR_Data[[#This Row],[MonthlyIncome]]&lt;6000,"3K-6K",
HR_Data[[#This Row],[MonthlyIncome]]&lt;10000,"6K-10K",
TRUE,"10K+"
)</f>
        <v>&lt;3K</v>
      </c>
      <c r="AL19" t="str" cm="1">
        <f t="array" ref="AL19">_xlfn.IFS(
HR_Data[[#This Row],[YearsAtCompany]]&lt;2,"&lt;2 Years",
HR_Data[[#This Row],[YearsAtCompany]]&lt;5,"2-4 Years",
HR_Data[[#This Row],[YearsAtCompany]]&lt;10,"5-9 Years",
TRUE,"10+ Years"
)</f>
        <v>&lt;2 Years</v>
      </c>
      <c r="AM19" s="1">
        <f>IF(HR_Data[[#This Row],[Attrition]]="Yes",1,0)</f>
        <v>0</v>
      </c>
    </row>
    <row r="20" spans="1:39" x14ac:dyDescent="0.3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 cm="1">
        <f t="array" ref="AJ20">_xlfn.IFS(
HR_Data[[#This Row],[Age]]&lt;25,"Under 25",
HR_Data[[#This Row],[Age]]&lt;35,"25-34",
HR_Data[[#This Row],[Age]]&lt;45,"35-44",
HR_Data[[#This Row],[Age]]&lt;55,"45-54",
TRUE,"55+"
)</f>
        <v>45-54</v>
      </c>
      <c r="AK20" t="str" cm="1">
        <f t="array" ref="AK20">_xlfn.IFS(
HR_Data[[#This Row],[MonthlyIncome]]&lt;3000,"&lt;3K",
HR_Data[[#This Row],[MonthlyIncome]]&lt;6000,"3K-6K",
HR_Data[[#This Row],[MonthlyIncome]]&lt;10000,"6K-10K",
TRUE,"10K+"
)</f>
        <v>10K+</v>
      </c>
      <c r="AL20" t="str" cm="1">
        <f t="array" ref="AL20">_xlfn.IFS(
HR_Data[[#This Row],[YearsAtCompany]]&lt;2,"&lt;2 Years",
HR_Data[[#This Row],[YearsAtCompany]]&lt;5,"2-4 Years",
HR_Data[[#This Row],[YearsAtCompany]]&lt;10,"5-9 Years",
TRUE,"10+ Years"
)</f>
        <v>10+ Years</v>
      </c>
      <c r="AM20" s="1">
        <f>IF(HR_Data[[#This Row],[Attrition]]="Yes",1,0)</f>
        <v>0</v>
      </c>
    </row>
    <row r="21" spans="1:39" x14ac:dyDescent="0.3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 cm="1">
        <f t="array" ref="AJ21">_xlfn.IFS(
HR_Data[[#This Row],[Age]]&lt;25,"Under 25",
HR_Data[[#This Row],[Age]]&lt;35,"25-34",
HR_Data[[#This Row],[Age]]&lt;45,"35-44",
HR_Data[[#This Row],[Age]]&lt;55,"45-54",
TRUE,"55+"
)</f>
        <v>35-44</v>
      </c>
      <c r="AK21" t="str" cm="1">
        <f t="array" ref="AK21">_xlfn.IFS(
HR_Data[[#This Row],[MonthlyIncome]]&lt;3000,"&lt;3K",
HR_Data[[#This Row],[MonthlyIncome]]&lt;6000,"3K-6K",
HR_Data[[#This Row],[MonthlyIncome]]&lt;10000,"6K-10K",
TRUE,"10K+"
)</f>
        <v>3K-6K</v>
      </c>
      <c r="AL21" t="str" cm="1">
        <f t="array" ref="AL21">_xlfn.IFS(
HR_Data[[#This Row],[YearsAtCompany]]&lt;2,"&lt;2 Years",
HR_Data[[#This Row],[YearsAtCompany]]&lt;5,"2-4 Years",
HR_Data[[#This Row],[YearsAtCompany]]&lt;10,"5-9 Years",
TRUE,"10+ Years"
)</f>
        <v>2-4 Years</v>
      </c>
      <c r="AM21" s="1">
        <f>IF(HR_Data[[#This Row],[Attrition]]="Yes",1,0)</f>
        <v>0</v>
      </c>
    </row>
    <row r="22" spans="1:39" x14ac:dyDescent="0.3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 cm="1">
        <f t="array" ref="AJ22">_xlfn.IFS(
HR_Data[[#This Row],[Age]]&lt;25,"Under 25",
HR_Data[[#This Row],[Age]]&lt;35,"25-34",
HR_Data[[#This Row],[Age]]&lt;45,"35-44",
HR_Data[[#This Row],[Age]]&lt;55,"45-54",
TRUE,"55+"
)</f>
        <v>Under 25</v>
      </c>
      <c r="AK22" t="str" cm="1">
        <f t="array" ref="AK22">_xlfn.IFS(
HR_Data[[#This Row],[MonthlyIncome]]&lt;3000,"&lt;3K",
HR_Data[[#This Row],[MonthlyIncome]]&lt;6000,"3K-6K",
HR_Data[[#This Row],[MonthlyIncome]]&lt;10000,"6K-10K",
TRUE,"10K+"
)</f>
        <v>3K-6K</v>
      </c>
      <c r="AL22" t="str" cm="1">
        <f t="array" ref="AL22">_xlfn.IFS(
HR_Data[[#This Row],[YearsAtCompany]]&lt;2,"&lt;2 Years",
HR_Data[[#This Row],[YearsAtCompany]]&lt;5,"2-4 Years",
HR_Data[[#This Row],[YearsAtCompany]]&lt;10,"5-9 Years",
TRUE,"10+ Years"
)</f>
        <v>2-4 Years</v>
      </c>
      <c r="AM22" s="1">
        <f>IF(HR_Data[[#This Row],[Attrition]]="Yes",1,0)</f>
        <v>0</v>
      </c>
    </row>
    <row r="23" spans="1:39" x14ac:dyDescent="0.3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 cm="1">
        <f t="array" ref="AJ23">_xlfn.IFS(
HR_Data[[#This Row],[Age]]&lt;25,"Under 25",
HR_Data[[#This Row],[Age]]&lt;35,"25-34",
HR_Data[[#This Row],[Age]]&lt;45,"35-44",
HR_Data[[#This Row],[Age]]&lt;55,"45-54",
TRUE,"55+"
)</f>
        <v>35-44</v>
      </c>
      <c r="AK23" t="str" cm="1">
        <f t="array" ref="AK23">_xlfn.IFS(
HR_Data[[#This Row],[MonthlyIncome]]&lt;3000,"&lt;3K",
HR_Data[[#This Row],[MonthlyIncome]]&lt;6000,"3K-6K",
HR_Data[[#This Row],[MonthlyIncome]]&lt;10000,"6K-10K",
TRUE,"10K+"
)</f>
        <v>3K-6K</v>
      </c>
      <c r="AL23" t="str" cm="1">
        <f t="array" ref="AL23">_xlfn.IFS(
HR_Data[[#This Row],[YearsAtCompany]]&lt;2,"&lt;2 Years",
HR_Data[[#This Row],[YearsAtCompany]]&lt;5,"2-4 Years",
HR_Data[[#This Row],[YearsAtCompany]]&lt;10,"5-9 Years",
TRUE,"10+ Years"
)</f>
        <v>5-9 Years</v>
      </c>
      <c r="AM23" s="1">
        <f>IF(HR_Data[[#This Row],[Attrition]]="Yes",1,0)</f>
        <v>1</v>
      </c>
    </row>
    <row r="24" spans="1:39" x14ac:dyDescent="0.3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 cm="1">
        <f t="array" ref="AJ24">_xlfn.IFS(
HR_Data[[#This Row],[Age]]&lt;25,"Under 25",
HR_Data[[#This Row],[Age]]&lt;35,"25-34",
HR_Data[[#This Row],[Age]]&lt;45,"35-44",
HR_Data[[#This Row],[Age]]&lt;55,"45-54",
TRUE,"55+"
)</f>
        <v>25-34</v>
      </c>
      <c r="AK24" t="str" cm="1">
        <f t="array" ref="AK24">_xlfn.IFS(
HR_Data[[#This Row],[MonthlyIncome]]&lt;3000,"&lt;3K",
HR_Data[[#This Row],[MonthlyIncome]]&lt;6000,"3K-6K",
HR_Data[[#This Row],[MonthlyIncome]]&lt;10000,"6K-10K",
TRUE,"10K+"
)</f>
        <v>10K+</v>
      </c>
      <c r="AL24" t="str" cm="1">
        <f t="array" ref="AL24">_xlfn.IFS(
HR_Data[[#This Row],[YearsAtCompany]]&lt;2,"&lt;2 Years",
HR_Data[[#This Row],[YearsAtCompany]]&lt;5,"2-4 Years",
HR_Data[[#This Row],[YearsAtCompany]]&lt;10,"5-9 Years",
TRUE,"10+ Years"
)</f>
        <v>10+ Years</v>
      </c>
      <c r="AM24" s="1">
        <f>IF(HR_Data[[#This Row],[Attrition]]="Yes",1,0)</f>
        <v>0</v>
      </c>
    </row>
    <row r="25" spans="1:39" x14ac:dyDescent="0.3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 cm="1">
        <f t="array" ref="AJ25">_xlfn.IFS(
HR_Data[[#This Row],[Age]]&lt;25,"Under 25",
HR_Data[[#This Row],[Age]]&lt;35,"25-34",
HR_Data[[#This Row],[Age]]&lt;45,"35-44",
HR_Data[[#This Row],[Age]]&lt;55,"45-54",
TRUE,"55+"
)</f>
        <v>Under 25</v>
      </c>
      <c r="AK25" t="str" cm="1">
        <f t="array" ref="AK25">_xlfn.IFS(
HR_Data[[#This Row],[MonthlyIncome]]&lt;3000,"&lt;3K",
HR_Data[[#This Row],[MonthlyIncome]]&lt;6000,"3K-6K",
HR_Data[[#This Row],[MonthlyIncome]]&lt;10000,"6K-10K",
TRUE,"10K+"
)</f>
        <v>&lt;3K</v>
      </c>
      <c r="AL25" t="str" cm="1">
        <f t="array" ref="AL25">_xlfn.IFS(
HR_Data[[#This Row],[YearsAtCompany]]&lt;2,"&lt;2 Years",
HR_Data[[#This Row],[YearsAtCompany]]&lt;5,"2-4 Years",
HR_Data[[#This Row],[YearsAtCompany]]&lt;10,"5-9 Years",
TRUE,"10+ Years"
)</f>
        <v>&lt;2 Years</v>
      </c>
      <c r="AM25" s="1">
        <f>IF(HR_Data[[#This Row],[Attrition]]="Yes",1,0)</f>
        <v>0</v>
      </c>
    </row>
    <row r="26" spans="1:39" x14ac:dyDescent="0.3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 cm="1">
        <f t="array" ref="AJ26">_xlfn.IFS(
HR_Data[[#This Row],[Age]]&lt;25,"Under 25",
HR_Data[[#This Row],[Age]]&lt;35,"25-34",
HR_Data[[#This Row],[Age]]&lt;45,"35-44",
HR_Data[[#This Row],[Age]]&lt;55,"45-54",
TRUE,"55+"
)</f>
        <v>25-34</v>
      </c>
      <c r="AK26" t="str" cm="1">
        <f t="array" ref="AK26">_xlfn.IFS(
HR_Data[[#This Row],[MonthlyIncome]]&lt;3000,"&lt;3K",
HR_Data[[#This Row],[MonthlyIncome]]&lt;6000,"3K-6K",
HR_Data[[#This Row],[MonthlyIncome]]&lt;10000,"6K-10K",
TRUE,"10K+"
)</f>
        <v>&lt;3K</v>
      </c>
      <c r="AL26" t="str" cm="1">
        <f t="array" ref="AL26">_xlfn.IFS(
HR_Data[[#This Row],[YearsAtCompany]]&lt;2,"&lt;2 Years",
HR_Data[[#This Row],[YearsAtCompany]]&lt;5,"2-4 Years",
HR_Data[[#This Row],[YearsAtCompany]]&lt;10,"5-9 Years",
TRUE,"10+ Years"
)</f>
        <v>2-4 Years</v>
      </c>
      <c r="AM26" s="1">
        <f>IF(HR_Data[[#This Row],[Attrition]]="Yes",1,0)</f>
        <v>1</v>
      </c>
    </row>
    <row r="27" spans="1:39" x14ac:dyDescent="0.3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 cm="1">
        <f t="array" ref="AJ27">_xlfn.IFS(
HR_Data[[#This Row],[Age]]&lt;25,"Under 25",
HR_Data[[#This Row],[Age]]&lt;35,"25-34",
HR_Data[[#This Row],[Age]]&lt;45,"35-44",
HR_Data[[#This Row],[Age]]&lt;55,"45-54",
TRUE,"55+"
)</f>
        <v>45-54</v>
      </c>
      <c r="AK27" t="str" cm="1">
        <f t="array" ref="AK27">_xlfn.IFS(
HR_Data[[#This Row],[MonthlyIncome]]&lt;3000,"&lt;3K",
HR_Data[[#This Row],[MonthlyIncome]]&lt;6000,"3K-6K",
HR_Data[[#This Row],[MonthlyIncome]]&lt;10000,"6K-10K",
TRUE,"10K+"
)</f>
        <v>10K+</v>
      </c>
      <c r="AL27" t="str" cm="1">
        <f t="array" ref="AL27">_xlfn.IFS(
HR_Data[[#This Row],[YearsAtCompany]]&lt;2,"&lt;2 Years",
HR_Data[[#This Row],[YearsAtCompany]]&lt;5,"2-4 Years",
HR_Data[[#This Row],[YearsAtCompany]]&lt;10,"5-9 Years",
TRUE,"10+ Years"
)</f>
        <v>10+ Years</v>
      </c>
      <c r="AM27" s="1">
        <f>IF(HR_Data[[#This Row],[Attrition]]="Yes",1,0)</f>
        <v>0</v>
      </c>
    </row>
    <row r="28" spans="1:39" x14ac:dyDescent="0.3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 cm="1">
        <f t="array" ref="AJ28">_xlfn.IFS(
HR_Data[[#This Row],[Age]]&lt;25,"Under 25",
HR_Data[[#This Row],[Age]]&lt;35,"25-34",
HR_Data[[#This Row],[Age]]&lt;45,"35-44",
HR_Data[[#This Row],[Age]]&lt;55,"45-54",
TRUE,"55+"
)</f>
        <v>25-34</v>
      </c>
      <c r="AK28" t="str" cm="1">
        <f t="array" ref="AK28">_xlfn.IFS(
HR_Data[[#This Row],[MonthlyIncome]]&lt;3000,"&lt;3K",
HR_Data[[#This Row],[MonthlyIncome]]&lt;6000,"3K-6K",
HR_Data[[#This Row],[MonthlyIncome]]&lt;10000,"6K-10K",
TRUE,"10K+"
)</f>
        <v>3K-6K</v>
      </c>
      <c r="AL28" t="str" cm="1">
        <f t="array" ref="AL28">_xlfn.IFS(
HR_Data[[#This Row],[YearsAtCompany]]&lt;2,"&lt;2 Years",
HR_Data[[#This Row],[YearsAtCompany]]&lt;5,"2-4 Years",
HR_Data[[#This Row],[YearsAtCompany]]&lt;10,"5-9 Years",
TRUE,"10+ Years"
)</f>
        <v>10+ Years</v>
      </c>
      <c r="AM28" s="1">
        <f>IF(HR_Data[[#This Row],[Attrition]]="Yes",1,0)</f>
        <v>1</v>
      </c>
    </row>
    <row r="29" spans="1:39" x14ac:dyDescent="0.3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 cm="1">
        <f t="array" ref="AJ29">_xlfn.IFS(
HR_Data[[#This Row],[Age]]&lt;25,"Under 25",
HR_Data[[#This Row],[Age]]&lt;35,"25-34",
HR_Data[[#This Row],[Age]]&lt;45,"35-44",
HR_Data[[#This Row],[Age]]&lt;55,"45-54",
TRUE,"55+"
)</f>
        <v>35-44</v>
      </c>
      <c r="AK29" t="str" cm="1">
        <f t="array" ref="AK29">_xlfn.IFS(
HR_Data[[#This Row],[MonthlyIncome]]&lt;3000,"&lt;3K",
HR_Data[[#This Row],[MonthlyIncome]]&lt;6000,"3K-6K",
HR_Data[[#This Row],[MonthlyIncome]]&lt;10000,"6K-10K",
TRUE,"10K+"
)</f>
        <v>6K-10K</v>
      </c>
      <c r="AL29" t="str" cm="1">
        <f t="array" ref="AL29">_xlfn.IFS(
HR_Data[[#This Row],[YearsAtCompany]]&lt;2,"&lt;2 Years",
HR_Data[[#This Row],[YearsAtCompany]]&lt;5,"2-4 Years",
HR_Data[[#This Row],[YearsAtCompany]]&lt;10,"5-9 Years",
TRUE,"10+ Years"
)</f>
        <v>5-9 Years</v>
      </c>
      <c r="AM29" s="1">
        <f>IF(HR_Data[[#This Row],[Attrition]]="Yes",1,0)</f>
        <v>0</v>
      </c>
    </row>
    <row r="30" spans="1:39" x14ac:dyDescent="0.3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 cm="1">
        <f t="array" ref="AJ30">_xlfn.IFS(
HR_Data[[#This Row],[Age]]&lt;25,"Under 25",
HR_Data[[#This Row],[Age]]&lt;35,"25-34",
HR_Data[[#This Row],[Age]]&lt;45,"35-44",
HR_Data[[#This Row],[Age]]&lt;55,"45-54",
TRUE,"55+"
)</f>
        <v>35-44</v>
      </c>
      <c r="AK30" t="str" cm="1">
        <f t="array" ref="AK30">_xlfn.IFS(
HR_Data[[#This Row],[MonthlyIncome]]&lt;3000,"&lt;3K",
HR_Data[[#This Row],[MonthlyIncome]]&lt;6000,"3K-6K",
HR_Data[[#This Row],[MonthlyIncome]]&lt;10000,"6K-10K",
TRUE,"10K+"
)</f>
        <v>10K+</v>
      </c>
      <c r="AL30" t="str" cm="1">
        <f t="array" ref="AL30">_xlfn.IFS(
HR_Data[[#This Row],[YearsAtCompany]]&lt;2,"&lt;2 Years",
HR_Data[[#This Row],[YearsAtCompany]]&lt;5,"2-4 Years",
HR_Data[[#This Row],[YearsAtCompany]]&lt;10,"5-9 Years",
TRUE,"10+ Years"
)</f>
        <v>10+ Years</v>
      </c>
      <c r="AM30" s="1">
        <f>IF(HR_Data[[#This Row],[Attrition]]="Yes",1,0)</f>
        <v>0</v>
      </c>
    </row>
    <row r="31" spans="1:39" x14ac:dyDescent="0.3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 cm="1">
        <f t="array" ref="AJ31">_xlfn.IFS(
HR_Data[[#This Row],[Age]]&lt;25,"Under 25",
HR_Data[[#This Row],[Age]]&lt;35,"25-34",
HR_Data[[#This Row],[Age]]&lt;45,"35-44",
HR_Data[[#This Row],[Age]]&lt;55,"45-54",
TRUE,"55+"
)</f>
        <v>45-54</v>
      </c>
      <c r="AK31" t="str" cm="1">
        <f t="array" ref="AK31">_xlfn.IFS(
HR_Data[[#This Row],[MonthlyIncome]]&lt;3000,"&lt;3K",
HR_Data[[#This Row],[MonthlyIncome]]&lt;6000,"3K-6K",
HR_Data[[#This Row],[MonthlyIncome]]&lt;10000,"6K-10K",
TRUE,"10K+"
)</f>
        <v>10K+</v>
      </c>
      <c r="AL31" t="str" cm="1">
        <f t="array" ref="AL31">_xlfn.IFS(
HR_Data[[#This Row],[YearsAtCompany]]&lt;2,"&lt;2 Years",
HR_Data[[#This Row],[YearsAtCompany]]&lt;5,"2-4 Years",
HR_Data[[#This Row],[YearsAtCompany]]&lt;10,"5-9 Years",
TRUE,"10+ Years"
)</f>
        <v>2-4 Years</v>
      </c>
      <c r="AM31" s="1">
        <f>IF(HR_Data[[#This Row],[Attrition]]="Yes",1,0)</f>
        <v>0</v>
      </c>
    </row>
    <row r="32" spans="1:39" x14ac:dyDescent="0.3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 cm="1">
        <f t="array" ref="AJ32">_xlfn.IFS(
HR_Data[[#This Row],[Age]]&lt;25,"Under 25",
HR_Data[[#This Row],[Age]]&lt;35,"25-34",
HR_Data[[#This Row],[Age]]&lt;45,"35-44",
HR_Data[[#This Row],[Age]]&lt;55,"45-54",
TRUE,"55+"
)</f>
        <v>25-34</v>
      </c>
      <c r="AK32" t="str" cm="1">
        <f t="array" ref="AK32">_xlfn.IFS(
HR_Data[[#This Row],[MonthlyIncome]]&lt;3000,"&lt;3K",
HR_Data[[#This Row],[MonthlyIncome]]&lt;6000,"3K-6K",
HR_Data[[#This Row],[MonthlyIncome]]&lt;10000,"6K-10K",
TRUE,"10K+"
)</f>
        <v>&lt;3K</v>
      </c>
      <c r="AL32" t="str" cm="1">
        <f t="array" ref="AL32">_xlfn.IFS(
HR_Data[[#This Row],[YearsAtCompany]]&lt;2,"&lt;2 Years",
HR_Data[[#This Row],[YearsAtCompany]]&lt;5,"2-4 Years",
HR_Data[[#This Row],[YearsAtCompany]]&lt;10,"5-9 Years",
TRUE,"10+ Years"
)</f>
        <v>&lt;2 Years</v>
      </c>
      <c r="AM32" s="1">
        <f>IF(HR_Data[[#This Row],[Attrition]]="Yes",1,0)</f>
        <v>0</v>
      </c>
    </row>
    <row r="33" spans="1:39" x14ac:dyDescent="0.3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 cm="1">
        <f t="array" ref="AJ33">_xlfn.IFS(
HR_Data[[#This Row],[Age]]&lt;25,"Under 25",
HR_Data[[#This Row],[Age]]&lt;35,"25-34",
HR_Data[[#This Row],[Age]]&lt;45,"35-44",
HR_Data[[#This Row],[Age]]&lt;55,"45-54",
TRUE,"55+"
)</f>
        <v>35-44</v>
      </c>
      <c r="AK33" t="str" cm="1">
        <f t="array" ref="AK33">_xlfn.IFS(
HR_Data[[#This Row],[MonthlyIncome]]&lt;3000,"&lt;3K",
HR_Data[[#This Row],[MonthlyIncome]]&lt;6000,"3K-6K",
HR_Data[[#This Row],[MonthlyIncome]]&lt;10000,"6K-10K",
TRUE,"10K+"
)</f>
        <v>6K-10K</v>
      </c>
      <c r="AL33" t="str" cm="1">
        <f t="array" ref="AL33">_xlfn.IFS(
HR_Data[[#This Row],[YearsAtCompany]]&lt;2,"&lt;2 Years",
HR_Data[[#This Row],[YearsAtCompany]]&lt;5,"2-4 Years",
HR_Data[[#This Row],[YearsAtCompany]]&lt;10,"5-9 Years",
TRUE,"10+ Years"
)</f>
        <v>2-4 Years</v>
      </c>
      <c r="AM33" s="1">
        <f>IF(HR_Data[[#This Row],[Attrition]]="Yes",1,0)</f>
        <v>0</v>
      </c>
    </row>
    <row r="34" spans="1:39" x14ac:dyDescent="0.3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 cm="1">
        <f t="array" ref="AJ34">_xlfn.IFS(
HR_Data[[#This Row],[Age]]&lt;25,"Under 25",
HR_Data[[#This Row],[Age]]&lt;35,"25-34",
HR_Data[[#This Row],[Age]]&lt;45,"35-44",
HR_Data[[#This Row],[Age]]&lt;55,"45-54",
TRUE,"55+"
)</f>
        <v>25-34</v>
      </c>
      <c r="AK34" t="str" cm="1">
        <f t="array" ref="AK34">_xlfn.IFS(
HR_Data[[#This Row],[MonthlyIncome]]&lt;3000,"&lt;3K",
HR_Data[[#This Row],[MonthlyIncome]]&lt;6000,"3K-6K",
HR_Data[[#This Row],[MonthlyIncome]]&lt;10000,"6K-10K",
TRUE,"10K+"
)</f>
        <v>&lt;3K</v>
      </c>
      <c r="AL34" t="str" cm="1">
        <f t="array" ref="AL34">_xlfn.IFS(
HR_Data[[#This Row],[YearsAtCompany]]&lt;2,"&lt;2 Years",
HR_Data[[#This Row],[YearsAtCompany]]&lt;5,"2-4 Years",
HR_Data[[#This Row],[YearsAtCompany]]&lt;10,"5-9 Years",
TRUE,"10+ Years"
)</f>
        <v>10+ Years</v>
      </c>
      <c r="AM34" s="1">
        <f>IF(HR_Data[[#This Row],[Attrition]]="Yes",1,0)</f>
        <v>0</v>
      </c>
    </row>
    <row r="35" spans="1:39" x14ac:dyDescent="0.3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 cm="1">
        <f t="array" ref="AJ35">_xlfn.IFS(
HR_Data[[#This Row],[Age]]&lt;25,"Under 25",
HR_Data[[#This Row],[Age]]&lt;35,"25-34",
HR_Data[[#This Row],[Age]]&lt;45,"35-44",
HR_Data[[#This Row],[Age]]&lt;55,"45-54",
TRUE,"55+"
)</f>
        <v>35-44</v>
      </c>
      <c r="AK35" t="str" cm="1">
        <f t="array" ref="AK35">_xlfn.IFS(
HR_Data[[#This Row],[MonthlyIncome]]&lt;3000,"&lt;3K",
HR_Data[[#This Row],[MonthlyIncome]]&lt;6000,"3K-6K",
HR_Data[[#This Row],[MonthlyIncome]]&lt;10000,"6K-10K",
TRUE,"10K+"
)</f>
        <v>&lt;3K</v>
      </c>
      <c r="AL35" t="str" cm="1">
        <f t="array" ref="AL35">_xlfn.IFS(
HR_Data[[#This Row],[YearsAtCompany]]&lt;2,"&lt;2 Years",
HR_Data[[#This Row],[YearsAtCompany]]&lt;5,"2-4 Years",
HR_Data[[#This Row],[YearsAtCompany]]&lt;10,"5-9 Years",
TRUE,"10+ Years"
)</f>
        <v>&lt;2 Years</v>
      </c>
      <c r="AM35" s="1">
        <f>IF(HR_Data[[#This Row],[Attrition]]="Yes",1,0)</f>
        <v>1</v>
      </c>
    </row>
    <row r="36" spans="1:39" x14ac:dyDescent="0.3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 cm="1">
        <f t="array" ref="AJ36">_xlfn.IFS(
HR_Data[[#This Row],[Age]]&lt;25,"Under 25",
HR_Data[[#This Row],[Age]]&lt;35,"25-34",
HR_Data[[#This Row],[Age]]&lt;45,"35-44",
HR_Data[[#This Row],[Age]]&lt;55,"45-54",
TRUE,"55+"
)</f>
        <v>Under 25</v>
      </c>
      <c r="AK36" t="str" cm="1">
        <f t="array" ref="AK36">_xlfn.IFS(
HR_Data[[#This Row],[MonthlyIncome]]&lt;3000,"&lt;3K",
HR_Data[[#This Row],[MonthlyIncome]]&lt;6000,"3K-6K",
HR_Data[[#This Row],[MonthlyIncome]]&lt;10000,"6K-10K",
TRUE,"10K+"
)</f>
        <v>&lt;3K</v>
      </c>
      <c r="AL36" t="str" cm="1">
        <f t="array" ref="AL36">_xlfn.IFS(
HR_Data[[#This Row],[YearsAtCompany]]&lt;2,"&lt;2 Years",
HR_Data[[#This Row],[YearsAtCompany]]&lt;5,"2-4 Years",
HR_Data[[#This Row],[YearsAtCompany]]&lt;10,"5-9 Years",
TRUE,"10+ Years"
)</f>
        <v>2-4 Years</v>
      </c>
      <c r="AM36" s="1">
        <f>IF(HR_Data[[#This Row],[Attrition]]="Yes",1,0)</f>
        <v>1</v>
      </c>
    </row>
    <row r="37" spans="1:39" x14ac:dyDescent="0.3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 cm="1">
        <f t="array" ref="AJ37">_xlfn.IFS(
HR_Data[[#This Row],[Age]]&lt;25,"Under 25",
HR_Data[[#This Row],[Age]]&lt;35,"25-34",
HR_Data[[#This Row],[Age]]&lt;45,"35-44",
HR_Data[[#This Row],[Age]]&lt;55,"45-54",
TRUE,"55+"
)</f>
        <v>35-44</v>
      </c>
      <c r="AK37" t="str" cm="1">
        <f t="array" ref="AK37">_xlfn.IFS(
HR_Data[[#This Row],[MonthlyIncome]]&lt;3000,"&lt;3K",
HR_Data[[#This Row],[MonthlyIncome]]&lt;6000,"3K-6K",
HR_Data[[#This Row],[MonthlyIncome]]&lt;10000,"6K-10K",
TRUE,"10K+"
)</f>
        <v>&lt;3K</v>
      </c>
      <c r="AL37" t="str" cm="1">
        <f t="array" ref="AL37">_xlfn.IFS(
HR_Data[[#This Row],[YearsAtCompany]]&lt;2,"&lt;2 Years",
HR_Data[[#This Row],[YearsAtCompany]]&lt;5,"2-4 Years",
HR_Data[[#This Row],[YearsAtCompany]]&lt;10,"5-9 Years",
TRUE,"10+ Years"
)</f>
        <v>5-9 Years</v>
      </c>
      <c r="AM37" s="1">
        <f>IF(HR_Data[[#This Row],[Attrition]]="Yes",1,0)</f>
        <v>0</v>
      </c>
    </row>
    <row r="38" spans="1:39" x14ac:dyDescent="0.3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 cm="1">
        <f t="array" ref="AJ38">_xlfn.IFS(
HR_Data[[#This Row],[Age]]&lt;25,"Under 25",
HR_Data[[#This Row],[Age]]&lt;35,"25-34",
HR_Data[[#This Row],[Age]]&lt;45,"35-44",
HR_Data[[#This Row],[Age]]&lt;55,"45-54",
TRUE,"55+"
)</f>
        <v>45-54</v>
      </c>
      <c r="AK38" t="str" cm="1">
        <f t="array" ref="AK38">_xlfn.IFS(
HR_Data[[#This Row],[MonthlyIncome]]&lt;3000,"&lt;3K",
HR_Data[[#This Row],[MonthlyIncome]]&lt;6000,"3K-6K",
HR_Data[[#This Row],[MonthlyIncome]]&lt;10000,"6K-10K",
TRUE,"10K+"
)</f>
        <v>&lt;3K</v>
      </c>
      <c r="AL38" t="str" cm="1">
        <f t="array" ref="AL38">_xlfn.IFS(
HR_Data[[#This Row],[YearsAtCompany]]&lt;2,"&lt;2 Years",
HR_Data[[#This Row],[YearsAtCompany]]&lt;5,"2-4 Years",
HR_Data[[#This Row],[YearsAtCompany]]&lt;10,"5-9 Years",
TRUE,"10+ Years"
)</f>
        <v>2-4 Years</v>
      </c>
      <c r="AM38" s="1">
        <f>IF(HR_Data[[#This Row],[Attrition]]="Yes",1,0)</f>
        <v>1</v>
      </c>
    </row>
    <row r="39" spans="1:39" x14ac:dyDescent="0.3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 cm="1">
        <f t="array" ref="AJ39">_xlfn.IFS(
HR_Data[[#This Row],[Age]]&lt;25,"Under 25",
HR_Data[[#This Row],[Age]]&lt;35,"25-34",
HR_Data[[#This Row],[Age]]&lt;45,"35-44",
HR_Data[[#This Row],[Age]]&lt;55,"45-54",
TRUE,"55+"
)</f>
        <v>35-44</v>
      </c>
      <c r="AK39" t="str" cm="1">
        <f t="array" ref="AK39">_xlfn.IFS(
HR_Data[[#This Row],[MonthlyIncome]]&lt;3000,"&lt;3K",
HR_Data[[#This Row],[MonthlyIncome]]&lt;6000,"3K-6K",
HR_Data[[#This Row],[MonthlyIncome]]&lt;10000,"6K-10K",
TRUE,"10K+"
)</f>
        <v>&lt;3K</v>
      </c>
      <c r="AL39" t="str" cm="1">
        <f t="array" ref="AL39">_xlfn.IFS(
HR_Data[[#This Row],[YearsAtCompany]]&lt;2,"&lt;2 Years",
HR_Data[[#This Row],[YearsAtCompany]]&lt;5,"2-4 Years",
HR_Data[[#This Row],[YearsAtCompany]]&lt;10,"5-9 Years",
TRUE,"10+ Years"
)</f>
        <v>2-4 Years</v>
      </c>
      <c r="AM39" s="1">
        <f>IF(HR_Data[[#This Row],[Attrition]]="Yes",1,0)</f>
        <v>0</v>
      </c>
    </row>
    <row r="40" spans="1:39" x14ac:dyDescent="0.3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 cm="1">
        <f t="array" ref="AJ40">_xlfn.IFS(
HR_Data[[#This Row],[Age]]&lt;25,"Under 25",
HR_Data[[#This Row],[Age]]&lt;35,"25-34",
HR_Data[[#This Row],[Age]]&lt;45,"35-44",
HR_Data[[#This Row],[Age]]&lt;55,"45-54",
TRUE,"55+"
)</f>
        <v>35-44</v>
      </c>
      <c r="AK40" t="str" cm="1">
        <f t="array" ref="AK40">_xlfn.IFS(
HR_Data[[#This Row],[MonthlyIncome]]&lt;3000,"&lt;3K",
HR_Data[[#This Row],[MonthlyIncome]]&lt;6000,"3K-6K",
HR_Data[[#This Row],[MonthlyIncome]]&lt;10000,"6K-10K",
TRUE,"10K+"
)</f>
        <v>3K-6K</v>
      </c>
      <c r="AL40" t="str" cm="1">
        <f t="array" ref="AL40">_xlfn.IFS(
HR_Data[[#This Row],[YearsAtCompany]]&lt;2,"&lt;2 Years",
HR_Data[[#This Row],[YearsAtCompany]]&lt;5,"2-4 Years",
HR_Data[[#This Row],[YearsAtCompany]]&lt;10,"5-9 Years",
TRUE,"10+ Years"
)</f>
        <v>&lt;2 Years</v>
      </c>
      <c r="AM40" s="1">
        <f>IF(HR_Data[[#This Row],[Attrition]]="Yes",1,0)</f>
        <v>0</v>
      </c>
    </row>
    <row r="41" spans="1:39" x14ac:dyDescent="0.3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 cm="1">
        <f t="array" ref="AJ41">_xlfn.IFS(
HR_Data[[#This Row],[Age]]&lt;25,"Under 25",
HR_Data[[#This Row],[Age]]&lt;35,"25-34",
HR_Data[[#This Row],[Age]]&lt;45,"35-44",
HR_Data[[#This Row],[Age]]&lt;55,"45-54",
TRUE,"55+"
)</f>
        <v>25-34</v>
      </c>
      <c r="AK41" t="str" cm="1">
        <f t="array" ref="AK41">_xlfn.IFS(
HR_Data[[#This Row],[MonthlyIncome]]&lt;3000,"&lt;3K",
HR_Data[[#This Row],[MonthlyIncome]]&lt;6000,"3K-6K",
HR_Data[[#This Row],[MonthlyIncome]]&lt;10000,"6K-10K",
TRUE,"10K+"
)</f>
        <v>3K-6K</v>
      </c>
      <c r="AL41" t="str" cm="1">
        <f t="array" ref="AL41">_xlfn.IFS(
HR_Data[[#This Row],[YearsAtCompany]]&lt;2,"&lt;2 Years",
HR_Data[[#This Row],[YearsAtCompany]]&lt;5,"2-4 Years",
HR_Data[[#This Row],[YearsAtCompany]]&lt;10,"5-9 Years",
TRUE,"10+ Years"
)</f>
        <v>5-9 Years</v>
      </c>
      <c r="AM41" s="1">
        <f>IF(HR_Data[[#This Row],[Attrition]]="Yes",1,0)</f>
        <v>0</v>
      </c>
    </row>
    <row r="42" spans="1:39" x14ac:dyDescent="0.3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 cm="1">
        <f t="array" ref="AJ42">_xlfn.IFS(
HR_Data[[#This Row],[Age]]&lt;25,"Under 25",
HR_Data[[#This Row],[Age]]&lt;35,"25-34",
HR_Data[[#This Row],[Age]]&lt;45,"35-44",
HR_Data[[#This Row],[Age]]&lt;55,"45-54",
TRUE,"55+"
)</f>
        <v>35-44</v>
      </c>
      <c r="AK42" t="str" cm="1">
        <f t="array" ref="AK42">_xlfn.IFS(
HR_Data[[#This Row],[MonthlyIncome]]&lt;3000,"&lt;3K",
HR_Data[[#This Row],[MonthlyIncome]]&lt;6000,"3K-6K",
HR_Data[[#This Row],[MonthlyIncome]]&lt;10000,"6K-10K",
TRUE,"10K+"
)</f>
        <v>&lt;3K</v>
      </c>
      <c r="AL42" t="str" cm="1">
        <f t="array" ref="AL42">_xlfn.IFS(
HR_Data[[#This Row],[YearsAtCompany]]&lt;2,"&lt;2 Years",
HR_Data[[#This Row],[YearsAtCompany]]&lt;5,"2-4 Years",
HR_Data[[#This Row],[YearsAtCompany]]&lt;10,"5-9 Years",
TRUE,"10+ Years"
)</f>
        <v>&lt;2 Years</v>
      </c>
      <c r="AM42" s="1">
        <f>IF(HR_Data[[#This Row],[Attrition]]="Yes",1,0)</f>
        <v>0</v>
      </c>
    </row>
    <row r="43" spans="1:39" x14ac:dyDescent="0.3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 cm="1">
        <f t="array" ref="AJ43">_xlfn.IFS(
HR_Data[[#This Row],[Age]]&lt;25,"Under 25",
HR_Data[[#This Row],[Age]]&lt;35,"25-34",
HR_Data[[#This Row],[Age]]&lt;45,"35-44",
HR_Data[[#This Row],[Age]]&lt;55,"45-54",
TRUE,"55+"
)</f>
        <v>25-34</v>
      </c>
      <c r="AK43" t="str" cm="1">
        <f t="array" ref="AK43">_xlfn.IFS(
HR_Data[[#This Row],[MonthlyIncome]]&lt;3000,"&lt;3K",
HR_Data[[#This Row],[MonthlyIncome]]&lt;6000,"3K-6K",
HR_Data[[#This Row],[MonthlyIncome]]&lt;10000,"6K-10K",
TRUE,"10K+"
)</f>
        <v>&lt;3K</v>
      </c>
      <c r="AL43" t="str" cm="1">
        <f t="array" ref="AL43">_xlfn.IFS(
HR_Data[[#This Row],[YearsAtCompany]]&lt;2,"&lt;2 Years",
HR_Data[[#This Row],[YearsAtCompany]]&lt;5,"2-4 Years",
HR_Data[[#This Row],[YearsAtCompany]]&lt;10,"5-9 Years",
TRUE,"10+ Years"
)</f>
        <v>&lt;2 Years</v>
      </c>
      <c r="AM43" s="1">
        <f>IF(HR_Data[[#This Row],[Attrition]]="Yes",1,0)</f>
        <v>0</v>
      </c>
    </row>
    <row r="44" spans="1:39" x14ac:dyDescent="0.3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 cm="1">
        <f t="array" ref="AJ44">_xlfn.IFS(
HR_Data[[#This Row],[Age]]&lt;25,"Under 25",
HR_Data[[#This Row],[Age]]&lt;35,"25-34",
HR_Data[[#This Row],[Age]]&lt;45,"35-44",
HR_Data[[#This Row],[Age]]&lt;55,"45-54",
TRUE,"55+"
)</f>
        <v>25-34</v>
      </c>
      <c r="AK44" t="str" cm="1">
        <f t="array" ref="AK44">_xlfn.IFS(
HR_Data[[#This Row],[MonthlyIncome]]&lt;3000,"&lt;3K",
HR_Data[[#This Row],[MonthlyIncome]]&lt;6000,"3K-6K",
HR_Data[[#This Row],[MonthlyIncome]]&lt;10000,"6K-10K",
TRUE,"10K+"
)</f>
        <v>&lt;3K</v>
      </c>
      <c r="AL44" t="str" cm="1">
        <f t="array" ref="AL44">_xlfn.IFS(
HR_Data[[#This Row],[YearsAtCompany]]&lt;2,"&lt;2 Years",
HR_Data[[#This Row],[YearsAtCompany]]&lt;5,"2-4 Years",
HR_Data[[#This Row],[YearsAtCompany]]&lt;10,"5-9 Years",
TRUE,"10+ Years"
)</f>
        <v>&lt;2 Years</v>
      </c>
      <c r="AM44" s="1">
        <f>IF(HR_Data[[#This Row],[Attrition]]="Yes",1,0)</f>
        <v>1</v>
      </c>
    </row>
    <row r="45" spans="1:39" x14ac:dyDescent="0.3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 cm="1">
        <f t="array" ref="AJ45">_xlfn.IFS(
HR_Data[[#This Row],[Age]]&lt;25,"Under 25",
HR_Data[[#This Row],[Age]]&lt;35,"25-34",
HR_Data[[#This Row],[Age]]&lt;45,"35-44",
HR_Data[[#This Row],[Age]]&lt;55,"45-54",
TRUE,"55+"
)</f>
        <v>25-34</v>
      </c>
      <c r="AK45" t="str" cm="1">
        <f t="array" ref="AK45">_xlfn.IFS(
HR_Data[[#This Row],[MonthlyIncome]]&lt;3000,"&lt;3K",
HR_Data[[#This Row],[MonthlyIncome]]&lt;6000,"3K-6K",
HR_Data[[#This Row],[MonthlyIncome]]&lt;10000,"6K-10K",
TRUE,"10K+"
)</f>
        <v>6K-10K</v>
      </c>
      <c r="AL45" t="str" cm="1">
        <f t="array" ref="AL45">_xlfn.IFS(
HR_Data[[#This Row],[YearsAtCompany]]&lt;2,"&lt;2 Years",
HR_Data[[#This Row],[YearsAtCompany]]&lt;5,"2-4 Years",
HR_Data[[#This Row],[YearsAtCompany]]&lt;10,"5-9 Years",
TRUE,"10+ Years"
)</f>
        <v>5-9 Years</v>
      </c>
      <c r="AM45" s="1">
        <f>IF(HR_Data[[#This Row],[Attrition]]="Yes",1,0)</f>
        <v>0</v>
      </c>
    </row>
    <row r="46" spans="1:39" x14ac:dyDescent="0.3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 cm="1">
        <f t="array" ref="AJ46">_xlfn.IFS(
HR_Data[[#This Row],[Age]]&lt;25,"Under 25",
HR_Data[[#This Row],[Age]]&lt;35,"25-34",
HR_Data[[#This Row],[Age]]&lt;45,"35-44",
HR_Data[[#This Row],[Age]]&lt;55,"45-54",
TRUE,"55+"
)</f>
        <v>25-34</v>
      </c>
      <c r="AK46" t="str" cm="1">
        <f t="array" ref="AK46">_xlfn.IFS(
HR_Data[[#This Row],[MonthlyIncome]]&lt;3000,"&lt;3K",
HR_Data[[#This Row],[MonthlyIncome]]&lt;6000,"3K-6K",
HR_Data[[#This Row],[MonthlyIncome]]&lt;10000,"6K-10K",
TRUE,"10K+"
)</f>
        <v>3K-6K</v>
      </c>
      <c r="AL46" t="str" cm="1">
        <f t="array" ref="AL46">_xlfn.IFS(
HR_Data[[#This Row],[YearsAtCompany]]&lt;2,"&lt;2 Years",
HR_Data[[#This Row],[YearsAtCompany]]&lt;5,"2-4 Years",
HR_Data[[#This Row],[YearsAtCompany]]&lt;10,"5-9 Years",
TRUE,"10+ Years"
)</f>
        <v>10+ Years</v>
      </c>
      <c r="AM46" s="1">
        <f>IF(HR_Data[[#This Row],[Attrition]]="Yes",1,0)</f>
        <v>0</v>
      </c>
    </row>
    <row r="47" spans="1:39" x14ac:dyDescent="0.3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 cm="1">
        <f t="array" ref="AJ47">_xlfn.IFS(
HR_Data[[#This Row],[Age]]&lt;25,"Under 25",
HR_Data[[#This Row],[Age]]&lt;35,"25-34",
HR_Data[[#This Row],[Age]]&lt;45,"35-44",
HR_Data[[#This Row],[Age]]&lt;55,"45-54",
TRUE,"55+"
)</f>
        <v>35-44</v>
      </c>
      <c r="AK47" t="str" cm="1">
        <f t="array" ref="AK47">_xlfn.IFS(
HR_Data[[#This Row],[MonthlyIncome]]&lt;3000,"&lt;3K",
HR_Data[[#This Row],[MonthlyIncome]]&lt;6000,"3K-6K",
HR_Data[[#This Row],[MonthlyIncome]]&lt;10000,"6K-10K",
TRUE,"10K+"
)</f>
        <v>10K+</v>
      </c>
      <c r="AL47" t="str" cm="1">
        <f t="array" ref="AL47">_xlfn.IFS(
HR_Data[[#This Row],[YearsAtCompany]]&lt;2,"&lt;2 Years",
HR_Data[[#This Row],[YearsAtCompany]]&lt;5,"2-4 Years",
HR_Data[[#This Row],[YearsAtCompany]]&lt;10,"5-9 Years",
TRUE,"10+ Years"
)</f>
        <v>10+ Years</v>
      </c>
      <c r="AM47" s="1">
        <f>IF(HR_Data[[#This Row],[Attrition]]="Yes",1,0)</f>
        <v>1</v>
      </c>
    </row>
    <row r="48" spans="1:39" x14ac:dyDescent="0.3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 cm="1">
        <f t="array" ref="AJ48">_xlfn.IFS(
HR_Data[[#This Row],[Age]]&lt;25,"Under 25",
HR_Data[[#This Row],[Age]]&lt;35,"25-34",
HR_Data[[#This Row],[Age]]&lt;45,"35-44",
HR_Data[[#This Row],[Age]]&lt;55,"45-54",
TRUE,"55+"
)</f>
        <v>25-34</v>
      </c>
      <c r="AK48" t="str" cm="1">
        <f t="array" ref="AK48">_xlfn.IFS(
HR_Data[[#This Row],[MonthlyIncome]]&lt;3000,"&lt;3K",
HR_Data[[#This Row],[MonthlyIncome]]&lt;6000,"3K-6K",
HR_Data[[#This Row],[MonthlyIncome]]&lt;10000,"6K-10K",
TRUE,"10K+"
)</f>
        <v>3K-6K</v>
      </c>
      <c r="AL48" t="str" cm="1">
        <f t="array" ref="AL48">_xlfn.IFS(
HR_Data[[#This Row],[YearsAtCompany]]&lt;2,"&lt;2 Years",
HR_Data[[#This Row],[YearsAtCompany]]&lt;5,"2-4 Years",
HR_Data[[#This Row],[YearsAtCompany]]&lt;10,"5-9 Years",
TRUE,"10+ Years"
)</f>
        <v>5-9 Years</v>
      </c>
      <c r="AM48" s="1">
        <f>IF(HR_Data[[#This Row],[Attrition]]="Yes",1,0)</f>
        <v>0</v>
      </c>
    </row>
    <row r="49" spans="1:39" x14ac:dyDescent="0.3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 cm="1">
        <f t="array" ref="AJ49">_xlfn.IFS(
HR_Data[[#This Row],[Age]]&lt;25,"Under 25",
HR_Data[[#This Row],[Age]]&lt;35,"25-34",
HR_Data[[#This Row],[Age]]&lt;45,"35-44",
HR_Data[[#This Row],[Age]]&lt;55,"45-54",
TRUE,"55+"
)</f>
        <v>35-44</v>
      </c>
      <c r="AK49" t="str" cm="1">
        <f t="array" ref="AK49">_xlfn.IFS(
HR_Data[[#This Row],[MonthlyIncome]]&lt;3000,"&lt;3K",
HR_Data[[#This Row],[MonthlyIncome]]&lt;6000,"3K-6K",
HR_Data[[#This Row],[MonthlyIncome]]&lt;10000,"6K-10K",
TRUE,"10K+"
)</f>
        <v>3K-6K</v>
      </c>
      <c r="AL49" t="str" cm="1">
        <f t="array" ref="AL49">_xlfn.IFS(
HR_Data[[#This Row],[YearsAtCompany]]&lt;2,"&lt;2 Years",
HR_Data[[#This Row],[YearsAtCompany]]&lt;5,"2-4 Years",
HR_Data[[#This Row],[YearsAtCompany]]&lt;10,"5-9 Years",
TRUE,"10+ Years"
)</f>
        <v>&lt;2 Years</v>
      </c>
      <c r="AM49" s="1">
        <f>IF(HR_Data[[#This Row],[Attrition]]="Yes",1,0)</f>
        <v>0</v>
      </c>
    </row>
    <row r="50" spans="1:39" x14ac:dyDescent="0.3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 cm="1">
        <f t="array" ref="AJ50">_xlfn.IFS(
HR_Data[[#This Row],[Age]]&lt;25,"Under 25",
HR_Data[[#This Row],[Age]]&lt;35,"25-34",
HR_Data[[#This Row],[Age]]&lt;45,"35-44",
HR_Data[[#This Row],[Age]]&lt;55,"45-54",
TRUE,"55+"
)</f>
        <v>45-54</v>
      </c>
      <c r="AK50" t="str" cm="1">
        <f t="array" ref="AK50">_xlfn.IFS(
HR_Data[[#This Row],[MonthlyIncome]]&lt;3000,"&lt;3K",
HR_Data[[#This Row],[MonthlyIncome]]&lt;6000,"3K-6K",
HR_Data[[#This Row],[MonthlyIncome]]&lt;10000,"6K-10K",
TRUE,"10K+"
)</f>
        <v>3K-6K</v>
      </c>
      <c r="AL50" t="str" cm="1">
        <f t="array" ref="AL50">_xlfn.IFS(
HR_Data[[#This Row],[YearsAtCompany]]&lt;2,"&lt;2 Years",
HR_Data[[#This Row],[YearsAtCompany]]&lt;5,"2-4 Years",
HR_Data[[#This Row],[YearsAtCompany]]&lt;10,"5-9 Years",
TRUE,"10+ Years"
)</f>
        <v>5-9 Years</v>
      </c>
      <c r="AM50" s="1">
        <f>IF(HR_Data[[#This Row],[Attrition]]="Yes",1,0)</f>
        <v>0</v>
      </c>
    </row>
    <row r="51" spans="1:39" x14ac:dyDescent="0.3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 cm="1">
        <f t="array" ref="AJ51">_xlfn.IFS(
HR_Data[[#This Row],[Age]]&lt;25,"Under 25",
HR_Data[[#This Row],[Age]]&lt;35,"25-34",
HR_Data[[#This Row],[Age]]&lt;45,"35-44",
HR_Data[[#This Row],[Age]]&lt;55,"45-54",
TRUE,"55+"
)</f>
        <v>35-44</v>
      </c>
      <c r="AK51" t="str" cm="1">
        <f t="array" ref="AK51">_xlfn.IFS(
HR_Data[[#This Row],[MonthlyIncome]]&lt;3000,"&lt;3K",
HR_Data[[#This Row],[MonthlyIncome]]&lt;6000,"3K-6K",
HR_Data[[#This Row],[MonthlyIncome]]&lt;10000,"6K-10K",
TRUE,"10K+"
)</f>
        <v>&lt;3K</v>
      </c>
      <c r="AL51" t="str" cm="1">
        <f t="array" ref="AL51">_xlfn.IFS(
HR_Data[[#This Row],[YearsAtCompany]]&lt;2,"&lt;2 Years",
HR_Data[[#This Row],[YearsAtCompany]]&lt;5,"2-4 Years",
HR_Data[[#This Row],[YearsAtCompany]]&lt;10,"5-9 Years",
TRUE,"10+ Years"
)</f>
        <v>&lt;2 Years</v>
      </c>
      <c r="AM51" s="1">
        <f>IF(HR_Data[[#This Row],[Attrition]]="Yes",1,0)</f>
        <v>0</v>
      </c>
    </row>
    <row r="52" spans="1:39" x14ac:dyDescent="0.3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 cm="1">
        <f t="array" ref="AJ52">_xlfn.IFS(
HR_Data[[#This Row],[Age]]&lt;25,"Under 25",
HR_Data[[#This Row],[Age]]&lt;35,"25-34",
HR_Data[[#This Row],[Age]]&lt;45,"35-44",
HR_Data[[#This Row],[Age]]&lt;55,"45-54",
TRUE,"55+"
)</f>
        <v>45-54</v>
      </c>
      <c r="AK52" t="str" cm="1">
        <f t="array" ref="AK52">_xlfn.IFS(
HR_Data[[#This Row],[MonthlyIncome]]&lt;3000,"&lt;3K",
HR_Data[[#This Row],[MonthlyIncome]]&lt;6000,"3K-6K",
HR_Data[[#This Row],[MonthlyIncome]]&lt;10000,"6K-10K",
TRUE,"10K+"
)</f>
        <v>3K-6K</v>
      </c>
      <c r="AL52" t="str" cm="1">
        <f t="array" ref="AL52">_xlfn.IFS(
HR_Data[[#This Row],[YearsAtCompany]]&lt;2,"&lt;2 Years",
HR_Data[[#This Row],[YearsAtCompany]]&lt;5,"2-4 Years",
HR_Data[[#This Row],[YearsAtCompany]]&lt;10,"5-9 Years",
TRUE,"10+ Years"
)</f>
        <v>&lt;2 Years</v>
      </c>
      <c r="AM52" s="1">
        <f>IF(HR_Data[[#This Row],[Attrition]]="Yes",1,0)</f>
        <v>1</v>
      </c>
    </row>
    <row r="53" spans="1:39" x14ac:dyDescent="0.3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 cm="1">
        <f t="array" ref="AJ53">_xlfn.IFS(
HR_Data[[#This Row],[Age]]&lt;25,"Under 25",
HR_Data[[#This Row],[Age]]&lt;35,"25-34",
HR_Data[[#This Row],[Age]]&lt;45,"35-44",
HR_Data[[#This Row],[Age]]&lt;55,"45-54",
TRUE,"55+"
)</f>
        <v>25-34</v>
      </c>
      <c r="AK53" t="str" cm="1">
        <f t="array" ref="AK53">_xlfn.IFS(
HR_Data[[#This Row],[MonthlyIncome]]&lt;3000,"&lt;3K",
HR_Data[[#This Row],[MonthlyIncome]]&lt;6000,"3K-6K",
HR_Data[[#This Row],[MonthlyIncome]]&lt;10000,"6K-10K",
TRUE,"10K+"
)</f>
        <v>3K-6K</v>
      </c>
      <c r="AL53" t="str" cm="1">
        <f t="array" ref="AL53">_xlfn.IFS(
HR_Data[[#This Row],[YearsAtCompany]]&lt;2,"&lt;2 Years",
HR_Data[[#This Row],[YearsAtCompany]]&lt;5,"2-4 Years",
HR_Data[[#This Row],[YearsAtCompany]]&lt;10,"5-9 Years",
TRUE,"10+ Years"
)</f>
        <v>2-4 Years</v>
      </c>
      <c r="AM53" s="1">
        <f>IF(HR_Data[[#This Row],[Attrition]]="Yes",1,0)</f>
        <v>1</v>
      </c>
    </row>
    <row r="54" spans="1:39" x14ac:dyDescent="0.3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 cm="1">
        <f t="array" ref="AJ54">_xlfn.IFS(
HR_Data[[#This Row],[Age]]&lt;25,"Under 25",
HR_Data[[#This Row],[Age]]&lt;35,"25-34",
HR_Data[[#This Row],[Age]]&lt;45,"35-44",
HR_Data[[#This Row],[Age]]&lt;55,"45-54",
TRUE,"55+"
)</f>
        <v>35-44</v>
      </c>
      <c r="AK54" t="str" cm="1">
        <f t="array" ref="AK54">_xlfn.IFS(
HR_Data[[#This Row],[MonthlyIncome]]&lt;3000,"&lt;3K",
HR_Data[[#This Row],[MonthlyIncome]]&lt;6000,"3K-6K",
HR_Data[[#This Row],[MonthlyIncome]]&lt;10000,"6K-10K",
TRUE,"10K+"
)</f>
        <v>3K-6K</v>
      </c>
      <c r="AL54" t="str" cm="1">
        <f t="array" ref="AL54">_xlfn.IFS(
HR_Data[[#This Row],[YearsAtCompany]]&lt;2,"&lt;2 Years",
HR_Data[[#This Row],[YearsAtCompany]]&lt;5,"2-4 Years",
HR_Data[[#This Row],[YearsAtCompany]]&lt;10,"5-9 Years",
TRUE,"10+ Years"
)</f>
        <v>2-4 Years</v>
      </c>
      <c r="AM54" s="1">
        <f>IF(HR_Data[[#This Row],[Attrition]]="Yes",1,0)</f>
        <v>0</v>
      </c>
    </row>
    <row r="55" spans="1:39" x14ac:dyDescent="0.3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 cm="1">
        <f t="array" ref="AJ55">_xlfn.IFS(
HR_Data[[#This Row],[Age]]&lt;25,"Under 25",
HR_Data[[#This Row],[Age]]&lt;35,"25-34",
HR_Data[[#This Row],[Age]]&lt;45,"35-44",
HR_Data[[#This Row],[Age]]&lt;55,"45-54",
TRUE,"55+"
)</f>
        <v>35-44</v>
      </c>
      <c r="AK55" t="str" cm="1">
        <f t="array" ref="AK55">_xlfn.IFS(
HR_Data[[#This Row],[MonthlyIncome]]&lt;3000,"&lt;3K",
HR_Data[[#This Row],[MonthlyIncome]]&lt;6000,"3K-6K",
HR_Data[[#This Row],[MonthlyIncome]]&lt;10000,"6K-10K",
TRUE,"10K+"
)</f>
        <v>6K-10K</v>
      </c>
      <c r="AL55" t="str" cm="1">
        <f t="array" ref="AL55">_xlfn.IFS(
HR_Data[[#This Row],[YearsAtCompany]]&lt;2,"&lt;2 Years",
HR_Data[[#This Row],[YearsAtCompany]]&lt;5,"2-4 Years",
HR_Data[[#This Row],[YearsAtCompany]]&lt;10,"5-9 Years",
TRUE,"10+ Years"
)</f>
        <v>2-4 Years</v>
      </c>
      <c r="AM55" s="1">
        <f>IF(HR_Data[[#This Row],[Attrition]]="Yes",1,0)</f>
        <v>0</v>
      </c>
    </row>
    <row r="56" spans="1:39" x14ac:dyDescent="0.3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 cm="1">
        <f t="array" ref="AJ56">_xlfn.IFS(
HR_Data[[#This Row],[Age]]&lt;25,"Under 25",
HR_Data[[#This Row],[Age]]&lt;35,"25-34",
HR_Data[[#This Row],[Age]]&lt;45,"35-44",
HR_Data[[#This Row],[Age]]&lt;55,"45-54",
TRUE,"55+"
)</f>
        <v>25-34</v>
      </c>
      <c r="AK56" t="str" cm="1">
        <f t="array" ref="AK56">_xlfn.IFS(
HR_Data[[#This Row],[MonthlyIncome]]&lt;3000,"&lt;3K",
HR_Data[[#This Row],[MonthlyIncome]]&lt;6000,"3K-6K",
HR_Data[[#This Row],[MonthlyIncome]]&lt;10000,"6K-10K",
TRUE,"10K+"
)</f>
        <v>3K-6K</v>
      </c>
      <c r="AL56" t="str" cm="1">
        <f t="array" ref="AL56">_xlfn.IFS(
HR_Data[[#This Row],[YearsAtCompany]]&lt;2,"&lt;2 Years",
HR_Data[[#This Row],[YearsAtCompany]]&lt;5,"2-4 Years",
HR_Data[[#This Row],[YearsAtCompany]]&lt;10,"5-9 Years",
TRUE,"10+ Years"
)</f>
        <v>2-4 Years</v>
      </c>
      <c r="AM56" s="1">
        <f>IF(HR_Data[[#This Row],[Attrition]]="Yes",1,0)</f>
        <v>0</v>
      </c>
    </row>
    <row r="57" spans="1:39" x14ac:dyDescent="0.3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 cm="1">
        <f t="array" ref="AJ57">_xlfn.IFS(
HR_Data[[#This Row],[Age]]&lt;25,"Under 25",
HR_Data[[#This Row],[Age]]&lt;35,"25-34",
HR_Data[[#This Row],[Age]]&lt;45,"35-44",
HR_Data[[#This Row],[Age]]&lt;55,"45-54",
TRUE,"55+"
)</f>
        <v>25-34</v>
      </c>
      <c r="AK57" t="str" cm="1">
        <f t="array" ref="AK57">_xlfn.IFS(
HR_Data[[#This Row],[MonthlyIncome]]&lt;3000,"&lt;3K",
HR_Data[[#This Row],[MonthlyIncome]]&lt;6000,"3K-6K",
HR_Data[[#This Row],[MonthlyIncome]]&lt;10000,"6K-10K",
TRUE,"10K+"
)</f>
        <v>10K+</v>
      </c>
      <c r="AL57" t="str" cm="1">
        <f t="array" ref="AL57">_xlfn.IFS(
HR_Data[[#This Row],[YearsAtCompany]]&lt;2,"&lt;2 Years",
HR_Data[[#This Row],[YearsAtCompany]]&lt;5,"2-4 Years",
HR_Data[[#This Row],[YearsAtCompany]]&lt;10,"5-9 Years",
TRUE,"10+ Years"
)</f>
        <v>10+ Years</v>
      </c>
      <c r="AM57" s="1">
        <f>IF(HR_Data[[#This Row],[Attrition]]="Yes",1,0)</f>
        <v>0</v>
      </c>
    </row>
    <row r="58" spans="1:39" x14ac:dyDescent="0.3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 cm="1">
        <f t="array" ref="AJ58">_xlfn.IFS(
HR_Data[[#This Row],[Age]]&lt;25,"Under 25",
HR_Data[[#This Row],[Age]]&lt;35,"25-34",
HR_Data[[#This Row],[Age]]&lt;45,"35-44",
HR_Data[[#This Row],[Age]]&lt;55,"45-54",
TRUE,"55+"
)</f>
        <v>35-44</v>
      </c>
      <c r="AK58" t="str" cm="1">
        <f t="array" ref="AK58">_xlfn.IFS(
HR_Data[[#This Row],[MonthlyIncome]]&lt;3000,"&lt;3K",
HR_Data[[#This Row],[MonthlyIncome]]&lt;6000,"3K-6K",
HR_Data[[#This Row],[MonthlyIncome]]&lt;10000,"6K-10K",
TRUE,"10K+"
)</f>
        <v>6K-10K</v>
      </c>
      <c r="AL58" t="str" cm="1">
        <f t="array" ref="AL58">_xlfn.IFS(
HR_Data[[#This Row],[YearsAtCompany]]&lt;2,"&lt;2 Years",
HR_Data[[#This Row],[YearsAtCompany]]&lt;5,"2-4 Years",
HR_Data[[#This Row],[YearsAtCompany]]&lt;10,"5-9 Years",
TRUE,"10+ Years"
)</f>
        <v>5-9 Years</v>
      </c>
      <c r="AM58" s="1">
        <f>IF(HR_Data[[#This Row],[Attrition]]="Yes",1,0)</f>
        <v>0</v>
      </c>
    </row>
    <row r="59" spans="1:39" x14ac:dyDescent="0.3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 cm="1">
        <f t="array" ref="AJ59">_xlfn.IFS(
HR_Data[[#This Row],[Age]]&lt;25,"Under 25",
HR_Data[[#This Row],[Age]]&lt;35,"25-34",
HR_Data[[#This Row],[Age]]&lt;45,"35-44",
HR_Data[[#This Row],[Age]]&lt;55,"45-54",
TRUE,"55+"
)</f>
        <v>35-44</v>
      </c>
      <c r="AK59" t="str" cm="1">
        <f t="array" ref="AK59">_xlfn.IFS(
HR_Data[[#This Row],[MonthlyIncome]]&lt;3000,"&lt;3K",
HR_Data[[#This Row],[MonthlyIncome]]&lt;6000,"3K-6K",
HR_Data[[#This Row],[MonthlyIncome]]&lt;10000,"6K-10K",
TRUE,"10K+"
)</f>
        <v>3K-6K</v>
      </c>
      <c r="AL59" t="str" cm="1">
        <f t="array" ref="AL59">_xlfn.IFS(
HR_Data[[#This Row],[YearsAtCompany]]&lt;2,"&lt;2 Years",
HR_Data[[#This Row],[YearsAtCompany]]&lt;5,"2-4 Years",
HR_Data[[#This Row],[YearsAtCompany]]&lt;10,"5-9 Years",
TRUE,"10+ Years"
)</f>
        <v>2-4 Years</v>
      </c>
      <c r="AM59" s="1">
        <f>IF(HR_Data[[#This Row],[Attrition]]="Yes",1,0)</f>
        <v>0</v>
      </c>
    </row>
    <row r="60" spans="1:39" x14ac:dyDescent="0.3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 cm="1">
        <f t="array" ref="AJ60">_xlfn.IFS(
HR_Data[[#This Row],[Age]]&lt;25,"Under 25",
HR_Data[[#This Row],[Age]]&lt;35,"25-34",
HR_Data[[#This Row],[Age]]&lt;45,"35-44",
HR_Data[[#This Row],[Age]]&lt;55,"45-54",
TRUE,"55+"
)</f>
        <v>25-34</v>
      </c>
      <c r="AK60" t="str" cm="1">
        <f t="array" ref="AK60">_xlfn.IFS(
HR_Data[[#This Row],[MonthlyIncome]]&lt;3000,"&lt;3K",
HR_Data[[#This Row],[MonthlyIncome]]&lt;6000,"3K-6K",
HR_Data[[#This Row],[MonthlyIncome]]&lt;10000,"6K-10K",
TRUE,"10K+"
)</f>
        <v>3K-6K</v>
      </c>
      <c r="AL60" t="str" cm="1">
        <f t="array" ref="AL60">_xlfn.IFS(
HR_Data[[#This Row],[YearsAtCompany]]&lt;2,"&lt;2 Years",
HR_Data[[#This Row],[YearsAtCompany]]&lt;5,"2-4 Years",
HR_Data[[#This Row],[YearsAtCompany]]&lt;10,"5-9 Years",
TRUE,"10+ Years"
)</f>
        <v>5-9 Years</v>
      </c>
      <c r="AM60" s="1">
        <f>IF(HR_Data[[#This Row],[Attrition]]="Yes",1,0)</f>
        <v>0</v>
      </c>
    </row>
    <row r="61" spans="1:39" x14ac:dyDescent="0.3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 cm="1">
        <f t="array" ref="AJ61">_xlfn.IFS(
HR_Data[[#This Row],[Age]]&lt;25,"Under 25",
HR_Data[[#This Row],[Age]]&lt;35,"25-34",
HR_Data[[#This Row],[Age]]&lt;45,"35-44",
HR_Data[[#This Row],[Age]]&lt;55,"45-54",
TRUE,"55+"
)</f>
        <v>35-44</v>
      </c>
      <c r="AK61" t="str" cm="1">
        <f t="array" ref="AK61">_xlfn.IFS(
HR_Data[[#This Row],[MonthlyIncome]]&lt;3000,"&lt;3K",
HR_Data[[#This Row],[MonthlyIncome]]&lt;6000,"3K-6K",
HR_Data[[#This Row],[MonthlyIncome]]&lt;10000,"6K-10K",
TRUE,"10K+"
)</f>
        <v>3K-6K</v>
      </c>
      <c r="AL61" t="str" cm="1">
        <f t="array" ref="AL61">_xlfn.IFS(
HR_Data[[#This Row],[YearsAtCompany]]&lt;2,"&lt;2 Years",
HR_Data[[#This Row],[YearsAtCompany]]&lt;5,"2-4 Years",
HR_Data[[#This Row],[YearsAtCompany]]&lt;10,"5-9 Years",
TRUE,"10+ Years"
)</f>
        <v>5-9 Years</v>
      </c>
      <c r="AM61" s="1">
        <f>IF(HR_Data[[#This Row],[Attrition]]="Yes",1,0)</f>
        <v>0</v>
      </c>
    </row>
    <row r="62" spans="1:39" x14ac:dyDescent="0.3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 cm="1">
        <f t="array" ref="AJ62">_xlfn.IFS(
HR_Data[[#This Row],[Age]]&lt;25,"Under 25",
HR_Data[[#This Row],[Age]]&lt;35,"25-34",
HR_Data[[#This Row],[Age]]&lt;45,"35-44",
HR_Data[[#This Row],[Age]]&lt;55,"45-54",
TRUE,"55+"
)</f>
        <v>25-34</v>
      </c>
      <c r="AK62" t="str" cm="1">
        <f t="array" ref="AK62">_xlfn.IFS(
HR_Data[[#This Row],[MonthlyIncome]]&lt;3000,"&lt;3K",
HR_Data[[#This Row],[MonthlyIncome]]&lt;6000,"3K-6K",
HR_Data[[#This Row],[MonthlyIncome]]&lt;10000,"6K-10K",
TRUE,"10K+"
)</f>
        <v>6K-10K</v>
      </c>
      <c r="AL62" t="str" cm="1">
        <f t="array" ref="AL62">_xlfn.IFS(
HR_Data[[#This Row],[YearsAtCompany]]&lt;2,"&lt;2 Years",
HR_Data[[#This Row],[YearsAtCompany]]&lt;5,"2-4 Years",
HR_Data[[#This Row],[YearsAtCompany]]&lt;10,"5-9 Years",
TRUE,"10+ Years"
)</f>
        <v>5-9 Years</v>
      </c>
      <c r="AM62" s="1">
        <f>IF(HR_Data[[#This Row],[Attrition]]="Yes",1,0)</f>
        <v>0</v>
      </c>
    </row>
    <row r="63" spans="1:39" x14ac:dyDescent="0.3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 cm="1">
        <f t="array" ref="AJ63">_xlfn.IFS(
HR_Data[[#This Row],[Age]]&lt;25,"Under 25",
HR_Data[[#This Row],[Age]]&lt;35,"25-34",
HR_Data[[#This Row],[Age]]&lt;45,"35-44",
HR_Data[[#This Row],[Age]]&lt;55,"45-54",
TRUE,"55+"
)</f>
        <v>35-44</v>
      </c>
      <c r="AK63" t="str" cm="1">
        <f t="array" ref="AK63">_xlfn.IFS(
HR_Data[[#This Row],[MonthlyIncome]]&lt;3000,"&lt;3K",
HR_Data[[#This Row],[MonthlyIncome]]&lt;6000,"3K-6K",
HR_Data[[#This Row],[MonthlyIncome]]&lt;10000,"6K-10K",
TRUE,"10K+"
)</f>
        <v>&lt;3K</v>
      </c>
      <c r="AL63" t="str" cm="1">
        <f t="array" ref="AL63">_xlfn.IFS(
HR_Data[[#This Row],[YearsAtCompany]]&lt;2,"&lt;2 Years",
HR_Data[[#This Row],[YearsAtCompany]]&lt;5,"2-4 Years",
HR_Data[[#This Row],[YearsAtCompany]]&lt;10,"5-9 Years",
TRUE,"10+ Years"
)</f>
        <v>10+ Years</v>
      </c>
      <c r="AM63" s="1">
        <f>IF(HR_Data[[#This Row],[Attrition]]="Yes",1,0)</f>
        <v>0</v>
      </c>
    </row>
    <row r="64" spans="1:39" x14ac:dyDescent="0.3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 cm="1">
        <f t="array" ref="AJ64">_xlfn.IFS(
HR_Data[[#This Row],[Age]]&lt;25,"Under 25",
HR_Data[[#This Row],[Age]]&lt;35,"25-34",
HR_Data[[#This Row],[Age]]&lt;45,"35-44",
HR_Data[[#This Row],[Age]]&lt;55,"45-54",
TRUE,"55+"
)</f>
        <v>45-54</v>
      </c>
      <c r="AK64" t="str" cm="1">
        <f t="array" ref="AK64">_xlfn.IFS(
HR_Data[[#This Row],[MonthlyIncome]]&lt;3000,"&lt;3K",
HR_Data[[#This Row],[MonthlyIncome]]&lt;6000,"3K-6K",
HR_Data[[#This Row],[MonthlyIncome]]&lt;10000,"6K-10K",
TRUE,"10K+"
)</f>
        <v>10K+</v>
      </c>
      <c r="AL64" t="str" cm="1">
        <f t="array" ref="AL64">_xlfn.IFS(
HR_Data[[#This Row],[YearsAtCompany]]&lt;2,"&lt;2 Years",
HR_Data[[#This Row],[YearsAtCompany]]&lt;5,"2-4 Years",
HR_Data[[#This Row],[YearsAtCompany]]&lt;10,"5-9 Years",
TRUE,"10+ Years"
)</f>
        <v>10+ Years</v>
      </c>
      <c r="AM64" s="1">
        <f>IF(HR_Data[[#This Row],[Attrition]]="Yes",1,0)</f>
        <v>0</v>
      </c>
    </row>
    <row r="65" spans="1:39" x14ac:dyDescent="0.3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 cm="1">
        <f t="array" ref="AJ65">_xlfn.IFS(
HR_Data[[#This Row],[Age]]&lt;25,"Under 25",
HR_Data[[#This Row],[Age]]&lt;35,"25-34",
HR_Data[[#This Row],[Age]]&lt;45,"35-44",
HR_Data[[#This Row],[Age]]&lt;55,"45-54",
TRUE,"55+"
)</f>
        <v>55+</v>
      </c>
      <c r="AK65" t="str" cm="1">
        <f t="array" ref="AK65">_xlfn.IFS(
HR_Data[[#This Row],[MonthlyIncome]]&lt;3000,"&lt;3K",
HR_Data[[#This Row],[MonthlyIncome]]&lt;6000,"3K-6K",
HR_Data[[#This Row],[MonthlyIncome]]&lt;10000,"6K-10K",
TRUE,"10K+"
)</f>
        <v>6K-10K</v>
      </c>
      <c r="AL65" t="str" cm="1">
        <f t="array" ref="AL65">_xlfn.IFS(
HR_Data[[#This Row],[YearsAtCompany]]&lt;2,"&lt;2 Years",
HR_Data[[#This Row],[YearsAtCompany]]&lt;5,"2-4 Years",
HR_Data[[#This Row],[YearsAtCompany]]&lt;10,"5-9 Years",
TRUE,"10+ Years"
)</f>
        <v>10+ Years</v>
      </c>
      <c r="AM65" s="1">
        <f>IF(HR_Data[[#This Row],[Attrition]]="Yes",1,0)</f>
        <v>0</v>
      </c>
    </row>
    <row r="66" spans="1:39" x14ac:dyDescent="0.3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 cm="1">
        <f t="array" ref="AJ66">_xlfn.IFS(
HR_Data[[#This Row],[Age]]&lt;25,"Under 25",
HR_Data[[#This Row],[Age]]&lt;35,"25-34",
HR_Data[[#This Row],[Age]]&lt;45,"35-44",
HR_Data[[#This Row],[Age]]&lt;55,"45-54",
TRUE,"55+"
)</f>
        <v>35-44</v>
      </c>
      <c r="AK66" t="str" cm="1">
        <f t="array" ref="AK66">_xlfn.IFS(
HR_Data[[#This Row],[MonthlyIncome]]&lt;3000,"&lt;3K",
HR_Data[[#This Row],[MonthlyIncome]]&lt;6000,"3K-6K",
HR_Data[[#This Row],[MonthlyIncome]]&lt;10000,"6K-10K",
TRUE,"10K+"
)</f>
        <v>10K+</v>
      </c>
      <c r="AL66" t="str" cm="1">
        <f t="array" ref="AL66">_xlfn.IFS(
HR_Data[[#This Row],[YearsAtCompany]]&lt;2,"&lt;2 Years",
HR_Data[[#This Row],[YearsAtCompany]]&lt;5,"2-4 Years",
HR_Data[[#This Row],[YearsAtCompany]]&lt;10,"5-9 Years",
TRUE,"10+ Years"
)</f>
        <v>10+ Years</v>
      </c>
      <c r="AM66" s="1">
        <f>IF(HR_Data[[#This Row],[Attrition]]="Yes",1,0)</f>
        <v>0</v>
      </c>
    </row>
    <row r="67" spans="1:39" x14ac:dyDescent="0.3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 cm="1">
        <f t="array" ref="AJ67">_xlfn.IFS(
HR_Data[[#This Row],[Age]]&lt;25,"Under 25",
HR_Data[[#This Row],[Age]]&lt;35,"25-34",
HR_Data[[#This Row],[Age]]&lt;45,"35-44",
HR_Data[[#This Row],[Age]]&lt;55,"45-54",
TRUE,"55+"
)</f>
        <v>55+</v>
      </c>
      <c r="AK67" t="str" cm="1">
        <f t="array" ref="AK67">_xlfn.IFS(
HR_Data[[#This Row],[MonthlyIncome]]&lt;3000,"&lt;3K",
HR_Data[[#This Row],[MonthlyIncome]]&lt;6000,"3K-6K",
HR_Data[[#This Row],[MonthlyIncome]]&lt;10000,"6K-10K",
TRUE,"10K+"
)</f>
        <v>10K+</v>
      </c>
      <c r="AL67" t="str" cm="1">
        <f t="array" ref="AL67">_xlfn.IFS(
HR_Data[[#This Row],[YearsAtCompany]]&lt;2,"&lt;2 Years",
HR_Data[[#This Row],[YearsAtCompany]]&lt;5,"2-4 Years",
HR_Data[[#This Row],[YearsAtCompany]]&lt;10,"5-9 Years",
TRUE,"10+ Years"
)</f>
        <v>5-9 Years</v>
      </c>
      <c r="AM67" s="1">
        <f>IF(HR_Data[[#This Row],[Attrition]]="Yes",1,0)</f>
        <v>0</v>
      </c>
    </row>
    <row r="68" spans="1:39" x14ac:dyDescent="0.3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 cm="1">
        <f t="array" ref="AJ68">_xlfn.IFS(
HR_Data[[#This Row],[Age]]&lt;25,"Under 25",
HR_Data[[#This Row],[Age]]&lt;35,"25-34",
HR_Data[[#This Row],[Age]]&lt;45,"35-44",
HR_Data[[#This Row],[Age]]&lt;55,"45-54",
TRUE,"55+"
)</f>
        <v>35-44</v>
      </c>
      <c r="AK68" t="str" cm="1">
        <f t="array" ref="AK68">_xlfn.IFS(
HR_Data[[#This Row],[MonthlyIncome]]&lt;3000,"&lt;3K",
HR_Data[[#This Row],[MonthlyIncome]]&lt;6000,"3K-6K",
HR_Data[[#This Row],[MonthlyIncome]]&lt;10000,"6K-10K",
TRUE,"10K+"
)</f>
        <v>6K-10K</v>
      </c>
      <c r="AL68" t="str" cm="1">
        <f t="array" ref="AL68">_xlfn.IFS(
HR_Data[[#This Row],[YearsAtCompany]]&lt;2,"&lt;2 Years",
HR_Data[[#This Row],[YearsAtCompany]]&lt;5,"2-4 Years",
HR_Data[[#This Row],[YearsAtCompany]]&lt;10,"5-9 Years",
TRUE,"10+ Years"
)</f>
        <v>5-9 Years</v>
      </c>
      <c r="AM68" s="1">
        <f>IF(HR_Data[[#This Row],[Attrition]]="Yes",1,0)</f>
        <v>0</v>
      </c>
    </row>
    <row r="69" spans="1:39" x14ac:dyDescent="0.3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 cm="1">
        <f t="array" ref="AJ69">_xlfn.IFS(
HR_Data[[#This Row],[Age]]&lt;25,"Under 25",
HR_Data[[#This Row],[Age]]&lt;35,"25-34",
HR_Data[[#This Row],[Age]]&lt;45,"35-44",
HR_Data[[#This Row],[Age]]&lt;55,"45-54",
TRUE,"55+"
)</f>
        <v>45-54</v>
      </c>
      <c r="AK69" t="str" cm="1">
        <f t="array" ref="AK69">_xlfn.IFS(
HR_Data[[#This Row],[MonthlyIncome]]&lt;3000,"&lt;3K",
HR_Data[[#This Row],[MonthlyIncome]]&lt;6000,"3K-6K",
HR_Data[[#This Row],[MonthlyIncome]]&lt;10000,"6K-10K",
TRUE,"10K+"
)</f>
        <v>6K-10K</v>
      </c>
      <c r="AL69" t="str" cm="1">
        <f t="array" ref="AL69">_xlfn.IFS(
HR_Data[[#This Row],[YearsAtCompany]]&lt;2,"&lt;2 Years",
HR_Data[[#This Row],[YearsAtCompany]]&lt;5,"2-4 Years",
HR_Data[[#This Row],[YearsAtCompany]]&lt;10,"5-9 Years",
TRUE,"10+ Years"
)</f>
        <v>&lt;2 Years</v>
      </c>
      <c r="AM69" s="1">
        <f>IF(HR_Data[[#This Row],[Attrition]]="Yes",1,0)</f>
        <v>0</v>
      </c>
    </row>
    <row r="70" spans="1:39" x14ac:dyDescent="0.3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 cm="1">
        <f t="array" ref="AJ70">_xlfn.IFS(
HR_Data[[#This Row],[Age]]&lt;25,"Under 25",
HR_Data[[#This Row],[Age]]&lt;35,"25-34",
HR_Data[[#This Row],[Age]]&lt;45,"35-44",
HR_Data[[#This Row],[Age]]&lt;55,"45-54",
TRUE,"55+"
)</f>
        <v>35-44</v>
      </c>
      <c r="AK70" t="str" cm="1">
        <f t="array" ref="AK70">_xlfn.IFS(
HR_Data[[#This Row],[MonthlyIncome]]&lt;3000,"&lt;3K",
HR_Data[[#This Row],[MonthlyIncome]]&lt;6000,"3K-6K",
HR_Data[[#This Row],[MonthlyIncome]]&lt;10000,"6K-10K",
TRUE,"10K+"
)</f>
        <v>&lt;3K</v>
      </c>
      <c r="AL70" t="str" cm="1">
        <f t="array" ref="AL70">_xlfn.IFS(
HR_Data[[#This Row],[YearsAtCompany]]&lt;2,"&lt;2 Years",
HR_Data[[#This Row],[YearsAtCompany]]&lt;5,"2-4 Years",
HR_Data[[#This Row],[YearsAtCompany]]&lt;10,"5-9 Years",
TRUE,"10+ Years"
)</f>
        <v>2-4 Years</v>
      </c>
      <c r="AM70" s="1">
        <f>IF(HR_Data[[#This Row],[Attrition]]="Yes",1,0)</f>
        <v>0</v>
      </c>
    </row>
    <row r="71" spans="1:39" x14ac:dyDescent="0.3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 cm="1">
        <f t="array" ref="AJ71">_xlfn.IFS(
HR_Data[[#This Row],[Age]]&lt;25,"Under 25",
HR_Data[[#This Row],[Age]]&lt;35,"25-34",
HR_Data[[#This Row],[Age]]&lt;45,"35-44",
HR_Data[[#This Row],[Age]]&lt;55,"45-54",
TRUE,"55+"
)</f>
        <v>35-44</v>
      </c>
      <c r="AK71" t="str" cm="1">
        <f t="array" ref="AK71">_xlfn.IFS(
HR_Data[[#This Row],[MonthlyIncome]]&lt;3000,"&lt;3K",
HR_Data[[#This Row],[MonthlyIncome]]&lt;6000,"3K-6K",
HR_Data[[#This Row],[MonthlyIncome]]&lt;10000,"6K-10K",
TRUE,"10K+"
)</f>
        <v>3K-6K</v>
      </c>
      <c r="AL71" t="str" cm="1">
        <f t="array" ref="AL71">_xlfn.IFS(
HR_Data[[#This Row],[YearsAtCompany]]&lt;2,"&lt;2 Years",
HR_Data[[#This Row],[YearsAtCompany]]&lt;5,"2-4 Years",
HR_Data[[#This Row],[YearsAtCompany]]&lt;10,"5-9 Years",
TRUE,"10+ Years"
)</f>
        <v>&lt;2 Years</v>
      </c>
      <c r="AM71" s="1">
        <f>IF(HR_Data[[#This Row],[Attrition]]="Yes",1,0)</f>
        <v>1</v>
      </c>
    </row>
    <row r="72" spans="1:39" x14ac:dyDescent="0.3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 cm="1">
        <f t="array" ref="AJ72">_xlfn.IFS(
HR_Data[[#This Row],[Age]]&lt;25,"Under 25",
HR_Data[[#This Row],[Age]]&lt;35,"25-34",
HR_Data[[#This Row],[Age]]&lt;45,"35-44",
HR_Data[[#This Row],[Age]]&lt;55,"45-54",
TRUE,"55+"
)</f>
        <v>55+</v>
      </c>
      <c r="AK72" t="str" cm="1">
        <f t="array" ref="AK72">_xlfn.IFS(
HR_Data[[#This Row],[MonthlyIncome]]&lt;3000,"&lt;3K",
HR_Data[[#This Row],[MonthlyIncome]]&lt;6000,"3K-6K",
HR_Data[[#This Row],[MonthlyIncome]]&lt;10000,"6K-10K",
TRUE,"10K+"
)</f>
        <v>3K-6K</v>
      </c>
      <c r="AL72" t="str" cm="1">
        <f t="array" ref="AL72">_xlfn.IFS(
HR_Data[[#This Row],[YearsAtCompany]]&lt;2,"&lt;2 Years",
HR_Data[[#This Row],[YearsAtCompany]]&lt;5,"2-4 Years",
HR_Data[[#This Row],[YearsAtCompany]]&lt;10,"5-9 Years",
TRUE,"10+ Years"
)</f>
        <v>2-4 Years</v>
      </c>
      <c r="AM72" s="1">
        <f>IF(HR_Data[[#This Row],[Attrition]]="Yes",1,0)</f>
        <v>0</v>
      </c>
    </row>
    <row r="73" spans="1:39" x14ac:dyDescent="0.3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 cm="1">
        <f t="array" ref="AJ73">_xlfn.IFS(
HR_Data[[#This Row],[Age]]&lt;25,"Under 25",
HR_Data[[#This Row],[Age]]&lt;35,"25-34",
HR_Data[[#This Row],[Age]]&lt;45,"35-44",
HR_Data[[#This Row],[Age]]&lt;55,"45-54",
TRUE,"55+"
)</f>
        <v>25-34</v>
      </c>
      <c r="AK73" t="str" cm="1">
        <f t="array" ref="AK73">_xlfn.IFS(
HR_Data[[#This Row],[MonthlyIncome]]&lt;3000,"&lt;3K",
HR_Data[[#This Row],[MonthlyIncome]]&lt;6000,"3K-6K",
HR_Data[[#This Row],[MonthlyIncome]]&lt;10000,"6K-10K",
TRUE,"10K+"
)</f>
        <v>&lt;3K</v>
      </c>
      <c r="AL73" t="str" cm="1">
        <f t="array" ref="AL73">_xlfn.IFS(
HR_Data[[#This Row],[YearsAtCompany]]&lt;2,"&lt;2 Years",
HR_Data[[#This Row],[YearsAtCompany]]&lt;5,"2-4 Years",
HR_Data[[#This Row],[YearsAtCompany]]&lt;10,"5-9 Years",
TRUE,"10+ Years"
)</f>
        <v>5-9 Years</v>
      </c>
      <c r="AM73" s="1">
        <f>IF(HR_Data[[#This Row],[Attrition]]="Yes",1,0)</f>
        <v>0</v>
      </c>
    </row>
    <row r="74" spans="1:39" x14ac:dyDescent="0.3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 cm="1">
        <f t="array" ref="AJ74">_xlfn.IFS(
HR_Data[[#This Row],[Age]]&lt;25,"Under 25",
HR_Data[[#This Row],[Age]]&lt;35,"25-34",
HR_Data[[#This Row],[Age]]&lt;45,"35-44",
HR_Data[[#This Row],[Age]]&lt;55,"45-54",
TRUE,"55+"
)</f>
        <v>25-34</v>
      </c>
      <c r="AK74" t="str" cm="1">
        <f t="array" ref="AK74">_xlfn.IFS(
HR_Data[[#This Row],[MonthlyIncome]]&lt;3000,"&lt;3K",
HR_Data[[#This Row],[MonthlyIncome]]&lt;6000,"3K-6K",
HR_Data[[#This Row],[MonthlyIncome]]&lt;10000,"6K-10K",
TRUE,"10K+"
)</f>
        <v>&lt;3K</v>
      </c>
      <c r="AL74" t="str" cm="1">
        <f t="array" ref="AL74">_xlfn.IFS(
HR_Data[[#This Row],[YearsAtCompany]]&lt;2,"&lt;2 Years",
HR_Data[[#This Row],[YearsAtCompany]]&lt;5,"2-4 Years",
HR_Data[[#This Row],[YearsAtCompany]]&lt;10,"5-9 Years",
TRUE,"10+ Years"
)</f>
        <v>&lt;2 Years</v>
      </c>
      <c r="AM74" s="1">
        <f>IF(HR_Data[[#This Row],[Attrition]]="Yes",1,0)</f>
        <v>0</v>
      </c>
    </row>
    <row r="75" spans="1:39" x14ac:dyDescent="0.3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 cm="1">
        <f t="array" ref="AJ75">_xlfn.IFS(
HR_Data[[#This Row],[Age]]&lt;25,"Under 25",
HR_Data[[#This Row],[Age]]&lt;35,"25-34",
HR_Data[[#This Row],[Age]]&lt;45,"35-44",
HR_Data[[#This Row],[Age]]&lt;55,"45-54",
TRUE,"55+"
)</f>
        <v>25-34</v>
      </c>
      <c r="AK75" t="str" cm="1">
        <f t="array" ref="AK75">_xlfn.IFS(
HR_Data[[#This Row],[MonthlyIncome]]&lt;3000,"&lt;3K",
HR_Data[[#This Row],[MonthlyIncome]]&lt;6000,"3K-6K",
HR_Data[[#This Row],[MonthlyIncome]]&lt;10000,"6K-10K",
TRUE,"10K+"
)</f>
        <v>6K-10K</v>
      </c>
      <c r="AL75" t="str" cm="1">
        <f t="array" ref="AL75">_xlfn.IFS(
HR_Data[[#This Row],[YearsAtCompany]]&lt;2,"&lt;2 Years",
HR_Data[[#This Row],[YearsAtCompany]]&lt;5,"2-4 Years",
HR_Data[[#This Row],[YearsAtCompany]]&lt;10,"5-9 Years",
TRUE,"10+ Years"
)</f>
        <v>10+ Years</v>
      </c>
      <c r="AM75" s="1">
        <f>IF(HR_Data[[#This Row],[Attrition]]="Yes",1,0)</f>
        <v>0</v>
      </c>
    </row>
    <row r="76" spans="1:39" x14ac:dyDescent="0.3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 cm="1">
        <f t="array" ref="AJ76">_xlfn.IFS(
HR_Data[[#This Row],[Age]]&lt;25,"Under 25",
HR_Data[[#This Row],[Age]]&lt;35,"25-34",
HR_Data[[#This Row],[Age]]&lt;45,"35-44",
HR_Data[[#This Row],[Age]]&lt;55,"45-54",
TRUE,"55+"
)</f>
        <v>35-44</v>
      </c>
      <c r="AK76" t="str" cm="1">
        <f t="array" ref="AK76">_xlfn.IFS(
HR_Data[[#This Row],[MonthlyIncome]]&lt;3000,"&lt;3K",
HR_Data[[#This Row],[MonthlyIncome]]&lt;6000,"3K-6K",
HR_Data[[#This Row],[MonthlyIncome]]&lt;10000,"6K-10K",
TRUE,"10K+"
)</f>
        <v>3K-6K</v>
      </c>
      <c r="AL76" t="str" cm="1">
        <f t="array" ref="AL76">_xlfn.IFS(
HR_Data[[#This Row],[YearsAtCompany]]&lt;2,"&lt;2 Years",
HR_Data[[#This Row],[YearsAtCompany]]&lt;5,"2-4 Years",
HR_Data[[#This Row],[YearsAtCompany]]&lt;10,"5-9 Years",
TRUE,"10+ Years"
)</f>
        <v>&lt;2 Years</v>
      </c>
      <c r="AM76" s="1">
        <f>IF(HR_Data[[#This Row],[Attrition]]="Yes",1,0)</f>
        <v>0</v>
      </c>
    </row>
    <row r="77" spans="1:39" x14ac:dyDescent="0.3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 cm="1">
        <f t="array" ref="AJ77">_xlfn.IFS(
HR_Data[[#This Row],[Age]]&lt;25,"Under 25",
HR_Data[[#This Row],[Age]]&lt;35,"25-34",
HR_Data[[#This Row],[Age]]&lt;45,"35-44",
HR_Data[[#This Row],[Age]]&lt;55,"45-54",
TRUE,"55+"
)</f>
        <v>25-34</v>
      </c>
      <c r="AK77" t="str" cm="1">
        <f t="array" ref="AK77">_xlfn.IFS(
HR_Data[[#This Row],[MonthlyIncome]]&lt;3000,"&lt;3K",
HR_Data[[#This Row],[MonthlyIncome]]&lt;6000,"3K-6K",
HR_Data[[#This Row],[MonthlyIncome]]&lt;10000,"6K-10K",
TRUE,"10K+"
)</f>
        <v>3K-6K</v>
      </c>
      <c r="AL77" t="str" cm="1">
        <f t="array" ref="AL77">_xlfn.IFS(
HR_Data[[#This Row],[YearsAtCompany]]&lt;2,"&lt;2 Years",
HR_Data[[#This Row],[YearsAtCompany]]&lt;5,"2-4 Years",
HR_Data[[#This Row],[YearsAtCompany]]&lt;10,"5-9 Years",
TRUE,"10+ Years"
)</f>
        <v>10+ Years</v>
      </c>
      <c r="AM77" s="1">
        <f>IF(HR_Data[[#This Row],[Attrition]]="Yes",1,0)</f>
        <v>0</v>
      </c>
    </row>
    <row r="78" spans="1:39" x14ac:dyDescent="0.3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 cm="1">
        <f t="array" ref="AJ78">_xlfn.IFS(
HR_Data[[#This Row],[Age]]&lt;25,"Under 25",
HR_Data[[#This Row],[Age]]&lt;35,"25-34",
HR_Data[[#This Row],[Age]]&lt;45,"35-44",
HR_Data[[#This Row],[Age]]&lt;55,"45-54",
TRUE,"55+"
)</f>
        <v>35-44</v>
      </c>
      <c r="AK78" t="str" cm="1">
        <f t="array" ref="AK78">_xlfn.IFS(
HR_Data[[#This Row],[MonthlyIncome]]&lt;3000,"&lt;3K",
HR_Data[[#This Row],[MonthlyIncome]]&lt;6000,"3K-6K",
HR_Data[[#This Row],[MonthlyIncome]]&lt;10000,"6K-10K",
TRUE,"10K+"
)</f>
        <v>3K-6K</v>
      </c>
      <c r="AL78" t="str" cm="1">
        <f t="array" ref="AL78">_xlfn.IFS(
HR_Data[[#This Row],[YearsAtCompany]]&lt;2,"&lt;2 Years",
HR_Data[[#This Row],[YearsAtCompany]]&lt;5,"2-4 Years",
HR_Data[[#This Row],[YearsAtCompany]]&lt;10,"5-9 Years",
TRUE,"10+ Years"
)</f>
        <v>10+ Years</v>
      </c>
      <c r="AM78" s="1">
        <f>IF(HR_Data[[#This Row],[Attrition]]="Yes",1,0)</f>
        <v>0</v>
      </c>
    </row>
    <row r="79" spans="1:39" x14ac:dyDescent="0.3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 cm="1">
        <f t="array" ref="AJ79">_xlfn.IFS(
HR_Data[[#This Row],[Age]]&lt;25,"Under 25",
HR_Data[[#This Row],[Age]]&lt;35,"25-34",
HR_Data[[#This Row],[Age]]&lt;45,"35-44",
HR_Data[[#This Row],[Age]]&lt;55,"45-54",
TRUE,"55+"
)</f>
        <v>45-54</v>
      </c>
      <c r="AK79" t="str" cm="1">
        <f t="array" ref="AK79">_xlfn.IFS(
HR_Data[[#This Row],[MonthlyIncome]]&lt;3000,"&lt;3K",
HR_Data[[#This Row],[MonthlyIncome]]&lt;6000,"3K-6K",
HR_Data[[#This Row],[MonthlyIncome]]&lt;10000,"6K-10K",
TRUE,"10K+"
)</f>
        <v>10K+</v>
      </c>
      <c r="AL79" t="str" cm="1">
        <f t="array" ref="AL79">_xlfn.IFS(
HR_Data[[#This Row],[YearsAtCompany]]&lt;2,"&lt;2 Years",
HR_Data[[#This Row],[YearsAtCompany]]&lt;5,"2-4 Years",
HR_Data[[#This Row],[YearsAtCompany]]&lt;10,"5-9 Years",
TRUE,"10+ Years"
)</f>
        <v>&lt;2 Years</v>
      </c>
      <c r="AM79" s="1">
        <f>IF(HR_Data[[#This Row],[Attrition]]="Yes",1,0)</f>
        <v>0</v>
      </c>
    </row>
    <row r="80" spans="1:39" x14ac:dyDescent="0.3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 cm="1">
        <f t="array" ref="AJ80">_xlfn.IFS(
HR_Data[[#This Row],[Age]]&lt;25,"Under 25",
HR_Data[[#This Row],[Age]]&lt;35,"25-34",
HR_Data[[#This Row],[Age]]&lt;45,"35-44",
HR_Data[[#This Row],[Age]]&lt;55,"45-54",
TRUE,"55+"
)</f>
        <v>35-44</v>
      </c>
      <c r="AK80" t="str" cm="1">
        <f t="array" ref="AK80">_xlfn.IFS(
HR_Data[[#This Row],[MonthlyIncome]]&lt;3000,"&lt;3K",
HR_Data[[#This Row],[MonthlyIncome]]&lt;6000,"3K-6K",
HR_Data[[#This Row],[MonthlyIncome]]&lt;10000,"6K-10K",
TRUE,"10K+"
)</f>
        <v>10K+</v>
      </c>
      <c r="AL80" t="str" cm="1">
        <f t="array" ref="AL80">_xlfn.IFS(
HR_Data[[#This Row],[YearsAtCompany]]&lt;2,"&lt;2 Years",
HR_Data[[#This Row],[YearsAtCompany]]&lt;5,"2-4 Years",
HR_Data[[#This Row],[YearsAtCompany]]&lt;10,"5-9 Years",
TRUE,"10+ Years"
)</f>
        <v>5-9 Years</v>
      </c>
      <c r="AM80" s="1">
        <f>IF(HR_Data[[#This Row],[Attrition]]="Yes",1,0)</f>
        <v>0</v>
      </c>
    </row>
    <row r="81" spans="1:39" x14ac:dyDescent="0.3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 cm="1">
        <f t="array" ref="AJ81">_xlfn.IFS(
HR_Data[[#This Row],[Age]]&lt;25,"Under 25",
HR_Data[[#This Row],[Age]]&lt;35,"25-34",
HR_Data[[#This Row],[Age]]&lt;45,"35-44",
HR_Data[[#This Row],[Age]]&lt;55,"45-54",
TRUE,"55+"
)</f>
        <v>45-54</v>
      </c>
      <c r="AK81" t="str" cm="1">
        <f t="array" ref="AK81">_xlfn.IFS(
HR_Data[[#This Row],[MonthlyIncome]]&lt;3000,"&lt;3K",
HR_Data[[#This Row],[MonthlyIncome]]&lt;6000,"3K-6K",
HR_Data[[#This Row],[MonthlyIncome]]&lt;10000,"6K-10K",
TRUE,"10K+"
)</f>
        <v>3K-6K</v>
      </c>
      <c r="AL81" t="str" cm="1">
        <f t="array" ref="AL81">_xlfn.IFS(
HR_Data[[#This Row],[YearsAtCompany]]&lt;2,"&lt;2 Years",
HR_Data[[#This Row],[YearsAtCompany]]&lt;5,"2-4 Years",
HR_Data[[#This Row],[YearsAtCompany]]&lt;10,"5-9 Years",
TRUE,"10+ Years"
)</f>
        <v>2-4 Years</v>
      </c>
      <c r="AM81" s="1">
        <f>IF(HR_Data[[#This Row],[Attrition]]="Yes",1,0)</f>
        <v>0</v>
      </c>
    </row>
    <row r="82" spans="1:39" x14ac:dyDescent="0.3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 cm="1">
        <f t="array" ref="AJ82">_xlfn.IFS(
HR_Data[[#This Row],[Age]]&lt;25,"Under 25",
HR_Data[[#This Row],[Age]]&lt;35,"25-34",
HR_Data[[#This Row],[Age]]&lt;45,"35-44",
HR_Data[[#This Row],[Age]]&lt;55,"45-54",
TRUE,"55+"
)</f>
        <v>25-34</v>
      </c>
      <c r="AK82" t="str" cm="1">
        <f t="array" ref="AK82">_xlfn.IFS(
HR_Data[[#This Row],[MonthlyIncome]]&lt;3000,"&lt;3K",
HR_Data[[#This Row],[MonthlyIncome]]&lt;6000,"3K-6K",
HR_Data[[#This Row],[MonthlyIncome]]&lt;10000,"6K-10K",
TRUE,"10K+"
)</f>
        <v>3K-6K</v>
      </c>
      <c r="AL82" t="str" cm="1">
        <f t="array" ref="AL82">_xlfn.IFS(
HR_Data[[#This Row],[YearsAtCompany]]&lt;2,"&lt;2 Years",
HR_Data[[#This Row],[YearsAtCompany]]&lt;5,"2-4 Years",
HR_Data[[#This Row],[YearsAtCompany]]&lt;10,"5-9 Years",
TRUE,"10+ Years"
)</f>
        <v>10+ Years</v>
      </c>
      <c r="AM82" s="1">
        <f>IF(HR_Data[[#This Row],[Attrition]]="Yes",1,0)</f>
        <v>0</v>
      </c>
    </row>
    <row r="83" spans="1:39" x14ac:dyDescent="0.3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 cm="1">
        <f t="array" ref="AJ83">_xlfn.IFS(
HR_Data[[#This Row],[Age]]&lt;25,"Under 25",
HR_Data[[#This Row],[Age]]&lt;35,"25-34",
HR_Data[[#This Row],[Age]]&lt;45,"35-44",
HR_Data[[#This Row],[Age]]&lt;55,"45-54",
TRUE,"55+"
)</f>
        <v>35-44</v>
      </c>
      <c r="AK83" t="str" cm="1">
        <f t="array" ref="AK83">_xlfn.IFS(
HR_Data[[#This Row],[MonthlyIncome]]&lt;3000,"&lt;3K",
HR_Data[[#This Row],[MonthlyIncome]]&lt;6000,"3K-6K",
HR_Data[[#This Row],[MonthlyIncome]]&lt;10000,"6K-10K",
TRUE,"10K+"
)</f>
        <v>&lt;3K</v>
      </c>
      <c r="AL83" t="str" cm="1">
        <f t="array" ref="AL83">_xlfn.IFS(
HR_Data[[#This Row],[YearsAtCompany]]&lt;2,"&lt;2 Years",
HR_Data[[#This Row],[YearsAtCompany]]&lt;5,"2-4 Years",
HR_Data[[#This Row],[YearsAtCompany]]&lt;10,"5-9 Years",
TRUE,"10+ Years"
)</f>
        <v>5-9 Years</v>
      </c>
      <c r="AM83" s="1">
        <f>IF(HR_Data[[#This Row],[Attrition]]="Yes",1,0)</f>
        <v>0</v>
      </c>
    </row>
    <row r="84" spans="1:39" x14ac:dyDescent="0.3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 cm="1">
        <f t="array" ref="AJ84">_xlfn.IFS(
HR_Data[[#This Row],[Age]]&lt;25,"Under 25",
HR_Data[[#This Row],[Age]]&lt;35,"25-34",
HR_Data[[#This Row],[Age]]&lt;45,"35-44",
HR_Data[[#This Row],[Age]]&lt;55,"45-54",
TRUE,"55+"
)</f>
        <v>55+</v>
      </c>
      <c r="AK84" t="str" cm="1">
        <f t="array" ref="AK84">_xlfn.IFS(
HR_Data[[#This Row],[MonthlyIncome]]&lt;3000,"&lt;3K",
HR_Data[[#This Row],[MonthlyIncome]]&lt;6000,"3K-6K",
HR_Data[[#This Row],[MonthlyIncome]]&lt;10000,"6K-10K",
TRUE,"10K+"
)</f>
        <v>10K+</v>
      </c>
      <c r="AL84" t="str" cm="1">
        <f t="array" ref="AL84">_xlfn.IFS(
HR_Data[[#This Row],[YearsAtCompany]]&lt;2,"&lt;2 Years",
HR_Data[[#This Row],[YearsAtCompany]]&lt;5,"2-4 Years",
HR_Data[[#This Row],[YearsAtCompany]]&lt;10,"5-9 Years",
TRUE,"10+ Years"
)</f>
        <v>&lt;2 Years</v>
      </c>
      <c r="AM84" s="1">
        <f>IF(HR_Data[[#This Row],[Attrition]]="Yes",1,0)</f>
        <v>0</v>
      </c>
    </row>
    <row r="85" spans="1:39" x14ac:dyDescent="0.3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 cm="1">
        <f t="array" ref="AJ85">_xlfn.IFS(
HR_Data[[#This Row],[Age]]&lt;25,"Under 25",
HR_Data[[#This Row],[Age]]&lt;35,"25-34",
HR_Data[[#This Row],[Age]]&lt;45,"35-44",
HR_Data[[#This Row],[Age]]&lt;55,"45-54",
TRUE,"55+"
)</f>
        <v>35-44</v>
      </c>
      <c r="AK85" t="str" cm="1">
        <f t="array" ref="AK85">_xlfn.IFS(
HR_Data[[#This Row],[MonthlyIncome]]&lt;3000,"&lt;3K",
HR_Data[[#This Row],[MonthlyIncome]]&lt;6000,"3K-6K",
HR_Data[[#This Row],[MonthlyIncome]]&lt;10000,"6K-10K",
TRUE,"10K+"
)</f>
        <v>3K-6K</v>
      </c>
      <c r="AL85" t="str" cm="1">
        <f t="array" ref="AL85">_xlfn.IFS(
HR_Data[[#This Row],[YearsAtCompany]]&lt;2,"&lt;2 Years",
HR_Data[[#This Row],[YearsAtCompany]]&lt;5,"2-4 Years",
HR_Data[[#This Row],[YearsAtCompany]]&lt;10,"5-9 Years",
TRUE,"10+ Years"
)</f>
        <v>10+ Years</v>
      </c>
      <c r="AM85" s="1">
        <f>IF(HR_Data[[#This Row],[Attrition]]="Yes",1,0)</f>
        <v>0</v>
      </c>
    </row>
    <row r="86" spans="1:39" x14ac:dyDescent="0.3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 cm="1">
        <f t="array" ref="AJ86">_xlfn.IFS(
HR_Data[[#This Row],[Age]]&lt;25,"Under 25",
HR_Data[[#This Row],[Age]]&lt;35,"25-34",
HR_Data[[#This Row],[Age]]&lt;45,"35-44",
HR_Data[[#This Row],[Age]]&lt;55,"45-54",
TRUE,"55+"
)</f>
        <v>25-34</v>
      </c>
      <c r="AK86" t="str" cm="1">
        <f t="array" ref="AK86">_xlfn.IFS(
HR_Data[[#This Row],[MonthlyIncome]]&lt;3000,"&lt;3K",
HR_Data[[#This Row],[MonthlyIncome]]&lt;6000,"3K-6K",
HR_Data[[#This Row],[MonthlyIncome]]&lt;10000,"6K-10K",
TRUE,"10K+"
)</f>
        <v>3K-6K</v>
      </c>
      <c r="AL86" t="str" cm="1">
        <f t="array" ref="AL86">_xlfn.IFS(
HR_Data[[#This Row],[YearsAtCompany]]&lt;2,"&lt;2 Years",
HR_Data[[#This Row],[YearsAtCompany]]&lt;5,"2-4 Years",
HR_Data[[#This Row],[YearsAtCompany]]&lt;10,"5-9 Years",
TRUE,"10+ Years"
)</f>
        <v>5-9 Years</v>
      </c>
      <c r="AM86" s="1">
        <f>IF(HR_Data[[#This Row],[Attrition]]="Yes",1,0)</f>
        <v>0</v>
      </c>
    </row>
    <row r="87" spans="1:39" x14ac:dyDescent="0.3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 cm="1">
        <f t="array" ref="AJ87">_xlfn.IFS(
HR_Data[[#This Row],[Age]]&lt;25,"Under 25",
HR_Data[[#This Row],[Age]]&lt;35,"25-34",
HR_Data[[#This Row],[Age]]&lt;45,"35-44",
HR_Data[[#This Row],[Age]]&lt;55,"45-54",
TRUE,"55+"
)</f>
        <v>55+</v>
      </c>
      <c r="AK87" t="str" cm="1">
        <f t="array" ref="AK87">_xlfn.IFS(
HR_Data[[#This Row],[MonthlyIncome]]&lt;3000,"&lt;3K",
HR_Data[[#This Row],[MonthlyIncome]]&lt;6000,"3K-6K",
HR_Data[[#This Row],[MonthlyIncome]]&lt;10000,"6K-10K",
TRUE,"10K+"
)</f>
        <v>6K-10K</v>
      </c>
      <c r="AL87" t="str" cm="1">
        <f t="array" ref="AL87">_xlfn.IFS(
HR_Data[[#This Row],[YearsAtCompany]]&lt;2,"&lt;2 Years",
HR_Data[[#This Row],[YearsAtCompany]]&lt;5,"2-4 Years",
HR_Data[[#This Row],[YearsAtCompany]]&lt;10,"5-9 Years",
TRUE,"10+ Years"
)</f>
        <v>5-9 Years</v>
      </c>
      <c r="AM87" s="1">
        <f>IF(HR_Data[[#This Row],[Attrition]]="Yes",1,0)</f>
        <v>0</v>
      </c>
    </row>
    <row r="88" spans="1:39" x14ac:dyDescent="0.3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 cm="1">
        <f t="array" ref="AJ88">_xlfn.IFS(
HR_Data[[#This Row],[Age]]&lt;25,"Under 25",
HR_Data[[#This Row],[Age]]&lt;35,"25-34",
HR_Data[[#This Row],[Age]]&lt;45,"35-44",
HR_Data[[#This Row],[Age]]&lt;55,"45-54",
TRUE,"55+"
)</f>
        <v>Under 25</v>
      </c>
      <c r="AK88" t="str" cm="1">
        <f t="array" ref="AK88">_xlfn.IFS(
HR_Data[[#This Row],[MonthlyIncome]]&lt;3000,"&lt;3K",
HR_Data[[#This Row],[MonthlyIncome]]&lt;6000,"3K-6K",
HR_Data[[#This Row],[MonthlyIncome]]&lt;10000,"6K-10K",
TRUE,"10K+"
)</f>
        <v>&lt;3K</v>
      </c>
      <c r="AL88" t="str" cm="1">
        <f t="array" ref="AL88">_xlfn.IFS(
HR_Data[[#This Row],[YearsAtCompany]]&lt;2,"&lt;2 Years",
HR_Data[[#This Row],[YearsAtCompany]]&lt;5,"2-4 Years",
HR_Data[[#This Row],[YearsAtCompany]]&lt;10,"5-9 Years",
TRUE,"10+ Years"
)</f>
        <v>&lt;2 Years</v>
      </c>
      <c r="AM88" s="1">
        <f>IF(HR_Data[[#This Row],[Attrition]]="Yes",1,0)</f>
        <v>0</v>
      </c>
    </row>
    <row r="89" spans="1:39" x14ac:dyDescent="0.3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 cm="1">
        <f t="array" ref="AJ89">_xlfn.IFS(
HR_Data[[#This Row],[Age]]&lt;25,"Under 25",
HR_Data[[#This Row],[Age]]&lt;35,"25-34",
HR_Data[[#This Row],[Age]]&lt;45,"35-44",
HR_Data[[#This Row],[Age]]&lt;55,"45-54",
TRUE,"55+"
)</f>
        <v>45-54</v>
      </c>
      <c r="AK89" t="str" cm="1">
        <f t="array" ref="AK89">_xlfn.IFS(
HR_Data[[#This Row],[MonthlyIncome]]&lt;3000,"&lt;3K",
HR_Data[[#This Row],[MonthlyIncome]]&lt;6000,"3K-6K",
HR_Data[[#This Row],[MonthlyIncome]]&lt;10000,"6K-10K",
TRUE,"10K+"
)</f>
        <v>&lt;3K</v>
      </c>
      <c r="AL89" t="str" cm="1">
        <f t="array" ref="AL89">_xlfn.IFS(
HR_Data[[#This Row],[YearsAtCompany]]&lt;2,"&lt;2 Years",
HR_Data[[#This Row],[YearsAtCompany]]&lt;5,"2-4 Years",
HR_Data[[#This Row],[YearsAtCompany]]&lt;10,"5-9 Years",
TRUE,"10+ Years"
)</f>
        <v>2-4 Years</v>
      </c>
      <c r="AM89" s="1">
        <f>IF(HR_Data[[#This Row],[Attrition]]="Yes",1,0)</f>
        <v>0</v>
      </c>
    </row>
    <row r="90" spans="1:39" x14ac:dyDescent="0.3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 cm="1">
        <f t="array" ref="AJ90">_xlfn.IFS(
HR_Data[[#This Row],[Age]]&lt;25,"Under 25",
HR_Data[[#This Row],[Age]]&lt;35,"25-34",
HR_Data[[#This Row],[Age]]&lt;45,"35-44",
HR_Data[[#This Row],[Age]]&lt;55,"45-54",
TRUE,"55+"
)</f>
        <v>25-34</v>
      </c>
      <c r="AK90" t="str" cm="1">
        <f t="array" ref="AK90">_xlfn.IFS(
HR_Data[[#This Row],[MonthlyIncome]]&lt;3000,"&lt;3K",
HR_Data[[#This Row],[MonthlyIncome]]&lt;6000,"3K-6K",
HR_Data[[#This Row],[MonthlyIncome]]&lt;10000,"6K-10K",
TRUE,"10K+"
)</f>
        <v>3K-6K</v>
      </c>
      <c r="AL90" t="str" cm="1">
        <f t="array" ref="AL90">_xlfn.IFS(
HR_Data[[#This Row],[YearsAtCompany]]&lt;2,"&lt;2 Years",
HR_Data[[#This Row],[YearsAtCompany]]&lt;5,"2-4 Years",
HR_Data[[#This Row],[YearsAtCompany]]&lt;10,"5-9 Years",
TRUE,"10+ Years"
)</f>
        <v>10+ Years</v>
      </c>
      <c r="AM90" s="1">
        <f>IF(HR_Data[[#This Row],[Attrition]]="Yes",1,0)</f>
        <v>0</v>
      </c>
    </row>
    <row r="91" spans="1:39" x14ac:dyDescent="0.3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 cm="1">
        <f t="array" ref="AJ91">_xlfn.IFS(
HR_Data[[#This Row],[Age]]&lt;25,"Under 25",
HR_Data[[#This Row],[Age]]&lt;35,"25-34",
HR_Data[[#This Row],[Age]]&lt;45,"35-44",
HR_Data[[#This Row],[Age]]&lt;55,"45-54",
TRUE,"55+"
)</f>
        <v>45-54</v>
      </c>
      <c r="AK91" t="str" cm="1">
        <f t="array" ref="AK91">_xlfn.IFS(
HR_Data[[#This Row],[MonthlyIncome]]&lt;3000,"&lt;3K",
HR_Data[[#This Row],[MonthlyIncome]]&lt;6000,"3K-6K",
HR_Data[[#This Row],[MonthlyIncome]]&lt;10000,"6K-10K",
TRUE,"10K+"
)</f>
        <v>6K-10K</v>
      </c>
      <c r="AL91" t="str" cm="1">
        <f t="array" ref="AL91">_xlfn.IFS(
HR_Data[[#This Row],[YearsAtCompany]]&lt;2,"&lt;2 Years",
HR_Data[[#This Row],[YearsAtCompany]]&lt;5,"2-4 Years",
HR_Data[[#This Row],[YearsAtCompany]]&lt;10,"5-9 Years",
TRUE,"10+ Years"
)</f>
        <v>5-9 Years</v>
      </c>
      <c r="AM91" s="1">
        <f>IF(HR_Data[[#This Row],[Attrition]]="Yes",1,0)</f>
        <v>1</v>
      </c>
    </row>
    <row r="92" spans="1:39" x14ac:dyDescent="0.3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 cm="1">
        <f t="array" ref="AJ92">_xlfn.IFS(
HR_Data[[#This Row],[Age]]&lt;25,"Under 25",
HR_Data[[#This Row],[Age]]&lt;35,"25-34",
HR_Data[[#This Row],[Age]]&lt;45,"35-44",
HR_Data[[#This Row],[Age]]&lt;55,"45-54",
TRUE,"55+"
)</f>
        <v>35-44</v>
      </c>
      <c r="AK92" t="str" cm="1">
        <f t="array" ref="AK92">_xlfn.IFS(
HR_Data[[#This Row],[MonthlyIncome]]&lt;3000,"&lt;3K",
HR_Data[[#This Row],[MonthlyIncome]]&lt;6000,"3K-6K",
HR_Data[[#This Row],[MonthlyIncome]]&lt;10000,"6K-10K",
TRUE,"10K+"
)</f>
        <v>10K+</v>
      </c>
      <c r="AL92" t="str" cm="1">
        <f t="array" ref="AL92">_xlfn.IFS(
HR_Data[[#This Row],[YearsAtCompany]]&lt;2,"&lt;2 Years",
HR_Data[[#This Row],[YearsAtCompany]]&lt;5,"2-4 Years",
HR_Data[[#This Row],[YearsAtCompany]]&lt;10,"5-9 Years",
TRUE,"10+ Years"
)</f>
        <v>10+ Years</v>
      </c>
      <c r="AM92" s="1">
        <f>IF(HR_Data[[#This Row],[Attrition]]="Yes",1,0)</f>
        <v>0</v>
      </c>
    </row>
    <row r="93" spans="1:39" x14ac:dyDescent="0.3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 cm="1">
        <f t="array" ref="AJ93">_xlfn.IFS(
HR_Data[[#This Row],[Age]]&lt;25,"Under 25",
HR_Data[[#This Row],[Age]]&lt;35,"25-34",
HR_Data[[#This Row],[Age]]&lt;45,"35-44",
HR_Data[[#This Row],[Age]]&lt;55,"45-54",
TRUE,"55+"
)</f>
        <v>45-54</v>
      </c>
      <c r="AK93" t="str" cm="1">
        <f t="array" ref="AK93">_xlfn.IFS(
HR_Data[[#This Row],[MonthlyIncome]]&lt;3000,"&lt;3K",
HR_Data[[#This Row],[MonthlyIncome]]&lt;6000,"3K-6K",
HR_Data[[#This Row],[MonthlyIncome]]&lt;10000,"6K-10K",
TRUE,"10K+"
)</f>
        <v>3K-6K</v>
      </c>
      <c r="AL93" t="str" cm="1">
        <f t="array" ref="AL93">_xlfn.IFS(
HR_Data[[#This Row],[YearsAtCompany]]&lt;2,"&lt;2 Years",
HR_Data[[#This Row],[YearsAtCompany]]&lt;5,"2-4 Years",
HR_Data[[#This Row],[YearsAtCompany]]&lt;10,"5-9 Years",
TRUE,"10+ Years"
)</f>
        <v>10+ Years</v>
      </c>
      <c r="AM93" s="1">
        <f>IF(HR_Data[[#This Row],[Attrition]]="Yes",1,0)</f>
        <v>0</v>
      </c>
    </row>
    <row r="94" spans="1:39" x14ac:dyDescent="0.3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 cm="1">
        <f t="array" ref="AJ94">_xlfn.IFS(
HR_Data[[#This Row],[Age]]&lt;25,"Under 25",
HR_Data[[#This Row],[Age]]&lt;35,"25-34",
HR_Data[[#This Row],[Age]]&lt;45,"35-44",
HR_Data[[#This Row],[Age]]&lt;55,"45-54",
TRUE,"55+"
)</f>
        <v>25-34</v>
      </c>
      <c r="AK94" t="str" cm="1">
        <f t="array" ref="AK94">_xlfn.IFS(
HR_Data[[#This Row],[MonthlyIncome]]&lt;3000,"&lt;3K",
HR_Data[[#This Row],[MonthlyIncome]]&lt;6000,"3K-6K",
HR_Data[[#This Row],[MonthlyIncome]]&lt;10000,"6K-10K",
TRUE,"10K+"
)</f>
        <v>3K-6K</v>
      </c>
      <c r="AL94" t="str" cm="1">
        <f t="array" ref="AL94">_xlfn.IFS(
HR_Data[[#This Row],[YearsAtCompany]]&lt;2,"&lt;2 Years",
HR_Data[[#This Row],[YearsAtCompany]]&lt;5,"2-4 Years",
HR_Data[[#This Row],[YearsAtCompany]]&lt;10,"5-9 Years",
TRUE,"10+ Years"
)</f>
        <v>10+ Years</v>
      </c>
      <c r="AM94" s="1">
        <f>IF(HR_Data[[#This Row],[Attrition]]="Yes",1,0)</f>
        <v>0</v>
      </c>
    </row>
    <row r="95" spans="1:39" x14ac:dyDescent="0.3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 cm="1">
        <f t="array" ref="AJ95">_xlfn.IFS(
HR_Data[[#This Row],[Age]]&lt;25,"Under 25",
HR_Data[[#This Row],[Age]]&lt;35,"25-34",
HR_Data[[#This Row],[Age]]&lt;45,"35-44",
HR_Data[[#This Row],[Age]]&lt;55,"45-54",
TRUE,"55+"
)</f>
        <v>45-54</v>
      </c>
      <c r="AK95" t="str" cm="1">
        <f t="array" ref="AK95">_xlfn.IFS(
HR_Data[[#This Row],[MonthlyIncome]]&lt;3000,"&lt;3K",
HR_Data[[#This Row],[MonthlyIncome]]&lt;6000,"3K-6K",
HR_Data[[#This Row],[MonthlyIncome]]&lt;10000,"6K-10K",
TRUE,"10K+"
)</f>
        <v>10K+</v>
      </c>
      <c r="AL95" t="str" cm="1">
        <f t="array" ref="AL95">_xlfn.IFS(
HR_Data[[#This Row],[YearsAtCompany]]&lt;2,"&lt;2 Years",
HR_Data[[#This Row],[YearsAtCompany]]&lt;5,"2-4 Years",
HR_Data[[#This Row],[YearsAtCompany]]&lt;10,"5-9 Years",
TRUE,"10+ Years"
)</f>
        <v>10+ Years</v>
      </c>
      <c r="AM95" s="1">
        <f>IF(HR_Data[[#This Row],[Attrition]]="Yes",1,0)</f>
        <v>0</v>
      </c>
    </row>
    <row r="96" spans="1:39" x14ac:dyDescent="0.3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 cm="1">
        <f t="array" ref="AJ96">_xlfn.IFS(
HR_Data[[#This Row],[Age]]&lt;25,"Under 25",
HR_Data[[#This Row],[Age]]&lt;35,"25-34",
HR_Data[[#This Row],[Age]]&lt;45,"35-44",
HR_Data[[#This Row],[Age]]&lt;55,"45-54",
TRUE,"55+"
)</f>
        <v>25-34</v>
      </c>
      <c r="AK96" t="str" cm="1">
        <f t="array" ref="AK96">_xlfn.IFS(
HR_Data[[#This Row],[MonthlyIncome]]&lt;3000,"&lt;3K",
HR_Data[[#This Row],[MonthlyIncome]]&lt;6000,"3K-6K",
HR_Data[[#This Row],[MonthlyIncome]]&lt;10000,"6K-10K",
TRUE,"10K+"
)</f>
        <v>3K-6K</v>
      </c>
      <c r="AL96" t="str" cm="1">
        <f t="array" ref="AL96">_xlfn.IFS(
HR_Data[[#This Row],[YearsAtCompany]]&lt;2,"&lt;2 Years",
HR_Data[[#This Row],[YearsAtCompany]]&lt;5,"2-4 Years",
HR_Data[[#This Row],[YearsAtCompany]]&lt;10,"5-9 Years",
TRUE,"10+ Years"
)</f>
        <v>10+ Years</v>
      </c>
      <c r="AM96" s="1">
        <f>IF(HR_Data[[#This Row],[Attrition]]="Yes",1,0)</f>
        <v>0</v>
      </c>
    </row>
    <row r="97" spans="1:39" x14ac:dyDescent="0.3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 cm="1">
        <f t="array" ref="AJ97">_xlfn.IFS(
HR_Data[[#This Row],[Age]]&lt;25,"Under 25",
HR_Data[[#This Row],[Age]]&lt;35,"25-34",
HR_Data[[#This Row],[Age]]&lt;45,"35-44",
HR_Data[[#This Row],[Age]]&lt;55,"45-54",
TRUE,"55+"
)</f>
        <v>45-54</v>
      </c>
      <c r="AK97" t="str" cm="1">
        <f t="array" ref="AK97">_xlfn.IFS(
HR_Data[[#This Row],[MonthlyIncome]]&lt;3000,"&lt;3K",
HR_Data[[#This Row],[MonthlyIncome]]&lt;6000,"3K-6K",
HR_Data[[#This Row],[MonthlyIncome]]&lt;10000,"6K-10K",
TRUE,"10K+"
)</f>
        <v>10K+</v>
      </c>
      <c r="AL97" t="str" cm="1">
        <f t="array" ref="AL97">_xlfn.IFS(
HR_Data[[#This Row],[YearsAtCompany]]&lt;2,"&lt;2 Years",
HR_Data[[#This Row],[YearsAtCompany]]&lt;5,"2-4 Years",
HR_Data[[#This Row],[YearsAtCompany]]&lt;10,"5-9 Years",
TRUE,"10+ Years"
)</f>
        <v>2-4 Years</v>
      </c>
      <c r="AM97" s="1">
        <f>IF(HR_Data[[#This Row],[Attrition]]="Yes",1,0)</f>
        <v>0</v>
      </c>
    </row>
    <row r="98" spans="1:39" x14ac:dyDescent="0.3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 cm="1">
        <f t="array" ref="AJ98">_xlfn.IFS(
HR_Data[[#This Row],[Age]]&lt;25,"Under 25",
HR_Data[[#This Row],[Age]]&lt;35,"25-34",
HR_Data[[#This Row],[Age]]&lt;45,"35-44",
HR_Data[[#This Row],[Age]]&lt;55,"45-54",
TRUE,"55+"
)</f>
        <v>Under 25</v>
      </c>
      <c r="AK98" t="str" cm="1">
        <f t="array" ref="AK98">_xlfn.IFS(
HR_Data[[#This Row],[MonthlyIncome]]&lt;3000,"&lt;3K",
HR_Data[[#This Row],[MonthlyIncome]]&lt;6000,"3K-6K",
HR_Data[[#This Row],[MonthlyIncome]]&lt;10000,"6K-10K",
TRUE,"10K+"
)</f>
        <v>3K-6K</v>
      </c>
      <c r="AL98" t="str" cm="1">
        <f t="array" ref="AL98">_xlfn.IFS(
HR_Data[[#This Row],[YearsAtCompany]]&lt;2,"&lt;2 Years",
HR_Data[[#This Row],[YearsAtCompany]]&lt;5,"2-4 Years",
HR_Data[[#This Row],[YearsAtCompany]]&lt;10,"5-9 Years",
TRUE,"10+ Years"
)</f>
        <v>2-4 Years</v>
      </c>
      <c r="AM98" s="1">
        <f>IF(HR_Data[[#This Row],[Attrition]]="Yes",1,0)</f>
        <v>0</v>
      </c>
    </row>
    <row r="99" spans="1:39" x14ac:dyDescent="0.3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 cm="1">
        <f t="array" ref="AJ99">_xlfn.IFS(
HR_Data[[#This Row],[Age]]&lt;25,"Under 25",
HR_Data[[#This Row],[Age]]&lt;35,"25-34",
HR_Data[[#This Row],[Age]]&lt;45,"35-44",
HR_Data[[#This Row],[Age]]&lt;55,"45-54",
TRUE,"55+"
)</f>
        <v>25-34</v>
      </c>
      <c r="AK99" t="str" cm="1">
        <f t="array" ref="AK99">_xlfn.IFS(
HR_Data[[#This Row],[MonthlyIncome]]&lt;3000,"&lt;3K",
HR_Data[[#This Row],[MonthlyIncome]]&lt;6000,"3K-6K",
HR_Data[[#This Row],[MonthlyIncome]]&lt;10000,"6K-10K",
TRUE,"10K+"
)</f>
        <v>3K-6K</v>
      </c>
      <c r="AL99" t="str" cm="1">
        <f t="array" ref="AL99">_xlfn.IFS(
HR_Data[[#This Row],[YearsAtCompany]]&lt;2,"&lt;2 Years",
HR_Data[[#This Row],[YearsAtCompany]]&lt;5,"2-4 Years",
HR_Data[[#This Row],[YearsAtCompany]]&lt;10,"5-9 Years",
TRUE,"10+ Years"
)</f>
        <v>5-9 Years</v>
      </c>
      <c r="AM99" s="1">
        <f>IF(HR_Data[[#This Row],[Attrition]]="Yes",1,0)</f>
        <v>0</v>
      </c>
    </row>
    <row r="100" spans="1:39" x14ac:dyDescent="0.3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 cm="1">
        <f t="array" ref="AJ100">_xlfn.IFS(
HR_Data[[#This Row],[Age]]&lt;25,"Under 25",
HR_Data[[#This Row],[Age]]&lt;35,"25-34",
HR_Data[[#This Row],[Age]]&lt;45,"35-44",
HR_Data[[#This Row],[Age]]&lt;55,"45-54",
TRUE,"55+"
)</f>
        <v>55+</v>
      </c>
      <c r="AK100" t="str" cm="1">
        <f t="array" ref="AK100">_xlfn.IFS(
HR_Data[[#This Row],[MonthlyIncome]]&lt;3000,"&lt;3K",
HR_Data[[#This Row],[MonthlyIncome]]&lt;6000,"3K-6K",
HR_Data[[#This Row],[MonthlyIncome]]&lt;10000,"6K-10K",
TRUE,"10K+"
)</f>
        <v>10K+</v>
      </c>
      <c r="AL100" t="str" cm="1">
        <f t="array" ref="AL100">_xlfn.IFS(
HR_Data[[#This Row],[YearsAtCompany]]&lt;2,"&lt;2 Years",
HR_Data[[#This Row],[YearsAtCompany]]&lt;5,"2-4 Years",
HR_Data[[#This Row],[YearsAtCompany]]&lt;10,"5-9 Years",
TRUE,"10+ Years"
)</f>
        <v>10+ Years</v>
      </c>
      <c r="AM100" s="1">
        <f>IF(HR_Data[[#This Row],[Attrition]]="Yes",1,0)</f>
        <v>0</v>
      </c>
    </row>
    <row r="101" spans="1:39" x14ac:dyDescent="0.3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 cm="1">
        <f t="array" ref="AJ101">_xlfn.IFS(
HR_Data[[#This Row],[Age]]&lt;25,"Under 25",
HR_Data[[#This Row],[Age]]&lt;35,"25-34",
HR_Data[[#This Row],[Age]]&lt;45,"35-44",
HR_Data[[#This Row],[Age]]&lt;55,"45-54",
TRUE,"55+"
)</f>
        <v>35-44</v>
      </c>
      <c r="AK101" t="str" cm="1">
        <f t="array" ref="AK101">_xlfn.IFS(
HR_Data[[#This Row],[MonthlyIncome]]&lt;3000,"&lt;3K",
HR_Data[[#This Row],[MonthlyIncome]]&lt;6000,"3K-6K",
HR_Data[[#This Row],[MonthlyIncome]]&lt;10000,"6K-10K",
TRUE,"10K+"
)</f>
        <v>&lt;3K</v>
      </c>
      <c r="AL101" t="str" cm="1">
        <f t="array" ref="AL101">_xlfn.IFS(
HR_Data[[#This Row],[YearsAtCompany]]&lt;2,"&lt;2 Years",
HR_Data[[#This Row],[YearsAtCompany]]&lt;5,"2-4 Years",
HR_Data[[#This Row],[YearsAtCompany]]&lt;10,"5-9 Years",
TRUE,"10+ Years"
)</f>
        <v>2-4 Years</v>
      </c>
      <c r="AM101" s="1">
        <f>IF(HR_Data[[#This Row],[Attrition]]="Yes",1,0)</f>
        <v>0</v>
      </c>
    </row>
    <row r="102" spans="1:39" x14ac:dyDescent="0.3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 cm="1">
        <f t="array" ref="AJ102">_xlfn.IFS(
HR_Data[[#This Row],[Age]]&lt;25,"Under 25",
HR_Data[[#This Row],[Age]]&lt;35,"25-34",
HR_Data[[#This Row],[Age]]&lt;45,"35-44",
HR_Data[[#This Row],[Age]]&lt;55,"45-54",
TRUE,"55+"
)</f>
        <v>35-44</v>
      </c>
      <c r="AK102" t="str" cm="1">
        <f t="array" ref="AK102">_xlfn.IFS(
HR_Data[[#This Row],[MonthlyIncome]]&lt;3000,"&lt;3K",
HR_Data[[#This Row],[MonthlyIncome]]&lt;6000,"3K-6K",
HR_Data[[#This Row],[MonthlyIncome]]&lt;10000,"6K-10K",
TRUE,"10K+"
)</f>
        <v>&lt;3K</v>
      </c>
      <c r="AL102" t="str" cm="1">
        <f t="array" ref="AL102">_xlfn.IFS(
HR_Data[[#This Row],[YearsAtCompany]]&lt;2,"&lt;2 Years",
HR_Data[[#This Row],[YearsAtCompany]]&lt;5,"2-4 Years",
HR_Data[[#This Row],[YearsAtCompany]]&lt;10,"5-9 Years",
TRUE,"10+ Years"
)</f>
        <v>2-4 Years</v>
      </c>
      <c r="AM102" s="1">
        <f>IF(HR_Data[[#This Row],[Attrition]]="Yes",1,0)</f>
        <v>1</v>
      </c>
    </row>
    <row r="103" spans="1:39" x14ac:dyDescent="0.3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 cm="1">
        <f t="array" ref="AJ103">_xlfn.IFS(
HR_Data[[#This Row],[Age]]&lt;25,"Under 25",
HR_Data[[#This Row],[Age]]&lt;35,"25-34",
HR_Data[[#This Row],[Age]]&lt;45,"35-44",
HR_Data[[#This Row],[Age]]&lt;55,"45-54",
TRUE,"55+"
)</f>
        <v>25-34</v>
      </c>
      <c r="AK103" t="str" cm="1">
        <f t="array" ref="AK103">_xlfn.IFS(
HR_Data[[#This Row],[MonthlyIncome]]&lt;3000,"&lt;3K",
HR_Data[[#This Row],[MonthlyIncome]]&lt;6000,"3K-6K",
HR_Data[[#This Row],[MonthlyIncome]]&lt;10000,"6K-10K",
TRUE,"10K+"
)</f>
        <v>&lt;3K</v>
      </c>
      <c r="AL103" t="str" cm="1">
        <f t="array" ref="AL103">_xlfn.IFS(
HR_Data[[#This Row],[YearsAtCompany]]&lt;2,"&lt;2 Years",
HR_Data[[#This Row],[YearsAtCompany]]&lt;5,"2-4 Years",
HR_Data[[#This Row],[YearsAtCompany]]&lt;10,"5-9 Years",
TRUE,"10+ Years"
)</f>
        <v>&lt;2 Years</v>
      </c>
      <c r="AM103" s="1">
        <f>IF(HR_Data[[#This Row],[Attrition]]="Yes",1,0)</f>
        <v>0</v>
      </c>
    </row>
    <row r="104" spans="1:39" x14ac:dyDescent="0.3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 cm="1">
        <f t="array" ref="AJ104">_xlfn.IFS(
HR_Data[[#This Row],[Age]]&lt;25,"Under 25",
HR_Data[[#This Row],[Age]]&lt;35,"25-34",
HR_Data[[#This Row],[Age]]&lt;45,"35-44",
HR_Data[[#This Row],[Age]]&lt;55,"45-54",
TRUE,"55+"
)</f>
        <v>Under 25</v>
      </c>
      <c r="AK104" t="str" cm="1">
        <f t="array" ref="AK104">_xlfn.IFS(
HR_Data[[#This Row],[MonthlyIncome]]&lt;3000,"&lt;3K",
HR_Data[[#This Row],[MonthlyIncome]]&lt;6000,"3K-6K",
HR_Data[[#This Row],[MonthlyIncome]]&lt;10000,"6K-10K",
TRUE,"10K+"
)</f>
        <v>&lt;3K</v>
      </c>
      <c r="AL104" t="str" cm="1">
        <f t="array" ref="AL104">_xlfn.IFS(
HR_Data[[#This Row],[YearsAtCompany]]&lt;2,"&lt;2 Years",
HR_Data[[#This Row],[YearsAtCompany]]&lt;5,"2-4 Years",
HR_Data[[#This Row],[YearsAtCompany]]&lt;10,"5-9 Years",
TRUE,"10+ Years"
)</f>
        <v>&lt;2 Years</v>
      </c>
      <c r="AM104" s="1">
        <f>IF(HR_Data[[#This Row],[Attrition]]="Yes",1,0)</f>
        <v>1</v>
      </c>
    </row>
    <row r="105" spans="1:39" x14ac:dyDescent="0.3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 cm="1">
        <f t="array" ref="AJ105">_xlfn.IFS(
HR_Data[[#This Row],[Age]]&lt;25,"Under 25",
HR_Data[[#This Row],[Age]]&lt;35,"25-34",
HR_Data[[#This Row],[Age]]&lt;45,"35-44",
HR_Data[[#This Row],[Age]]&lt;55,"45-54",
TRUE,"55+"
)</f>
        <v>25-34</v>
      </c>
      <c r="AK105" t="str" cm="1">
        <f t="array" ref="AK105">_xlfn.IFS(
HR_Data[[#This Row],[MonthlyIncome]]&lt;3000,"&lt;3K",
HR_Data[[#This Row],[MonthlyIncome]]&lt;6000,"3K-6K",
HR_Data[[#This Row],[MonthlyIncome]]&lt;10000,"6K-10K",
TRUE,"10K+"
)</f>
        <v>3K-6K</v>
      </c>
      <c r="AL105" t="str" cm="1">
        <f t="array" ref="AL105">_xlfn.IFS(
HR_Data[[#This Row],[YearsAtCompany]]&lt;2,"&lt;2 Years",
HR_Data[[#This Row],[YearsAtCompany]]&lt;5,"2-4 Years",
HR_Data[[#This Row],[YearsAtCompany]]&lt;10,"5-9 Years",
TRUE,"10+ Years"
)</f>
        <v>10+ Years</v>
      </c>
      <c r="AM105" s="1">
        <f>IF(HR_Data[[#This Row],[Attrition]]="Yes",1,0)</f>
        <v>0</v>
      </c>
    </row>
    <row r="106" spans="1:39" x14ac:dyDescent="0.3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 cm="1">
        <f t="array" ref="AJ106">_xlfn.IFS(
HR_Data[[#This Row],[Age]]&lt;25,"Under 25",
HR_Data[[#This Row],[Age]]&lt;35,"25-34",
HR_Data[[#This Row],[Age]]&lt;45,"35-44",
HR_Data[[#This Row],[Age]]&lt;55,"45-54",
TRUE,"55+"
)</f>
        <v>35-44</v>
      </c>
      <c r="AK106" t="str" cm="1">
        <f t="array" ref="AK106">_xlfn.IFS(
HR_Data[[#This Row],[MonthlyIncome]]&lt;3000,"&lt;3K",
HR_Data[[#This Row],[MonthlyIncome]]&lt;6000,"3K-6K",
HR_Data[[#This Row],[MonthlyIncome]]&lt;10000,"6K-10K",
TRUE,"10K+"
)</f>
        <v>3K-6K</v>
      </c>
      <c r="AL106" t="str" cm="1">
        <f t="array" ref="AL106">_xlfn.IFS(
HR_Data[[#This Row],[YearsAtCompany]]&lt;2,"&lt;2 Years",
HR_Data[[#This Row],[YearsAtCompany]]&lt;5,"2-4 Years",
HR_Data[[#This Row],[YearsAtCompany]]&lt;10,"5-9 Years",
TRUE,"10+ Years"
)</f>
        <v>&lt;2 Years</v>
      </c>
      <c r="AM106" s="1">
        <f>IF(HR_Data[[#This Row],[Attrition]]="Yes",1,0)</f>
        <v>0</v>
      </c>
    </row>
    <row r="107" spans="1:39" x14ac:dyDescent="0.3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 cm="1">
        <f t="array" ref="AJ107">_xlfn.IFS(
HR_Data[[#This Row],[Age]]&lt;25,"Under 25",
HR_Data[[#This Row],[Age]]&lt;35,"25-34",
HR_Data[[#This Row],[Age]]&lt;45,"35-44",
HR_Data[[#This Row],[Age]]&lt;55,"45-54",
TRUE,"55+"
)</f>
        <v>55+</v>
      </c>
      <c r="AK107" t="str" cm="1">
        <f t="array" ref="AK107">_xlfn.IFS(
HR_Data[[#This Row],[MonthlyIncome]]&lt;3000,"&lt;3K",
HR_Data[[#This Row],[MonthlyIncome]]&lt;6000,"3K-6K",
HR_Data[[#This Row],[MonthlyIncome]]&lt;10000,"6K-10K",
TRUE,"10K+"
)</f>
        <v>10K+</v>
      </c>
      <c r="AL107" t="str" cm="1">
        <f t="array" ref="AL107">_xlfn.IFS(
HR_Data[[#This Row],[YearsAtCompany]]&lt;2,"&lt;2 Years",
HR_Data[[#This Row],[YearsAtCompany]]&lt;5,"2-4 Years",
HR_Data[[#This Row],[YearsAtCompany]]&lt;10,"5-9 Years",
TRUE,"10+ Years"
)</f>
        <v>2-4 Years</v>
      </c>
      <c r="AM107" s="1">
        <f>IF(HR_Data[[#This Row],[Attrition]]="Yes",1,0)</f>
        <v>0</v>
      </c>
    </row>
    <row r="108" spans="1:39" x14ac:dyDescent="0.3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 cm="1">
        <f t="array" ref="AJ108">_xlfn.IFS(
HR_Data[[#This Row],[Age]]&lt;25,"Under 25",
HR_Data[[#This Row],[Age]]&lt;35,"25-34",
HR_Data[[#This Row],[Age]]&lt;45,"35-44",
HR_Data[[#This Row],[Age]]&lt;55,"45-54",
TRUE,"55+"
)</f>
        <v>45-54</v>
      </c>
      <c r="AK108" t="str" cm="1">
        <f t="array" ref="AK108">_xlfn.IFS(
HR_Data[[#This Row],[MonthlyIncome]]&lt;3000,"&lt;3K",
HR_Data[[#This Row],[MonthlyIncome]]&lt;6000,"3K-6K",
HR_Data[[#This Row],[MonthlyIncome]]&lt;10000,"6K-10K",
TRUE,"10K+"
)</f>
        <v>10K+</v>
      </c>
      <c r="AL108" t="str" cm="1">
        <f t="array" ref="AL108">_xlfn.IFS(
HR_Data[[#This Row],[YearsAtCompany]]&lt;2,"&lt;2 Years",
HR_Data[[#This Row],[YearsAtCompany]]&lt;5,"2-4 Years",
HR_Data[[#This Row],[YearsAtCompany]]&lt;10,"5-9 Years",
TRUE,"10+ Years"
)</f>
        <v>5-9 Years</v>
      </c>
      <c r="AM108" s="1">
        <f>IF(HR_Data[[#This Row],[Attrition]]="Yes",1,0)</f>
        <v>0</v>
      </c>
    </row>
    <row r="109" spans="1:39" x14ac:dyDescent="0.3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 cm="1">
        <f t="array" ref="AJ109">_xlfn.IFS(
HR_Data[[#This Row],[Age]]&lt;25,"Under 25",
HR_Data[[#This Row],[Age]]&lt;35,"25-34",
HR_Data[[#This Row],[Age]]&lt;45,"35-44",
HR_Data[[#This Row],[Age]]&lt;55,"45-54",
TRUE,"55+"
)</f>
        <v>25-34</v>
      </c>
      <c r="AK109" t="str" cm="1">
        <f t="array" ref="AK109">_xlfn.IFS(
HR_Data[[#This Row],[MonthlyIncome]]&lt;3000,"&lt;3K",
HR_Data[[#This Row],[MonthlyIncome]]&lt;6000,"3K-6K",
HR_Data[[#This Row],[MonthlyIncome]]&lt;10000,"6K-10K",
TRUE,"10K+"
)</f>
        <v>3K-6K</v>
      </c>
      <c r="AL109" t="str" cm="1">
        <f t="array" ref="AL109">_xlfn.IFS(
HR_Data[[#This Row],[YearsAtCompany]]&lt;2,"&lt;2 Years",
HR_Data[[#This Row],[YearsAtCompany]]&lt;5,"2-4 Years",
HR_Data[[#This Row],[YearsAtCompany]]&lt;10,"5-9 Years",
TRUE,"10+ Years"
)</f>
        <v>5-9 Years</v>
      </c>
      <c r="AM109" s="1">
        <f>IF(HR_Data[[#This Row],[Attrition]]="Yes",1,0)</f>
        <v>1</v>
      </c>
    </row>
    <row r="110" spans="1:39" x14ac:dyDescent="0.3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 cm="1">
        <f t="array" ref="AJ110">_xlfn.IFS(
HR_Data[[#This Row],[Age]]&lt;25,"Under 25",
HR_Data[[#This Row],[Age]]&lt;35,"25-34",
HR_Data[[#This Row],[Age]]&lt;45,"35-44",
HR_Data[[#This Row],[Age]]&lt;55,"45-54",
TRUE,"55+"
)</f>
        <v>25-34</v>
      </c>
      <c r="AK110" t="str" cm="1">
        <f t="array" ref="AK110">_xlfn.IFS(
HR_Data[[#This Row],[MonthlyIncome]]&lt;3000,"&lt;3K",
HR_Data[[#This Row],[MonthlyIncome]]&lt;6000,"3K-6K",
HR_Data[[#This Row],[MonthlyIncome]]&lt;10000,"6K-10K",
TRUE,"10K+"
)</f>
        <v>&lt;3K</v>
      </c>
      <c r="AL110" t="str" cm="1">
        <f t="array" ref="AL110">_xlfn.IFS(
HR_Data[[#This Row],[YearsAtCompany]]&lt;2,"&lt;2 Years",
HR_Data[[#This Row],[YearsAtCompany]]&lt;5,"2-4 Years",
HR_Data[[#This Row],[YearsAtCompany]]&lt;10,"5-9 Years",
TRUE,"10+ Years"
)</f>
        <v>2-4 Years</v>
      </c>
      <c r="AM110" s="1">
        <f>IF(HR_Data[[#This Row],[Attrition]]="Yes",1,0)</f>
        <v>0</v>
      </c>
    </row>
    <row r="111" spans="1:39" x14ac:dyDescent="0.3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 cm="1">
        <f t="array" ref="AJ111">_xlfn.IFS(
HR_Data[[#This Row],[Age]]&lt;25,"Under 25",
HR_Data[[#This Row],[Age]]&lt;35,"25-34",
HR_Data[[#This Row],[Age]]&lt;45,"35-44",
HR_Data[[#This Row],[Age]]&lt;55,"45-54",
TRUE,"55+"
)</f>
        <v>Under 25</v>
      </c>
      <c r="AK111" t="str" cm="1">
        <f t="array" ref="AK111">_xlfn.IFS(
HR_Data[[#This Row],[MonthlyIncome]]&lt;3000,"&lt;3K",
HR_Data[[#This Row],[MonthlyIncome]]&lt;6000,"3K-6K",
HR_Data[[#This Row],[MonthlyIncome]]&lt;10000,"6K-10K",
TRUE,"10K+"
)</f>
        <v>&lt;3K</v>
      </c>
      <c r="AL111" t="str" cm="1">
        <f t="array" ref="AL111">_xlfn.IFS(
HR_Data[[#This Row],[YearsAtCompany]]&lt;2,"&lt;2 Years",
HR_Data[[#This Row],[YearsAtCompany]]&lt;5,"2-4 Years",
HR_Data[[#This Row],[YearsAtCompany]]&lt;10,"5-9 Years",
TRUE,"10+ Years"
)</f>
        <v>&lt;2 Years</v>
      </c>
      <c r="AM111" s="1">
        <f>IF(HR_Data[[#This Row],[Attrition]]="Yes",1,0)</f>
        <v>0</v>
      </c>
    </row>
    <row r="112" spans="1:39" x14ac:dyDescent="0.3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 cm="1">
        <f t="array" ref="AJ112">_xlfn.IFS(
HR_Data[[#This Row],[Age]]&lt;25,"Under 25",
HR_Data[[#This Row],[Age]]&lt;35,"25-34",
HR_Data[[#This Row],[Age]]&lt;45,"35-44",
HR_Data[[#This Row],[Age]]&lt;55,"45-54",
TRUE,"55+"
)</f>
        <v>45-54</v>
      </c>
      <c r="AK112" t="str" cm="1">
        <f t="array" ref="AK112">_xlfn.IFS(
HR_Data[[#This Row],[MonthlyIncome]]&lt;3000,"&lt;3K",
HR_Data[[#This Row],[MonthlyIncome]]&lt;6000,"3K-6K",
HR_Data[[#This Row],[MonthlyIncome]]&lt;10000,"6K-10K",
TRUE,"10K+"
)</f>
        <v>6K-10K</v>
      </c>
      <c r="AL112" t="str" cm="1">
        <f t="array" ref="AL112">_xlfn.IFS(
HR_Data[[#This Row],[YearsAtCompany]]&lt;2,"&lt;2 Years",
HR_Data[[#This Row],[YearsAtCompany]]&lt;5,"2-4 Years",
HR_Data[[#This Row],[YearsAtCompany]]&lt;10,"5-9 Years",
TRUE,"10+ Years"
)</f>
        <v>10+ Years</v>
      </c>
      <c r="AM112" s="1">
        <f>IF(HR_Data[[#This Row],[Attrition]]="Yes",1,0)</f>
        <v>0</v>
      </c>
    </row>
    <row r="113" spans="1:39" x14ac:dyDescent="0.3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 cm="1">
        <f t="array" ref="AJ113">_xlfn.IFS(
HR_Data[[#This Row],[Age]]&lt;25,"Under 25",
HR_Data[[#This Row],[Age]]&lt;35,"25-34",
HR_Data[[#This Row],[Age]]&lt;45,"35-44",
HR_Data[[#This Row],[Age]]&lt;55,"45-54",
TRUE,"55+"
)</f>
        <v>25-34</v>
      </c>
      <c r="AK113" t="str" cm="1">
        <f t="array" ref="AK113">_xlfn.IFS(
HR_Data[[#This Row],[MonthlyIncome]]&lt;3000,"&lt;3K",
HR_Data[[#This Row],[MonthlyIncome]]&lt;6000,"3K-6K",
HR_Data[[#This Row],[MonthlyIncome]]&lt;10000,"6K-10K",
TRUE,"10K+"
)</f>
        <v>6K-10K</v>
      </c>
      <c r="AL113" t="str" cm="1">
        <f t="array" ref="AL113">_xlfn.IFS(
HR_Data[[#This Row],[YearsAtCompany]]&lt;2,"&lt;2 Years",
HR_Data[[#This Row],[YearsAtCompany]]&lt;5,"2-4 Years",
HR_Data[[#This Row],[YearsAtCompany]]&lt;10,"5-9 Years",
TRUE,"10+ Years"
)</f>
        <v>5-9 Years</v>
      </c>
      <c r="AM113" s="1">
        <f>IF(HR_Data[[#This Row],[Attrition]]="Yes",1,0)</f>
        <v>1</v>
      </c>
    </row>
    <row r="114" spans="1:39" x14ac:dyDescent="0.3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 cm="1">
        <f t="array" ref="AJ114">_xlfn.IFS(
HR_Data[[#This Row],[Age]]&lt;25,"Under 25",
HR_Data[[#This Row],[Age]]&lt;35,"25-34",
HR_Data[[#This Row],[Age]]&lt;45,"35-44",
HR_Data[[#This Row],[Age]]&lt;55,"45-54",
TRUE,"55+"
)</f>
        <v>45-54</v>
      </c>
      <c r="AK114" t="str" cm="1">
        <f t="array" ref="AK114">_xlfn.IFS(
HR_Data[[#This Row],[MonthlyIncome]]&lt;3000,"&lt;3K",
HR_Data[[#This Row],[MonthlyIncome]]&lt;6000,"3K-6K",
HR_Data[[#This Row],[MonthlyIncome]]&lt;10000,"6K-10K",
TRUE,"10K+"
)</f>
        <v>10K+</v>
      </c>
      <c r="AL114" t="str" cm="1">
        <f t="array" ref="AL114">_xlfn.IFS(
HR_Data[[#This Row],[YearsAtCompany]]&lt;2,"&lt;2 Years",
HR_Data[[#This Row],[YearsAtCompany]]&lt;5,"2-4 Years",
HR_Data[[#This Row],[YearsAtCompany]]&lt;10,"5-9 Years",
TRUE,"10+ Years"
)</f>
        <v>5-9 Years</v>
      </c>
      <c r="AM114" s="1">
        <f>IF(HR_Data[[#This Row],[Attrition]]="Yes",1,0)</f>
        <v>0</v>
      </c>
    </row>
    <row r="115" spans="1:39" x14ac:dyDescent="0.3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 cm="1">
        <f t="array" ref="AJ115">_xlfn.IFS(
HR_Data[[#This Row],[Age]]&lt;25,"Under 25",
HR_Data[[#This Row],[Age]]&lt;35,"25-34",
HR_Data[[#This Row],[Age]]&lt;45,"35-44",
HR_Data[[#This Row],[Age]]&lt;55,"45-54",
TRUE,"55+"
)</f>
        <v>Under 25</v>
      </c>
      <c r="AK115" t="str" cm="1">
        <f t="array" ref="AK115">_xlfn.IFS(
HR_Data[[#This Row],[MonthlyIncome]]&lt;3000,"&lt;3K",
HR_Data[[#This Row],[MonthlyIncome]]&lt;6000,"3K-6K",
HR_Data[[#This Row],[MonthlyIncome]]&lt;10000,"6K-10K",
TRUE,"10K+"
)</f>
        <v>&lt;3K</v>
      </c>
      <c r="AL115" t="str" cm="1">
        <f t="array" ref="AL115">_xlfn.IFS(
HR_Data[[#This Row],[YearsAtCompany]]&lt;2,"&lt;2 Years",
HR_Data[[#This Row],[YearsAtCompany]]&lt;5,"2-4 Years",
HR_Data[[#This Row],[YearsAtCompany]]&lt;10,"5-9 Years",
TRUE,"10+ Years"
)</f>
        <v>5-9 Years</v>
      </c>
      <c r="AM115" s="1">
        <f>IF(HR_Data[[#This Row],[Attrition]]="Yes",1,0)</f>
        <v>0</v>
      </c>
    </row>
    <row r="116" spans="1:39" x14ac:dyDescent="0.3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 cm="1">
        <f t="array" ref="AJ116">_xlfn.IFS(
HR_Data[[#This Row],[Age]]&lt;25,"Under 25",
HR_Data[[#This Row],[Age]]&lt;35,"25-34",
HR_Data[[#This Row],[Age]]&lt;45,"35-44",
HR_Data[[#This Row],[Age]]&lt;55,"45-54",
TRUE,"55+"
)</f>
        <v>25-34</v>
      </c>
      <c r="AK116" t="str" cm="1">
        <f t="array" ref="AK116">_xlfn.IFS(
HR_Data[[#This Row],[MonthlyIncome]]&lt;3000,"&lt;3K",
HR_Data[[#This Row],[MonthlyIncome]]&lt;6000,"3K-6K",
HR_Data[[#This Row],[MonthlyIncome]]&lt;10000,"6K-10K",
TRUE,"10K+"
)</f>
        <v>3K-6K</v>
      </c>
      <c r="AL116" t="str" cm="1">
        <f t="array" ref="AL116">_xlfn.IFS(
HR_Data[[#This Row],[YearsAtCompany]]&lt;2,"&lt;2 Years",
HR_Data[[#This Row],[YearsAtCompany]]&lt;5,"2-4 Years",
HR_Data[[#This Row],[YearsAtCompany]]&lt;10,"5-9 Years",
TRUE,"10+ Years"
)</f>
        <v>&lt;2 Years</v>
      </c>
      <c r="AM116" s="1">
        <f>IF(HR_Data[[#This Row],[Attrition]]="Yes",1,0)</f>
        <v>0</v>
      </c>
    </row>
    <row r="117" spans="1:39" x14ac:dyDescent="0.3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 cm="1">
        <f t="array" ref="AJ117">_xlfn.IFS(
HR_Data[[#This Row],[Age]]&lt;25,"Under 25",
HR_Data[[#This Row],[Age]]&lt;35,"25-34",
HR_Data[[#This Row],[Age]]&lt;45,"35-44",
HR_Data[[#This Row],[Age]]&lt;55,"45-54",
TRUE,"55+"
)</f>
        <v>35-44</v>
      </c>
      <c r="AK117" t="str" cm="1">
        <f t="array" ref="AK117">_xlfn.IFS(
HR_Data[[#This Row],[MonthlyIncome]]&lt;3000,"&lt;3K",
HR_Data[[#This Row],[MonthlyIncome]]&lt;6000,"3K-6K",
HR_Data[[#This Row],[MonthlyIncome]]&lt;10000,"6K-10K",
TRUE,"10K+"
)</f>
        <v>6K-10K</v>
      </c>
      <c r="AL117" t="str" cm="1">
        <f t="array" ref="AL117">_xlfn.IFS(
HR_Data[[#This Row],[YearsAtCompany]]&lt;2,"&lt;2 Years",
HR_Data[[#This Row],[YearsAtCompany]]&lt;5,"2-4 Years",
HR_Data[[#This Row],[YearsAtCompany]]&lt;10,"5-9 Years",
TRUE,"10+ Years"
)</f>
        <v>5-9 Years</v>
      </c>
      <c r="AM117" s="1">
        <f>IF(HR_Data[[#This Row],[Attrition]]="Yes",1,0)</f>
        <v>0</v>
      </c>
    </row>
    <row r="118" spans="1:39" x14ac:dyDescent="0.3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 cm="1">
        <f t="array" ref="AJ118">_xlfn.IFS(
HR_Data[[#This Row],[Age]]&lt;25,"Under 25",
HR_Data[[#This Row],[Age]]&lt;35,"25-34",
HR_Data[[#This Row],[Age]]&lt;45,"35-44",
HR_Data[[#This Row],[Age]]&lt;55,"45-54",
TRUE,"55+"
)</f>
        <v>25-34</v>
      </c>
      <c r="AK118" t="str" cm="1">
        <f t="array" ref="AK118">_xlfn.IFS(
HR_Data[[#This Row],[MonthlyIncome]]&lt;3000,"&lt;3K",
HR_Data[[#This Row],[MonthlyIncome]]&lt;6000,"3K-6K",
HR_Data[[#This Row],[MonthlyIncome]]&lt;10000,"6K-10K",
TRUE,"10K+"
)</f>
        <v>10K+</v>
      </c>
      <c r="AL118" t="str" cm="1">
        <f t="array" ref="AL118">_xlfn.IFS(
HR_Data[[#This Row],[YearsAtCompany]]&lt;2,"&lt;2 Years",
HR_Data[[#This Row],[YearsAtCompany]]&lt;5,"2-4 Years",
HR_Data[[#This Row],[YearsAtCompany]]&lt;10,"5-9 Years",
TRUE,"10+ Years"
)</f>
        <v>10+ Years</v>
      </c>
      <c r="AM118" s="1">
        <f>IF(HR_Data[[#This Row],[Attrition]]="Yes",1,0)</f>
        <v>0</v>
      </c>
    </row>
    <row r="119" spans="1:39" x14ac:dyDescent="0.3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 cm="1">
        <f t="array" ref="AJ119">_xlfn.IFS(
HR_Data[[#This Row],[Age]]&lt;25,"Under 25",
HR_Data[[#This Row],[Age]]&lt;35,"25-34",
HR_Data[[#This Row],[Age]]&lt;45,"35-44",
HR_Data[[#This Row],[Age]]&lt;55,"45-54",
TRUE,"55+"
)</f>
        <v>35-44</v>
      </c>
      <c r="AK119" t="str" cm="1">
        <f t="array" ref="AK119">_xlfn.IFS(
HR_Data[[#This Row],[MonthlyIncome]]&lt;3000,"&lt;3K",
HR_Data[[#This Row],[MonthlyIncome]]&lt;6000,"3K-6K",
HR_Data[[#This Row],[MonthlyIncome]]&lt;10000,"6K-10K",
TRUE,"10K+"
)</f>
        <v>6K-10K</v>
      </c>
      <c r="AL119" t="str" cm="1">
        <f t="array" ref="AL119">_xlfn.IFS(
HR_Data[[#This Row],[YearsAtCompany]]&lt;2,"&lt;2 Years",
HR_Data[[#This Row],[YearsAtCompany]]&lt;5,"2-4 Years",
HR_Data[[#This Row],[YearsAtCompany]]&lt;10,"5-9 Years",
TRUE,"10+ Years"
)</f>
        <v>5-9 Years</v>
      </c>
      <c r="AM119" s="1">
        <f>IF(HR_Data[[#This Row],[Attrition]]="Yes",1,0)</f>
        <v>0</v>
      </c>
    </row>
    <row r="120" spans="1:39" x14ac:dyDescent="0.3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 cm="1">
        <f t="array" ref="AJ120">_xlfn.IFS(
HR_Data[[#This Row],[Age]]&lt;25,"Under 25",
HR_Data[[#This Row],[Age]]&lt;35,"25-34",
HR_Data[[#This Row],[Age]]&lt;45,"35-44",
HR_Data[[#This Row],[Age]]&lt;55,"45-54",
TRUE,"55+"
)</f>
        <v>35-44</v>
      </c>
      <c r="AK120" t="str" cm="1">
        <f t="array" ref="AK120">_xlfn.IFS(
HR_Data[[#This Row],[MonthlyIncome]]&lt;3000,"&lt;3K",
HR_Data[[#This Row],[MonthlyIncome]]&lt;6000,"3K-6K",
HR_Data[[#This Row],[MonthlyIncome]]&lt;10000,"6K-10K",
TRUE,"10K+"
)</f>
        <v>&lt;3K</v>
      </c>
      <c r="AL120" t="str" cm="1">
        <f t="array" ref="AL120">_xlfn.IFS(
HR_Data[[#This Row],[YearsAtCompany]]&lt;2,"&lt;2 Years",
HR_Data[[#This Row],[YearsAtCompany]]&lt;5,"2-4 Years",
HR_Data[[#This Row],[YearsAtCompany]]&lt;10,"5-9 Years",
TRUE,"10+ Years"
)</f>
        <v>&lt;2 Years</v>
      </c>
      <c r="AM120" s="1">
        <f>IF(HR_Data[[#This Row],[Attrition]]="Yes",1,0)</f>
        <v>0</v>
      </c>
    </row>
    <row r="121" spans="1:39" x14ac:dyDescent="0.3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 cm="1">
        <f t="array" ref="AJ121">_xlfn.IFS(
HR_Data[[#This Row],[Age]]&lt;25,"Under 25",
HR_Data[[#This Row],[Age]]&lt;35,"25-34",
HR_Data[[#This Row],[Age]]&lt;45,"35-44",
HR_Data[[#This Row],[Age]]&lt;55,"45-54",
TRUE,"55+"
)</f>
        <v>35-44</v>
      </c>
      <c r="AK121" t="str" cm="1">
        <f t="array" ref="AK121">_xlfn.IFS(
HR_Data[[#This Row],[MonthlyIncome]]&lt;3000,"&lt;3K",
HR_Data[[#This Row],[MonthlyIncome]]&lt;6000,"3K-6K",
HR_Data[[#This Row],[MonthlyIncome]]&lt;10000,"6K-10K",
TRUE,"10K+"
)</f>
        <v>10K+</v>
      </c>
      <c r="AL121" t="str" cm="1">
        <f t="array" ref="AL121">_xlfn.IFS(
HR_Data[[#This Row],[YearsAtCompany]]&lt;2,"&lt;2 Years",
HR_Data[[#This Row],[YearsAtCompany]]&lt;5,"2-4 Years",
HR_Data[[#This Row],[YearsAtCompany]]&lt;10,"5-9 Years",
TRUE,"10+ Years"
)</f>
        <v>10+ Years</v>
      </c>
      <c r="AM121" s="1">
        <f>IF(HR_Data[[#This Row],[Attrition]]="Yes",1,0)</f>
        <v>0</v>
      </c>
    </row>
    <row r="122" spans="1:39" x14ac:dyDescent="0.3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 cm="1">
        <f t="array" ref="AJ122">_xlfn.IFS(
HR_Data[[#This Row],[Age]]&lt;25,"Under 25",
HR_Data[[#This Row],[Age]]&lt;35,"25-34",
HR_Data[[#This Row],[Age]]&lt;45,"35-44",
HR_Data[[#This Row],[Age]]&lt;55,"45-54",
TRUE,"55+"
)</f>
        <v>25-34</v>
      </c>
      <c r="AK122" t="str" cm="1">
        <f t="array" ref="AK122">_xlfn.IFS(
HR_Data[[#This Row],[MonthlyIncome]]&lt;3000,"&lt;3K",
HR_Data[[#This Row],[MonthlyIncome]]&lt;6000,"3K-6K",
HR_Data[[#This Row],[MonthlyIncome]]&lt;10000,"6K-10K",
TRUE,"10K+"
)</f>
        <v>&lt;3K</v>
      </c>
      <c r="AL122" t="str" cm="1">
        <f t="array" ref="AL122">_xlfn.IFS(
HR_Data[[#This Row],[YearsAtCompany]]&lt;2,"&lt;2 Years",
HR_Data[[#This Row],[YearsAtCompany]]&lt;5,"2-4 Years",
HR_Data[[#This Row],[YearsAtCompany]]&lt;10,"5-9 Years",
TRUE,"10+ Years"
)</f>
        <v>10+ Years</v>
      </c>
      <c r="AM122" s="1">
        <f>IF(HR_Data[[#This Row],[Attrition]]="Yes",1,0)</f>
        <v>0</v>
      </c>
    </row>
    <row r="123" spans="1:39" x14ac:dyDescent="0.3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 cm="1">
        <f t="array" ref="AJ123">_xlfn.IFS(
HR_Data[[#This Row],[Age]]&lt;25,"Under 25",
HR_Data[[#This Row],[Age]]&lt;35,"25-34",
HR_Data[[#This Row],[Age]]&lt;45,"35-44",
HR_Data[[#This Row],[Age]]&lt;55,"45-54",
TRUE,"55+"
)</f>
        <v>25-34</v>
      </c>
      <c r="AK123" t="str" cm="1">
        <f t="array" ref="AK123">_xlfn.IFS(
HR_Data[[#This Row],[MonthlyIncome]]&lt;3000,"&lt;3K",
HR_Data[[#This Row],[MonthlyIncome]]&lt;6000,"3K-6K",
HR_Data[[#This Row],[MonthlyIncome]]&lt;10000,"6K-10K",
TRUE,"10K+"
)</f>
        <v>6K-10K</v>
      </c>
      <c r="AL123" t="str" cm="1">
        <f t="array" ref="AL123">_xlfn.IFS(
HR_Data[[#This Row],[YearsAtCompany]]&lt;2,"&lt;2 Years",
HR_Data[[#This Row],[YearsAtCompany]]&lt;5,"2-4 Years",
HR_Data[[#This Row],[YearsAtCompany]]&lt;10,"5-9 Years",
TRUE,"10+ Years"
)</f>
        <v>5-9 Years</v>
      </c>
      <c r="AM123" s="1">
        <f>IF(HR_Data[[#This Row],[Attrition]]="Yes",1,0)</f>
        <v>0</v>
      </c>
    </row>
    <row r="124" spans="1:39" x14ac:dyDescent="0.3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 cm="1">
        <f t="array" ref="AJ124">_xlfn.IFS(
HR_Data[[#This Row],[Age]]&lt;25,"Under 25",
HR_Data[[#This Row],[Age]]&lt;35,"25-34",
HR_Data[[#This Row],[Age]]&lt;45,"35-44",
HR_Data[[#This Row],[Age]]&lt;55,"45-54",
TRUE,"55+"
)</f>
        <v>55+</v>
      </c>
      <c r="AK124" t="str" cm="1">
        <f t="array" ref="AK124">_xlfn.IFS(
HR_Data[[#This Row],[MonthlyIncome]]&lt;3000,"&lt;3K",
HR_Data[[#This Row],[MonthlyIncome]]&lt;6000,"3K-6K",
HR_Data[[#This Row],[MonthlyIncome]]&lt;10000,"6K-10K",
TRUE,"10K+"
)</f>
        <v>3K-6K</v>
      </c>
      <c r="AL124" t="str" cm="1">
        <f t="array" ref="AL124">_xlfn.IFS(
HR_Data[[#This Row],[YearsAtCompany]]&lt;2,"&lt;2 Years",
HR_Data[[#This Row],[YearsAtCompany]]&lt;5,"2-4 Years",
HR_Data[[#This Row],[YearsAtCompany]]&lt;10,"5-9 Years",
TRUE,"10+ Years"
)</f>
        <v>5-9 Years</v>
      </c>
      <c r="AM124" s="1">
        <f>IF(HR_Data[[#This Row],[Attrition]]="Yes",1,0)</f>
        <v>1</v>
      </c>
    </row>
    <row r="125" spans="1:39" x14ac:dyDescent="0.3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 cm="1">
        <f t="array" ref="AJ125">_xlfn.IFS(
HR_Data[[#This Row],[Age]]&lt;25,"Under 25",
HR_Data[[#This Row],[Age]]&lt;35,"25-34",
HR_Data[[#This Row],[Age]]&lt;45,"35-44",
HR_Data[[#This Row],[Age]]&lt;55,"45-54",
TRUE,"55+"
)</f>
        <v>45-54</v>
      </c>
      <c r="AK125" t="str" cm="1">
        <f t="array" ref="AK125">_xlfn.IFS(
HR_Data[[#This Row],[MonthlyIncome]]&lt;3000,"&lt;3K",
HR_Data[[#This Row],[MonthlyIncome]]&lt;6000,"3K-6K",
HR_Data[[#This Row],[MonthlyIncome]]&lt;10000,"6K-10K",
TRUE,"10K+"
)</f>
        <v>10K+</v>
      </c>
      <c r="AL125" t="str" cm="1">
        <f t="array" ref="AL125">_xlfn.IFS(
HR_Data[[#This Row],[YearsAtCompany]]&lt;2,"&lt;2 Years",
HR_Data[[#This Row],[YearsAtCompany]]&lt;5,"2-4 Years",
HR_Data[[#This Row],[YearsAtCompany]]&lt;10,"5-9 Years",
TRUE,"10+ Years"
)</f>
        <v>10+ Years</v>
      </c>
      <c r="AM125" s="1">
        <f>IF(HR_Data[[#This Row],[Attrition]]="Yes",1,0)</f>
        <v>0</v>
      </c>
    </row>
    <row r="126" spans="1:39" x14ac:dyDescent="0.3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 cm="1">
        <f t="array" ref="AJ126">_xlfn.IFS(
HR_Data[[#This Row],[Age]]&lt;25,"Under 25",
HR_Data[[#This Row],[Age]]&lt;35,"25-34",
HR_Data[[#This Row],[Age]]&lt;45,"35-44",
HR_Data[[#This Row],[Age]]&lt;55,"45-54",
TRUE,"55+"
)</f>
        <v>25-34</v>
      </c>
      <c r="AK126" t="str" cm="1">
        <f t="array" ref="AK126">_xlfn.IFS(
HR_Data[[#This Row],[MonthlyIncome]]&lt;3000,"&lt;3K",
HR_Data[[#This Row],[MonthlyIncome]]&lt;6000,"3K-6K",
HR_Data[[#This Row],[MonthlyIncome]]&lt;10000,"6K-10K",
TRUE,"10K+"
)</f>
        <v>6K-10K</v>
      </c>
      <c r="AL126" t="str" cm="1">
        <f t="array" ref="AL126">_xlfn.IFS(
HR_Data[[#This Row],[YearsAtCompany]]&lt;2,"&lt;2 Years",
HR_Data[[#This Row],[YearsAtCompany]]&lt;5,"2-4 Years",
HR_Data[[#This Row],[YearsAtCompany]]&lt;10,"5-9 Years",
TRUE,"10+ Years"
)</f>
        <v>5-9 Years</v>
      </c>
      <c r="AM126" s="1">
        <f>IF(HR_Data[[#This Row],[Attrition]]="Yes",1,0)</f>
        <v>1</v>
      </c>
    </row>
    <row r="127" spans="1:39" x14ac:dyDescent="0.3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 cm="1">
        <f t="array" ref="AJ127">_xlfn.IFS(
HR_Data[[#This Row],[Age]]&lt;25,"Under 25",
HR_Data[[#This Row],[Age]]&lt;35,"25-34",
HR_Data[[#This Row],[Age]]&lt;45,"35-44",
HR_Data[[#This Row],[Age]]&lt;55,"45-54",
TRUE,"55+"
)</f>
        <v>25-34</v>
      </c>
      <c r="AK127" t="str" cm="1">
        <f t="array" ref="AK127">_xlfn.IFS(
HR_Data[[#This Row],[MonthlyIncome]]&lt;3000,"&lt;3K",
HR_Data[[#This Row],[MonthlyIncome]]&lt;6000,"3K-6K",
HR_Data[[#This Row],[MonthlyIncome]]&lt;10000,"6K-10K",
TRUE,"10K+"
)</f>
        <v>&lt;3K</v>
      </c>
      <c r="AL127" t="str" cm="1">
        <f t="array" ref="AL127">_xlfn.IFS(
HR_Data[[#This Row],[YearsAtCompany]]&lt;2,"&lt;2 Years",
HR_Data[[#This Row],[YearsAtCompany]]&lt;5,"2-4 Years",
HR_Data[[#This Row],[YearsAtCompany]]&lt;10,"5-9 Years",
TRUE,"10+ Years"
)</f>
        <v>5-9 Years</v>
      </c>
      <c r="AM127" s="1">
        <f>IF(HR_Data[[#This Row],[Attrition]]="Yes",1,0)</f>
        <v>0</v>
      </c>
    </row>
    <row r="128" spans="1:39" x14ac:dyDescent="0.3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 cm="1">
        <f t="array" ref="AJ128">_xlfn.IFS(
HR_Data[[#This Row],[Age]]&lt;25,"Under 25",
HR_Data[[#This Row],[Age]]&lt;35,"25-34",
HR_Data[[#This Row],[Age]]&lt;45,"35-44",
HR_Data[[#This Row],[Age]]&lt;55,"45-54",
TRUE,"55+"
)</f>
        <v>55+</v>
      </c>
      <c r="AK128" t="str" cm="1">
        <f t="array" ref="AK128">_xlfn.IFS(
HR_Data[[#This Row],[MonthlyIncome]]&lt;3000,"&lt;3K",
HR_Data[[#This Row],[MonthlyIncome]]&lt;6000,"3K-6K",
HR_Data[[#This Row],[MonthlyIncome]]&lt;10000,"6K-10K",
TRUE,"10K+"
)</f>
        <v>10K+</v>
      </c>
      <c r="AL128" t="str" cm="1">
        <f t="array" ref="AL128">_xlfn.IFS(
HR_Data[[#This Row],[YearsAtCompany]]&lt;2,"&lt;2 Years",
HR_Data[[#This Row],[YearsAtCompany]]&lt;5,"2-4 Years",
HR_Data[[#This Row],[YearsAtCompany]]&lt;10,"5-9 Years",
TRUE,"10+ Years"
)</f>
        <v>10+ Years</v>
      </c>
      <c r="AM128" s="1">
        <f>IF(HR_Data[[#This Row],[Attrition]]="Yes",1,0)</f>
        <v>1</v>
      </c>
    </row>
    <row r="129" spans="1:39" x14ac:dyDescent="0.3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 cm="1">
        <f t="array" ref="AJ129">_xlfn.IFS(
HR_Data[[#This Row],[Age]]&lt;25,"Under 25",
HR_Data[[#This Row],[Age]]&lt;35,"25-34",
HR_Data[[#This Row],[Age]]&lt;45,"35-44",
HR_Data[[#This Row],[Age]]&lt;55,"45-54",
TRUE,"55+"
)</f>
        <v>Under 25</v>
      </c>
      <c r="AK129" t="str" cm="1">
        <f t="array" ref="AK129">_xlfn.IFS(
HR_Data[[#This Row],[MonthlyIncome]]&lt;3000,"&lt;3K",
HR_Data[[#This Row],[MonthlyIncome]]&lt;6000,"3K-6K",
HR_Data[[#This Row],[MonthlyIncome]]&lt;10000,"6K-10K",
TRUE,"10K+"
)</f>
        <v>&lt;3K</v>
      </c>
      <c r="AL129" t="str" cm="1">
        <f t="array" ref="AL129">_xlfn.IFS(
HR_Data[[#This Row],[YearsAtCompany]]&lt;2,"&lt;2 Years",
HR_Data[[#This Row],[YearsAtCompany]]&lt;5,"2-4 Years",
HR_Data[[#This Row],[YearsAtCompany]]&lt;10,"5-9 Years",
TRUE,"10+ Years"
)</f>
        <v>&lt;2 Years</v>
      </c>
      <c r="AM129" s="1">
        <f>IF(HR_Data[[#This Row],[Attrition]]="Yes",1,0)</f>
        <v>1</v>
      </c>
    </row>
    <row r="130" spans="1:39" x14ac:dyDescent="0.3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 cm="1">
        <f t="array" ref="AJ130">_xlfn.IFS(
HR_Data[[#This Row],[Age]]&lt;25,"Under 25",
HR_Data[[#This Row],[Age]]&lt;35,"25-34",
HR_Data[[#This Row],[Age]]&lt;45,"35-44",
HR_Data[[#This Row],[Age]]&lt;55,"45-54",
TRUE,"55+"
)</f>
        <v>Under 25</v>
      </c>
      <c r="AK130" t="str" cm="1">
        <f t="array" ref="AK130">_xlfn.IFS(
HR_Data[[#This Row],[MonthlyIncome]]&lt;3000,"&lt;3K",
HR_Data[[#This Row],[MonthlyIncome]]&lt;6000,"3K-6K",
HR_Data[[#This Row],[MonthlyIncome]]&lt;10000,"6K-10K",
TRUE,"10K+"
)</f>
        <v>&lt;3K</v>
      </c>
      <c r="AL130" t="str" cm="1">
        <f t="array" ref="AL130">_xlfn.IFS(
HR_Data[[#This Row],[YearsAtCompany]]&lt;2,"&lt;2 Years",
HR_Data[[#This Row],[YearsAtCompany]]&lt;5,"2-4 Years",
HR_Data[[#This Row],[YearsAtCompany]]&lt;10,"5-9 Years",
TRUE,"10+ Years"
)</f>
        <v>2-4 Years</v>
      </c>
      <c r="AM130" s="1">
        <f>IF(HR_Data[[#This Row],[Attrition]]="Yes",1,0)</f>
        <v>0</v>
      </c>
    </row>
    <row r="131" spans="1:39" x14ac:dyDescent="0.3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 cm="1">
        <f t="array" ref="AJ131">_xlfn.IFS(
HR_Data[[#This Row],[Age]]&lt;25,"Under 25",
HR_Data[[#This Row],[Age]]&lt;35,"25-34",
HR_Data[[#This Row],[Age]]&lt;45,"35-44",
HR_Data[[#This Row],[Age]]&lt;55,"45-54",
TRUE,"55+"
)</f>
        <v>45-54</v>
      </c>
      <c r="AK131" t="str" cm="1">
        <f t="array" ref="AK131">_xlfn.IFS(
HR_Data[[#This Row],[MonthlyIncome]]&lt;3000,"&lt;3K",
HR_Data[[#This Row],[MonthlyIncome]]&lt;6000,"3K-6K",
HR_Data[[#This Row],[MonthlyIncome]]&lt;10000,"6K-10K",
TRUE,"10K+"
)</f>
        <v>6K-10K</v>
      </c>
      <c r="AL131" t="str" cm="1">
        <f t="array" ref="AL131">_xlfn.IFS(
HR_Data[[#This Row],[YearsAtCompany]]&lt;2,"&lt;2 Years",
HR_Data[[#This Row],[YearsAtCompany]]&lt;5,"2-4 Years",
HR_Data[[#This Row],[YearsAtCompany]]&lt;10,"5-9 Years",
TRUE,"10+ Years"
)</f>
        <v>10+ Years</v>
      </c>
      <c r="AM131" s="1">
        <f>IF(HR_Data[[#This Row],[Attrition]]="Yes",1,0)</f>
        <v>0</v>
      </c>
    </row>
    <row r="132" spans="1:39" x14ac:dyDescent="0.3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 cm="1">
        <f t="array" ref="AJ132">_xlfn.IFS(
HR_Data[[#This Row],[Age]]&lt;25,"Under 25",
HR_Data[[#This Row],[Age]]&lt;35,"25-34",
HR_Data[[#This Row],[Age]]&lt;45,"35-44",
HR_Data[[#This Row],[Age]]&lt;55,"45-54",
TRUE,"55+"
)</f>
        <v>35-44</v>
      </c>
      <c r="AK132" t="str" cm="1">
        <f t="array" ref="AK132">_xlfn.IFS(
HR_Data[[#This Row],[MonthlyIncome]]&lt;3000,"&lt;3K",
HR_Data[[#This Row],[MonthlyIncome]]&lt;6000,"3K-6K",
HR_Data[[#This Row],[MonthlyIncome]]&lt;10000,"6K-10K",
TRUE,"10K+"
)</f>
        <v>3K-6K</v>
      </c>
      <c r="AL132" t="str" cm="1">
        <f t="array" ref="AL132">_xlfn.IFS(
HR_Data[[#This Row],[YearsAtCompany]]&lt;2,"&lt;2 Years",
HR_Data[[#This Row],[YearsAtCompany]]&lt;5,"2-4 Years",
HR_Data[[#This Row],[YearsAtCompany]]&lt;10,"5-9 Years",
TRUE,"10+ Years"
)</f>
        <v>2-4 Years</v>
      </c>
      <c r="AM132" s="1">
        <f>IF(HR_Data[[#This Row],[Attrition]]="Yes",1,0)</f>
        <v>0</v>
      </c>
    </row>
    <row r="133" spans="1:39" x14ac:dyDescent="0.3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 cm="1">
        <f t="array" ref="AJ133">_xlfn.IFS(
HR_Data[[#This Row],[Age]]&lt;25,"Under 25",
HR_Data[[#This Row],[Age]]&lt;35,"25-34",
HR_Data[[#This Row],[Age]]&lt;45,"35-44",
HR_Data[[#This Row],[Age]]&lt;55,"45-54",
TRUE,"55+"
)</f>
        <v>45-54</v>
      </c>
      <c r="AK133" t="str" cm="1">
        <f t="array" ref="AK133">_xlfn.IFS(
HR_Data[[#This Row],[MonthlyIncome]]&lt;3000,"&lt;3K",
HR_Data[[#This Row],[MonthlyIncome]]&lt;6000,"3K-6K",
HR_Data[[#This Row],[MonthlyIncome]]&lt;10000,"6K-10K",
TRUE,"10K+"
)</f>
        <v>6K-10K</v>
      </c>
      <c r="AL133" t="str" cm="1">
        <f t="array" ref="AL133">_xlfn.IFS(
HR_Data[[#This Row],[YearsAtCompany]]&lt;2,"&lt;2 Years",
HR_Data[[#This Row],[YearsAtCompany]]&lt;5,"2-4 Years",
HR_Data[[#This Row],[YearsAtCompany]]&lt;10,"5-9 Years",
TRUE,"10+ Years"
)</f>
        <v>2-4 Years</v>
      </c>
      <c r="AM133" s="1">
        <f>IF(HR_Data[[#This Row],[Attrition]]="Yes",1,0)</f>
        <v>0</v>
      </c>
    </row>
    <row r="134" spans="1:39" x14ac:dyDescent="0.3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 cm="1">
        <f t="array" ref="AJ134">_xlfn.IFS(
HR_Data[[#This Row],[Age]]&lt;25,"Under 25",
HR_Data[[#This Row],[Age]]&lt;35,"25-34",
HR_Data[[#This Row],[Age]]&lt;45,"35-44",
HR_Data[[#This Row],[Age]]&lt;55,"45-54",
TRUE,"55+"
)</f>
        <v>25-34</v>
      </c>
      <c r="AK134" t="str" cm="1">
        <f t="array" ref="AK134">_xlfn.IFS(
HR_Data[[#This Row],[MonthlyIncome]]&lt;3000,"&lt;3K",
HR_Data[[#This Row],[MonthlyIncome]]&lt;6000,"3K-6K",
HR_Data[[#This Row],[MonthlyIncome]]&lt;10000,"6K-10K",
TRUE,"10K+"
)</f>
        <v>3K-6K</v>
      </c>
      <c r="AL134" t="str" cm="1">
        <f t="array" ref="AL134">_xlfn.IFS(
HR_Data[[#This Row],[YearsAtCompany]]&lt;2,"&lt;2 Years",
HR_Data[[#This Row],[YearsAtCompany]]&lt;5,"2-4 Years",
HR_Data[[#This Row],[YearsAtCompany]]&lt;10,"5-9 Years",
TRUE,"10+ Years"
)</f>
        <v>2-4 Years</v>
      </c>
      <c r="AM134" s="1">
        <f>IF(HR_Data[[#This Row],[Attrition]]="Yes",1,0)</f>
        <v>1</v>
      </c>
    </row>
    <row r="135" spans="1:39" x14ac:dyDescent="0.3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 cm="1">
        <f t="array" ref="AJ135">_xlfn.IFS(
HR_Data[[#This Row],[Age]]&lt;25,"Under 25",
HR_Data[[#This Row],[Age]]&lt;35,"25-34",
HR_Data[[#This Row],[Age]]&lt;45,"35-44",
HR_Data[[#This Row],[Age]]&lt;55,"45-54",
TRUE,"55+"
)</f>
        <v>35-44</v>
      </c>
      <c r="AK135" t="str" cm="1">
        <f t="array" ref="AK135">_xlfn.IFS(
HR_Data[[#This Row],[MonthlyIncome]]&lt;3000,"&lt;3K",
HR_Data[[#This Row],[MonthlyIncome]]&lt;6000,"3K-6K",
HR_Data[[#This Row],[MonthlyIncome]]&lt;10000,"6K-10K",
TRUE,"10K+"
)</f>
        <v>6K-10K</v>
      </c>
      <c r="AL135" t="str" cm="1">
        <f t="array" ref="AL135">_xlfn.IFS(
HR_Data[[#This Row],[YearsAtCompany]]&lt;2,"&lt;2 Years",
HR_Data[[#This Row],[YearsAtCompany]]&lt;5,"2-4 Years",
HR_Data[[#This Row],[YearsAtCompany]]&lt;10,"5-9 Years",
TRUE,"10+ Years"
)</f>
        <v>5-9 Years</v>
      </c>
      <c r="AM135" s="1">
        <f>IF(HR_Data[[#This Row],[Attrition]]="Yes",1,0)</f>
        <v>0</v>
      </c>
    </row>
    <row r="136" spans="1:39" x14ac:dyDescent="0.3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 cm="1">
        <f t="array" ref="AJ136">_xlfn.IFS(
HR_Data[[#This Row],[Age]]&lt;25,"Under 25",
HR_Data[[#This Row],[Age]]&lt;35,"25-34",
HR_Data[[#This Row],[Age]]&lt;45,"35-44",
HR_Data[[#This Row],[Age]]&lt;55,"45-54",
TRUE,"55+"
)</f>
        <v>25-34</v>
      </c>
      <c r="AK136" t="str" cm="1">
        <f t="array" ref="AK136">_xlfn.IFS(
HR_Data[[#This Row],[MonthlyIncome]]&lt;3000,"&lt;3K",
HR_Data[[#This Row],[MonthlyIncome]]&lt;6000,"3K-6K",
HR_Data[[#This Row],[MonthlyIncome]]&lt;10000,"6K-10K",
TRUE,"10K+"
)</f>
        <v>&lt;3K</v>
      </c>
      <c r="AL136" t="str" cm="1">
        <f t="array" ref="AL136">_xlfn.IFS(
HR_Data[[#This Row],[YearsAtCompany]]&lt;2,"&lt;2 Years",
HR_Data[[#This Row],[YearsAtCompany]]&lt;5,"2-4 Years",
HR_Data[[#This Row],[YearsAtCompany]]&lt;10,"5-9 Years",
TRUE,"10+ Years"
)</f>
        <v>5-9 Years</v>
      </c>
      <c r="AM136" s="1">
        <f>IF(HR_Data[[#This Row],[Attrition]]="Yes",1,0)</f>
        <v>0</v>
      </c>
    </row>
    <row r="137" spans="1:39" x14ac:dyDescent="0.3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 cm="1">
        <f t="array" ref="AJ137">_xlfn.IFS(
HR_Data[[#This Row],[Age]]&lt;25,"Under 25",
HR_Data[[#This Row],[Age]]&lt;35,"25-34",
HR_Data[[#This Row],[Age]]&lt;45,"35-44",
HR_Data[[#This Row],[Age]]&lt;55,"45-54",
TRUE,"55+"
)</f>
        <v>35-44</v>
      </c>
      <c r="AK137" t="str" cm="1">
        <f t="array" ref="AK137">_xlfn.IFS(
HR_Data[[#This Row],[MonthlyIncome]]&lt;3000,"&lt;3K",
HR_Data[[#This Row],[MonthlyIncome]]&lt;6000,"3K-6K",
HR_Data[[#This Row],[MonthlyIncome]]&lt;10000,"6K-10K",
TRUE,"10K+"
)</f>
        <v>3K-6K</v>
      </c>
      <c r="AL137" t="str" cm="1">
        <f t="array" ref="AL137">_xlfn.IFS(
HR_Data[[#This Row],[YearsAtCompany]]&lt;2,"&lt;2 Years",
HR_Data[[#This Row],[YearsAtCompany]]&lt;5,"2-4 Years",
HR_Data[[#This Row],[YearsAtCompany]]&lt;10,"5-9 Years",
TRUE,"10+ Years"
)</f>
        <v>2-4 Years</v>
      </c>
      <c r="AM137" s="1">
        <f>IF(HR_Data[[#This Row],[Attrition]]="Yes",1,0)</f>
        <v>0</v>
      </c>
    </row>
    <row r="138" spans="1:39" x14ac:dyDescent="0.3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 cm="1">
        <f t="array" ref="AJ138">_xlfn.IFS(
HR_Data[[#This Row],[Age]]&lt;25,"Under 25",
HR_Data[[#This Row],[Age]]&lt;35,"25-34",
HR_Data[[#This Row],[Age]]&lt;45,"35-44",
HR_Data[[#This Row],[Age]]&lt;55,"45-54",
TRUE,"55+"
)</f>
        <v>45-54</v>
      </c>
      <c r="AK138" t="str" cm="1">
        <f t="array" ref="AK138">_xlfn.IFS(
HR_Data[[#This Row],[MonthlyIncome]]&lt;3000,"&lt;3K",
HR_Data[[#This Row],[MonthlyIncome]]&lt;6000,"3K-6K",
HR_Data[[#This Row],[MonthlyIncome]]&lt;10000,"6K-10K",
TRUE,"10K+"
)</f>
        <v>10K+</v>
      </c>
      <c r="AL138" t="str" cm="1">
        <f t="array" ref="AL138">_xlfn.IFS(
HR_Data[[#This Row],[YearsAtCompany]]&lt;2,"&lt;2 Years",
HR_Data[[#This Row],[YearsAtCompany]]&lt;5,"2-4 Years",
HR_Data[[#This Row],[YearsAtCompany]]&lt;10,"5-9 Years",
TRUE,"10+ Years"
)</f>
        <v>2-4 Years</v>
      </c>
      <c r="AM138" s="1">
        <f>IF(HR_Data[[#This Row],[Attrition]]="Yes",1,0)</f>
        <v>1</v>
      </c>
    </row>
    <row r="139" spans="1:39" x14ac:dyDescent="0.3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 cm="1">
        <f t="array" ref="AJ139">_xlfn.IFS(
HR_Data[[#This Row],[Age]]&lt;25,"Under 25",
HR_Data[[#This Row],[Age]]&lt;35,"25-34",
HR_Data[[#This Row],[Age]]&lt;45,"35-44",
HR_Data[[#This Row],[Age]]&lt;55,"45-54",
TRUE,"55+"
)</f>
        <v>35-44</v>
      </c>
      <c r="AK139" t="str" cm="1">
        <f t="array" ref="AK139">_xlfn.IFS(
HR_Data[[#This Row],[MonthlyIncome]]&lt;3000,"&lt;3K",
HR_Data[[#This Row],[MonthlyIncome]]&lt;6000,"3K-6K",
HR_Data[[#This Row],[MonthlyIncome]]&lt;10000,"6K-10K",
TRUE,"10K+"
)</f>
        <v>3K-6K</v>
      </c>
      <c r="AL139" t="str" cm="1">
        <f t="array" ref="AL139">_xlfn.IFS(
HR_Data[[#This Row],[YearsAtCompany]]&lt;2,"&lt;2 Years",
HR_Data[[#This Row],[YearsAtCompany]]&lt;5,"2-4 Years",
HR_Data[[#This Row],[YearsAtCompany]]&lt;10,"5-9 Years",
TRUE,"10+ Years"
)</f>
        <v>10+ Years</v>
      </c>
      <c r="AM139" s="1">
        <f>IF(HR_Data[[#This Row],[Attrition]]="Yes",1,0)</f>
        <v>0</v>
      </c>
    </row>
    <row r="140" spans="1:39" x14ac:dyDescent="0.3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 cm="1">
        <f t="array" ref="AJ140">_xlfn.IFS(
HR_Data[[#This Row],[Age]]&lt;25,"Under 25",
HR_Data[[#This Row],[Age]]&lt;35,"25-34",
HR_Data[[#This Row],[Age]]&lt;45,"35-44",
HR_Data[[#This Row],[Age]]&lt;55,"45-54",
TRUE,"55+"
)</f>
        <v>25-34</v>
      </c>
      <c r="AK140" t="str" cm="1">
        <f t="array" ref="AK140">_xlfn.IFS(
HR_Data[[#This Row],[MonthlyIncome]]&lt;3000,"&lt;3K",
HR_Data[[#This Row],[MonthlyIncome]]&lt;6000,"3K-6K",
HR_Data[[#This Row],[MonthlyIncome]]&lt;10000,"6K-10K",
TRUE,"10K+"
)</f>
        <v>6K-10K</v>
      </c>
      <c r="AL140" t="str" cm="1">
        <f t="array" ref="AL140">_xlfn.IFS(
HR_Data[[#This Row],[YearsAtCompany]]&lt;2,"&lt;2 Years",
HR_Data[[#This Row],[YearsAtCompany]]&lt;5,"2-4 Years",
HR_Data[[#This Row],[YearsAtCompany]]&lt;10,"5-9 Years",
TRUE,"10+ Years"
)</f>
        <v>2-4 Years</v>
      </c>
      <c r="AM140" s="1">
        <f>IF(HR_Data[[#This Row],[Attrition]]="Yes",1,0)</f>
        <v>0</v>
      </c>
    </row>
    <row r="141" spans="1:39" x14ac:dyDescent="0.3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 cm="1">
        <f t="array" ref="AJ141">_xlfn.IFS(
HR_Data[[#This Row],[Age]]&lt;25,"Under 25",
HR_Data[[#This Row],[Age]]&lt;35,"25-34",
HR_Data[[#This Row],[Age]]&lt;45,"35-44",
HR_Data[[#This Row],[Age]]&lt;55,"45-54",
TRUE,"55+"
)</f>
        <v>25-34</v>
      </c>
      <c r="AK141" t="str" cm="1">
        <f t="array" ref="AK141">_xlfn.IFS(
HR_Data[[#This Row],[MonthlyIncome]]&lt;3000,"&lt;3K",
HR_Data[[#This Row],[MonthlyIncome]]&lt;6000,"3K-6K",
HR_Data[[#This Row],[MonthlyIncome]]&lt;10000,"6K-10K",
TRUE,"10K+"
)</f>
        <v>6K-10K</v>
      </c>
      <c r="AL141" t="str" cm="1">
        <f t="array" ref="AL141">_xlfn.IFS(
HR_Data[[#This Row],[YearsAtCompany]]&lt;2,"&lt;2 Years",
HR_Data[[#This Row],[YearsAtCompany]]&lt;5,"2-4 Years",
HR_Data[[#This Row],[YearsAtCompany]]&lt;10,"5-9 Years",
TRUE,"10+ Years"
)</f>
        <v>10+ Years</v>
      </c>
      <c r="AM141" s="1">
        <f>IF(HR_Data[[#This Row],[Attrition]]="Yes",1,0)</f>
        <v>0</v>
      </c>
    </row>
    <row r="142" spans="1:39" x14ac:dyDescent="0.3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 cm="1">
        <f t="array" ref="AJ142">_xlfn.IFS(
HR_Data[[#This Row],[Age]]&lt;25,"Under 25",
HR_Data[[#This Row],[Age]]&lt;35,"25-34",
HR_Data[[#This Row],[Age]]&lt;45,"35-44",
HR_Data[[#This Row],[Age]]&lt;55,"45-54",
TRUE,"55+"
)</f>
        <v>25-34</v>
      </c>
      <c r="AK142" t="str" cm="1">
        <f t="array" ref="AK142">_xlfn.IFS(
HR_Data[[#This Row],[MonthlyIncome]]&lt;3000,"&lt;3K",
HR_Data[[#This Row],[MonthlyIncome]]&lt;6000,"3K-6K",
HR_Data[[#This Row],[MonthlyIncome]]&lt;10000,"6K-10K",
TRUE,"10K+"
)</f>
        <v>3K-6K</v>
      </c>
      <c r="AL142" t="str" cm="1">
        <f t="array" ref="AL142">_xlfn.IFS(
HR_Data[[#This Row],[YearsAtCompany]]&lt;2,"&lt;2 Years",
HR_Data[[#This Row],[YearsAtCompany]]&lt;5,"2-4 Years",
HR_Data[[#This Row],[YearsAtCompany]]&lt;10,"5-9 Years",
TRUE,"10+ Years"
)</f>
        <v>5-9 Years</v>
      </c>
      <c r="AM142" s="1">
        <f>IF(HR_Data[[#This Row],[Attrition]]="Yes",1,0)</f>
        <v>1</v>
      </c>
    </row>
    <row r="143" spans="1:39" x14ac:dyDescent="0.3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 cm="1">
        <f t="array" ref="AJ143">_xlfn.IFS(
HR_Data[[#This Row],[Age]]&lt;25,"Under 25",
HR_Data[[#This Row],[Age]]&lt;35,"25-34",
HR_Data[[#This Row],[Age]]&lt;45,"35-44",
HR_Data[[#This Row],[Age]]&lt;55,"45-54",
TRUE,"55+"
)</f>
        <v>45-54</v>
      </c>
      <c r="AK143" t="str" cm="1">
        <f t="array" ref="AK143">_xlfn.IFS(
HR_Data[[#This Row],[MonthlyIncome]]&lt;3000,"&lt;3K",
HR_Data[[#This Row],[MonthlyIncome]]&lt;6000,"3K-6K",
HR_Data[[#This Row],[MonthlyIncome]]&lt;10000,"6K-10K",
TRUE,"10K+"
)</f>
        <v>3K-6K</v>
      </c>
      <c r="AL143" t="str" cm="1">
        <f t="array" ref="AL143">_xlfn.IFS(
HR_Data[[#This Row],[YearsAtCompany]]&lt;2,"&lt;2 Years",
HR_Data[[#This Row],[YearsAtCompany]]&lt;5,"2-4 Years",
HR_Data[[#This Row],[YearsAtCompany]]&lt;10,"5-9 Years",
TRUE,"10+ Years"
)</f>
        <v>5-9 Years</v>
      </c>
      <c r="AM143" s="1">
        <f>IF(HR_Data[[#This Row],[Attrition]]="Yes",1,0)</f>
        <v>0</v>
      </c>
    </row>
    <row r="144" spans="1:39" x14ac:dyDescent="0.3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 cm="1">
        <f t="array" ref="AJ144">_xlfn.IFS(
HR_Data[[#This Row],[Age]]&lt;25,"Under 25",
HR_Data[[#This Row],[Age]]&lt;35,"25-34",
HR_Data[[#This Row],[Age]]&lt;45,"35-44",
HR_Data[[#This Row],[Age]]&lt;55,"45-54",
TRUE,"55+"
)</f>
        <v>35-44</v>
      </c>
      <c r="AK144" t="str" cm="1">
        <f t="array" ref="AK144">_xlfn.IFS(
HR_Data[[#This Row],[MonthlyIncome]]&lt;3000,"&lt;3K",
HR_Data[[#This Row],[MonthlyIncome]]&lt;6000,"3K-6K",
HR_Data[[#This Row],[MonthlyIncome]]&lt;10000,"6K-10K",
TRUE,"10K+"
)</f>
        <v>3K-6K</v>
      </c>
      <c r="AL144" t="str" cm="1">
        <f t="array" ref="AL144">_xlfn.IFS(
HR_Data[[#This Row],[YearsAtCompany]]&lt;2,"&lt;2 Years",
HR_Data[[#This Row],[YearsAtCompany]]&lt;5,"2-4 Years",
HR_Data[[#This Row],[YearsAtCompany]]&lt;10,"5-9 Years",
TRUE,"10+ Years"
)</f>
        <v>2-4 Years</v>
      </c>
      <c r="AM144" s="1">
        <f>IF(HR_Data[[#This Row],[Attrition]]="Yes",1,0)</f>
        <v>0</v>
      </c>
    </row>
    <row r="145" spans="1:39" x14ac:dyDescent="0.3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 cm="1">
        <f t="array" ref="AJ145">_xlfn.IFS(
HR_Data[[#This Row],[Age]]&lt;25,"Under 25",
HR_Data[[#This Row],[Age]]&lt;35,"25-34",
HR_Data[[#This Row],[Age]]&lt;45,"35-44",
HR_Data[[#This Row],[Age]]&lt;55,"45-54",
TRUE,"55+"
)</f>
        <v>25-34</v>
      </c>
      <c r="AK145" t="str" cm="1">
        <f t="array" ref="AK145">_xlfn.IFS(
HR_Data[[#This Row],[MonthlyIncome]]&lt;3000,"&lt;3K",
HR_Data[[#This Row],[MonthlyIncome]]&lt;6000,"3K-6K",
HR_Data[[#This Row],[MonthlyIncome]]&lt;10000,"6K-10K",
TRUE,"10K+"
)</f>
        <v>&lt;3K</v>
      </c>
      <c r="AL145" t="str" cm="1">
        <f t="array" ref="AL145">_xlfn.IFS(
HR_Data[[#This Row],[YearsAtCompany]]&lt;2,"&lt;2 Years",
HR_Data[[#This Row],[YearsAtCompany]]&lt;5,"2-4 Years",
HR_Data[[#This Row],[YearsAtCompany]]&lt;10,"5-9 Years",
TRUE,"10+ Years"
)</f>
        <v>5-9 Years</v>
      </c>
      <c r="AM145" s="1">
        <f>IF(HR_Data[[#This Row],[Attrition]]="Yes",1,0)</f>
        <v>0</v>
      </c>
    </row>
    <row r="146" spans="1:39" x14ac:dyDescent="0.3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 cm="1">
        <f t="array" ref="AJ146">_xlfn.IFS(
HR_Data[[#This Row],[Age]]&lt;25,"Under 25",
HR_Data[[#This Row],[Age]]&lt;35,"25-34",
HR_Data[[#This Row],[Age]]&lt;45,"35-44",
HR_Data[[#This Row],[Age]]&lt;55,"45-54",
TRUE,"55+"
)</f>
        <v>25-34</v>
      </c>
      <c r="AK146" t="str" cm="1">
        <f t="array" ref="AK146">_xlfn.IFS(
HR_Data[[#This Row],[MonthlyIncome]]&lt;3000,"&lt;3K",
HR_Data[[#This Row],[MonthlyIncome]]&lt;6000,"3K-6K",
HR_Data[[#This Row],[MonthlyIncome]]&lt;10000,"6K-10K",
TRUE,"10K+"
)</f>
        <v>3K-6K</v>
      </c>
      <c r="AL146" t="str" cm="1">
        <f t="array" ref="AL146">_xlfn.IFS(
HR_Data[[#This Row],[YearsAtCompany]]&lt;2,"&lt;2 Years",
HR_Data[[#This Row],[YearsAtCompany]]&lt;5,"2-4 Years",
HR_Data[[#This Row],[YearsAtCompany]]&lt;10,"5-9 Years",
TRUE,"10+ Years"
)</f>
        <v>5-9 Years</v>
      </c>
      <c r="AM146" s="1">
        <f>IF(HR_Data[[#This Row],[Attrition]]="Yes",1,0)</f>
        <v>0</v>
      </c>
    </row>
    <row r="147" spans="1:39" x14ac:dyDescent="0.3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 cm="1">
        <f t="array" ref="AJ147">_xlfn.IFS(
HR_Data[[#This Row],[Age]]&lt;25,"Under 25",
HR_Data[[#This Row],[Age]]&lt;35,"25-34",
HR_Data[[#This Row],[Age]]&lt;45,"35-44",
HR_Data[[#This Row],[Age]]&lt;55,"45-54",
TRUE,"55+"
)</f>
        <v>25-34</v>
      </c>
      <c r="AK147" t="str" cm="1">
        <f t="array" ref="AK147">_xlfn.IFS(
HR_Data[[#This Row],[MonthlyIncome]]&lt;3000,"&lt;3K",
HR_Data[[#This Row],[MonthlyIncome]]&lt;6000,"3K-6K",
HR_Data[[#This Row],[MonthlyIncome]]&lt;10000,"6K-10K",
TRUE,"10K+"
)</f>
        <v>3K-6K</v>
      </c>
      <c r="AL147" t="str" cm="1">
        <f t="array" ref="AL147">_xlfn.IFS(
HR_Data[[#This Row],[YearsAtCompany]]&lt;2,"&lt;2 Years",
HR_Data[[#This Row],[YearsAtCompany]]&lt;5,"2-4 Years",
HR_Data[[#This Row],[YearsAtCompany]]&lt;10,"5-9 Years",
TRUE,"10+ Years"
)</f>
        <v>2-4 Years</v>
      </c>
      <c r="AM147" s="1">
        <f>IF(HR_Data[[#This Row],[Attrition]]="Yes",1,0)</f>
        <v>0</v>
      </c>
    </row>
    <row r="148" spans="1:39" x14ac:dyDescent="0.3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 cm="1">
        <f t="array" ref="AJ148">_xlfn.IFS(
HR_Data[[#This Row],[Age]]&lt;25,"Under 25",
HR_Data[[#This Row],[Age]]&lt;35,"25-34",
HR_Data[[#This Row],[Age]]&lt;45,"35-44",
HR_Data[[#This Row],[Age]]&lt;55,"45-54",
TRUE,"55+"
)</f>
        <v>25-34</v>
      </c>
      <c r="AK148" t="str" cm="1">
        <f t="array" ref="AK148">_xlfn.IFS(
HR_Data[[#This Row],[MonthlyIncome]]&lt;3000,"&lt;3K",
HR_Data[[#This Row],[MonthlyIncome]]&lt;6000,"3K-6K",
HR_Data[[#This Row],[MonthlyIncome]]&lt;10000,"6K-10K",
TRUE,"10K+"
)</f>
        <v>&lt;3K</v>
      </c>
      <c r="AL148" t="str" cm="1">
        <f t="array" ref="AL148">_xlfn.IFS(
HR_Data[[#This Row],[YearsAtCompany]]&lt;2,"&lt;2 Years",
HR_Data[[#This Row],[YearsAtCompany]]&lt;5,"2-4 Years",
HR_Data[[#This Row],[YearsAtCompany]]&lt;10,"5-9 Years",
TRUE,"10+ Years"
)</f>
        <v>5-9 Years</v>
      </c>
      <c r="AM148" s="1">
        <f>IF(HR_Data[[#This Row],[Attrition]]="Yes",1,0)</f>
        <v>0</v>
      </c>
    </row>
    <row r="149" spans="1:39" x14ac:dyDescent="0.3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 cm="1">
        <f t="array" ref="AJ149">_xlfn.IFS(
HR_Data[[#This Row],[Age]]&lt;25,"Under 25",
HR_Data[[#This Row],[Age]]&lt;35,"25-34",
HR_Data[[#This Row],[Age]]&lt;45,"35-44",
HR_Data[[#This Row],[Age]]&lt;55,"45-54",
TRUE,"55+"
)</f>
        <v>35-44</v>
      </c>
      <c r="AK149" t="str" cm="1">
        <f t="array" ref="AK149">_xlfn.IFS(
HR_Data[[#This Row],[MonthlyIncome]]&lt;3000,"&lt;3K",
HR_Data[[#This Row],[MonthlyIncome]]&lt;6000,"3K-6K",
HR_Data[[#This Row],[MonthlyIncome]]&lt;10000,"6K-10K",
TRUE,"10K+"
)</f>
        <v>10K+</v>
      </c>
      <c r="AL149" t="str" cm="1">
        <f t="array" ref="AL149">_xlfn.IFS(
HR_Data[[#This Row],[YearsAtCompany]]&lt;2,"&lt;2 Years",
HR_Data[[#This Row],[YearsAtCompany]]&lt;5,"2-4 Years",
HR_Data[[#This Row],[YearsAtCompany]]&lt;10,"5-9 Years",
TRUE,"10+ Years"
)</f>
        <v>5-9 Years</v>
      </c>
      <c r="AM149" s="1">
        <f>IF(HR_Data[[#This Row],[Attrition]]="Yes",1,0)</f>
        <v>0</v>
      </c>
    </row>
    <row r="150" spans="1:39" x14ac:dyDescent="0.3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 cm="1">
        <f t="array" ref="AJ150">_xlfn.IFS(
HR_Data[[#This Row],[Age]]&lt;25,"Under 25",
HR_Data[[#This Row],[Age]]&lt;35,"25-34",
HR_Data[[#This Row],[Age]]&lt;45,"35-44",
HR_Data[[#This Row],[Age]]&lt;55,"45-54",
TRUE,"55+"
)</f>
        <v>35-44</v>
      </c>
      <c r="AK150" t="str" cm="1">
        <f t="array" ref="AK150">_xlfn.IFS(
HR_Data[[#This Row],[MonthlyIncome]]&lt;3000,"&lt;3K",
HR_Data[[#This Row],[MonthlyIncome]]&lt;6000,"3K-6K",
HR_Data[[#This Row],[MonthlyIncome]]&lt;10000,"6K-10K",
TRUE,"10K+"
)</f>
        <v>&lt;3K</v>
      </c>
      <c r="AL150" t="str" cm="1">
        <f t="array" ref="AL150">_xlfn.IFS(
HR_Data[[#This Row],[YearsAtCompany]]&lt;2,"&lt;2 Years",
HR_Data[[#This Row],[YearsAtCompany]]&lt;5,"2-4 Years",
HR_Data[[#This Row],[YearsAtCompany]]&lt;10,"5-9 Years",
TRUE,"10+ Years"
)</f>
        <v>5-9 Years</v>
      </c>
      <c r="AM150" s="1">
        <f>IF(HR_Data[[#This Row],[Attrition]]="Yes",1,0)</f>
        <v>0</v>
      </c>
    </row>
    <row r="151" spans="1:39" x14ac:dyDescent="0.3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 cm="1">
        <f t="array" ref="AJ151">_xlfn.IFS(
HR_Data[[#This Row],[Age]]&lt;25,"Under 25",
HR_Data[[#This Row],[Age]]&lt;35,"25-34",
HR_Data[[#This Row],[Age]]&lt;45,"35-44",
HR_Data[[#This Row],[Age]]&lt;55,"45-54",
TRUE,"55+"
)</f>
        <v>Under 25</v>
      </c>
      <c r="AK151" t="str" cm="1">
        <f t="array" ref="AK151">_xlfn.IFS(
HR_Data[[#This Row],[MonthlyIncome]]&lt;3000,"&lt;3K",
HR_Data[[#This Row],[MonthlyIncome]]&lt;6000,"3K-6K",
HR_Data[[#This Row],[MonthlyIncome]]&lt;10000,"6K-10K",
TRUE,"10K+"
)</f>
        <v>&lt;3K</v>
      </c>
      <c r="AL151" t="str" cm="1">
        <f t="array" ref="AL151">_xlfn.IFS(
HR_Data[[#This Row],[YearsAtCompany]]&lt;2,"&lt;2 Years",
HR_Data[[#This Row],[YearsAtCompany]]&lt;5,"2-4 Years",
HR_Data[[#This Row],[YearsAtCompany]]&lt;10,"5-9 Years",
TRUE,"10+ Years"
)</f>
        <v>&lt;2 Years</v>
      </c>
      <c r="AM151" s="1">
        <f>IF(HR_Data[[#This Row],[Attrition]]="Yes",1,0)</f>
        <v>0</v>
      </c>
    </row>
    <row r="152" spans="1:39" x14ac:dyDescent="0.3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 cm="1">
        <f t="array" ref="AJ152">_xlfn.IFS(
HR_Data[[#This Row],[Age]]&lt;25,"Under 25",
HR_Data[[#This Row],[Age]]&lt;35,"25-34",
HR_Data[[#This Row],[Age]]&lt;45,"35-44",
HR_Data[[#This Row],[Age]]&lt;55,"45-54",
TRUE,"55+"
)</f>
        <v>35-44</v>
      </c>
      <c r="AK152" t="str" cm="1">
        <f t="array" ref="AK152">_xlfn.IFS(
HR_Data[[#This Row],[MonthlyIncome]]&lt;3000,"&lt;3K",
HR_Data[[#This Row],[MonthlyIncome]]&lt;6000,"3K-6K",
HR_Data[[#This Row],[MonthlyIncome]]&lt;10000,"6K-10K",
TRUE,"10K+"
)</f>
        <v>3K-6K</v>
      </c>
      <c r="AL152" t="str" cm="1">
        <f t="array" ref="AL152">_xlfn.IFS(
HR_Data[[#This Row],[YearsAtCompany]]&lt;2,"&lt;2 Years",
HR_Data[[#This Row],[YearsAtCompany]]&lt;5,"2-4 Years",
HR_Data[[#This Row],[YearsAtCompany]]&lt;10,"5-9 Years",
TRUE,"10+ Years"
)</f>
        <v>10+ Years</v>
      </c>
      <c r="AM152" s="1">
        <f>IF(HR_Data[[#This Row],[Attrition]]="Yes",1,0)</f>
        <v>0</v>
      </c>
    </row>
    <row r="153" spans="1:39" x14ac:dyDescent="0.3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 cm="1">
        <f t="array" ref="AJ153">_xlfn.IFS(
HR_Data[[#This Row],[Age]]&lt;25,"Under 25",
HR_Data[[#This Row],[Age]]&lt;35,"25-34",
HR_Data[[#This Row],[Age]]&lt;45,"35-44",
HR_Data[[#This Row],[Age]]&lt;55,"45-54",
TRUE,"55+"
)</f>
        <v>35-44</v>
      </c>
      <c r="AK153" t="str" cm="1">
        <f t="array" ref="AK153">_xlfn.IFS(
HR_Data[[#This Row],[MonthlyIncome]]&lt;3000,"&lt;3K",
HR_Data[[#This Row],[MonthlyIncome]]&lt;6000,"3K-6K",
HR_Data[[#This Row],[MonthlyIncome]]&lt;10000,"6K-10K",
TRUE,"10K+"
)</f>
        <v>6K-10K</v>
      </c>
      <c r="AL153" t="str" cm="1">
        <f t="array" ref="AL153">_xlfn.IFS(
HR_Data[[#This Row],[YearsAtCompany]]&lt;2,"&lt;2 Years",
HR_Data[[#This Row],[YearsAtCompany]]&lt;5,"2-4 Years",
HR_Data[[#This Row],[YearsAtCompany]]&lt;10,"5-9 Years",
TRUE,"10+ Years"
)</f>
        <v>10+ Years</v>
      </c>
      <c r="AM153" s="1">
        <f>IF(HR_Data[[#This Row],[Attrition]]="Yes",1,0)</f>
        <v>0</v>
      </c>
    </row>
    <row r="154" spans="1:39" x14ac:dyDescent="0.3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 cm="1">
        <f t="array" ref="AJ154">_xlfn.IFS(
HR_Data[[#This Row],[Age]]&lt;25,"Under 25",
HR_Data[[#This Row],[Age]]&lt;35,"25-34",
HR_Data[[#This Row],[Age]]&lt;45,"35-44",
HR_Data[[#This Row],[Age]]&lt;55,"45-54",
TRUE,"55+"
)</f>
        <v>45-54</v>
      </c>
      <c r="AK154" t="str" cm="1">
        <f t="array" ref="AK154">_xlfn.IFS(
HR_Data[[#This Row],[MonthlyIncome]]&lt;3000,"&lt;3K",
HR_Data[[#This Row],[MonthlyIncome]]&lt;6000,"3K-6K",
HR_Data[[#This Row],[MonthlyIncome]]&lt;10000,"6K-10K",
TRUE,"10K+"
)</f>
        <v>&lt;3K</v>
      </c>
      <c r="AL154" t="str" cm="1">
        <f t="array" ref="AL154">_xlfn.IFS(
HR_Data[[#This Row],[YearsAtCompany]]&lt;2,"&lt;2 Years",
HR_Data[[#This Row],[YearsAtCompany]]&lt;5,"2-4 Years",
HR_Data[[#This Row],[YearsAtCompany]]&lt;10,"5-9 Years",
TRUE,"10+ Years"
)</f>
        <v>5-9 Years</v>
      </c>
      <c r="AM154" s="1">
        <f>IF(HR_Data[[#This Row],[Attrition]]="Yes",1,0)</f>
        <v>0</v>
      </c>
    </row>
    <row r="155" spans="1:39" x14ac:dyDescent="0.3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 cm="1">
        <f t="array" ref="AJ155">_xlfn.IFS(
HR_Data[[#This Row],[Age]]&lt;25,"Under 25",
HR_Data[[#This Row],[Age]]&lt;35,"25-34",
HR_Data[[#This Row],[Age]]&lt;45,"35-44",
HR_Data[[#This Row],[Age]]&lt;55,"45-54",
TRUE,"55+"
)</f>
        <v>45-54</v>
      </c>
      <c r="AK155" t="str" cm="1">
        <f t="array" ref="AK155">_xlfn.IFS(
HR_Data[[#This Row],[MonthlyIncome]]&lt;3000,"&lt;3K",
HR_Data[[#This Row],[MonthlyIncome]]&lt;6000,"3K-6K",
HR_Data[[#This Row],[MonthlyIncome]]&lt;10000,"6K-10K",
TRUE,"10K+"
)</f>
        <v>&lt;3K</v>
      </c>
      <c r="AL155" t="str" cm="1">
        <f t="array" ref="AL155">_xlfn.IFS(
HR_Data[[#This Row],[YearsAtCompany]]&lt;2,"&lt;2 Years",
HR_Data[[#This Row],[YearsAtCompany]]&lt;5,"2-4 Years",
HR_Data[[#This Row],[YearsAtCompany]]&lt;10,"5-9 Years",
TRUE,"10+ Years"
)</f>
        <v>10+ Years</v>
      </c>
      <c r="AM155" s="1">
        <f>IF(HR_Data[[#This Row],[Attrition]]="Yes",1,0)</f>
        <v>0</v>
      </c>
    </row>
    <row r="156" spans="1:39" x14ac:dyDescent="0.3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 cm="1">
        <f t="array" ref="AJ156">_xlfn.IFS(
HR_Data[[#This Row],[Age]]&lt;25,"Under 25",
HR_Data[[#This Row],[Age]]&lt;35,"25-34",
HR_Data[[#This Row],[Age]]&lt;45,"35-44",
HR_Data[[#This Row],[Age]]&lt;55,"45-54",
TRUE,"55+"
)</f>
        <v>25-34</v>
      </c>
      <c r="AK156" t="str" cm="1">
        <f t="array" ref="AK156">_xlfn.IFS(
HR_Data[[#This Row],[MonthlyIncome]]&lt;3000,"&lt;3K",
HR_Data[[#This Row],[MonthlyIncome]]&lt;6000,"3K-6K",
HR_Data[[#This Row],[MonthlyIncome]]&lt;10000,"6K-10K",
TRUE,"10K+"
)</f>
        <v>6K-10K</v>
      </c>
      <c r="AL156" t="str" cm="1">
        <f t="array" ref="AL156">_xlfn.IFS(
HR_Data[[#This Row],[YearsAtCompany]]&lt;2,"&lt;2 Years",
HR_Data[[#This Row],[YearsAtCompany]]&lt;5,"2-4 Years",
HR_Data[[#This Row],[YearsAtCompany]]&lt;10,"5-9 Years",
TRUE,"10+ Years"
)</f>
        <v>5-9 Years</v>
      </c>
      <c r="AM156" s="1">
        <f>IF(HR_Data[[#This Row],[Attrition]]="Yes",1,0)</f>
        <v>0</v>
      </c>
    </row>
    <row r="157" spans="1:39" x14ac:dyDescent="0.3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 cm="1">
        <f t="array" ref="AJ157">_xlfn.IFS(
HR_Data[[#This Row],[Age]]&lt;25,"Under 25",
HR_Data[[#This Row],[Age]]&lt;35,"25-34",
HR_Data[[#This Row],[Age]]&lt;45,"35-44",
HR_Data[[#This Row],[Age]]&lt;55,"45-54",
TRUE,"55+"
)</f>
        <v>25-34</v>
      </c>
      <c r="AK157" t="str" cm="1">
        <f t="array" ref="AK157">_xlfn.IFS(
HR_Data[[#This Row],[MonthlyIncome]]&lt;3000,"&lt;3K",
HR_Data[[#This Row],[MonthlyIncome]]&lt;6000,"3K-6K",
HR_Data[[#This Row],[MonthlyIncome]]&lt;10000,"6K-10K",
TRUE,"10K+"
)</f>
        <v>3K-6K</v>
      </c>
      <c r="AL157" t="str" cm="1">
        <f t="array" ref="AL157">_xlfn.IFS(
HR_Data[[#This Row],[YearsAtCompany]]&lt;2,"&lt;2 Years",
HR_Data[[#This Row],[YearsAtCompany]]&lt;5,"2-4 Years",
HR_Data[[#This Row],[YearsAtCompany]]&lt;10,"5-9 Years",
TRUE,"10+ Years"
)</f>
        <v>10+ Years</v>
      </c>
      <c r="AM157" s="1">
        <f>IF(HR_Data[[#This Row],[Attrition]]="Yes",1,0)</f>
        <v>0</v>
      </c>
    </row>
    <row r="158" spans="1:39" x14ac:dyDescent="0.3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 cm="1">
        <f t="array" ref="AJ158">_xlfn.IFS(
HR_Data[[#This Row],[Age]]&lt;25,"Under 25",
HR_Data[[#This Row],[Age]]&lt;35,"25-34",
HR_Data[[#This Row],[Age]]&lt;45,"35-44",
HR_Data[[#This Row],[Age]]&lt;55,"45-54",
TRUE,"55+"
)</f>
        <v>45-54</v>
      </c>
      <c r="AK158" t="str" cm="1">
        <f t="array" ref="AK158">_xlfn.IFS(
HR_Data[[#This Row],[MonthlyIncome]]&lt;3000,"&lt;3K",
HR_Data[[#This Row],[MonthlyIncome]]&lt;6000,"3K-6K",
HR_Data[[#This Row],[MonthlyIncome]]&lt;10000,"6K-10K",
TRUE,"10K+"
)</f>
        <v>6K-10K</v>
      </c>
      <c r="AL158" t="str" cm="1">
        <f t="array" ref="AL158">_xlfn.IFS(
HR_Data[[#This Row],[YearsAtCompany]]&lt;2,"&lt;2 Years",
HR_Data[[#This Row],[YearsAtCompany]]&lt;5,"2-4 Years",
HR_Data[[#This Row],[YearsAtCompany]]&lt;10,"5-9 Years",
TRUE,"10+ Years"
)</f>
        <v>&lt;2 Years</v>
      </c>
      <c r="AM158" s="1">
        <f>IF(HR_Data[[#This Row],[Attrition]]="Yes",1,0)</f>
        <v>0</v>
      </c>
    </row>
    <row r="159" spans="1:39" x14ac:dyDescent="0.3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 cm="1">
        <f t="array" ref="AJ159">_xlfn.IFS(
HR_Data[[#This Row],[Age]]&lt;25,"Under 25",
HR_Data[[#This Row],[Age]]&lt;35,"25-34",
HR_Data[[#This Row],[Age]]&lt;45,"35-44",
HR_Data[[#This Row],[Age]]&lt;55,"45-54",
TRUE,"55+"
)</f>
        <v>55+</v>
      </c>
      <c r="AK159" t="str" cm="1">
        <f t="array" ref="AK159">_xlfn.IFS(
HR_Data[[#This Row],[MonthlyIncome]]&lt;3000,"&lt;3K",
HR_Data[[#This Row],[MonthlyIncome]]&lt;6000,"3K-6K",
HR_Data[[#This Row],[MonthlyIncome]]&lt;10000,"6K-10K",
TRUE,"10K+"
)</f>
        <v>3K-6K</v>
      </c>
      <c r="AL159" t="str" cm="1">
        <f t="array" ref="AL159">_xlfn.IFS(
HR_Data[[#This Row],[YearsAtCompany]]&lt;2,"&lt;2 Years",
HR_Data[[#This Row],[YearsAtCompany]]&lt;5,"2-4 Years",
HR_Data[[#This Row],[YearsAtCompany]]&lt;10,"5-9 Years",
TRUE,"10+ Years"
)</f>
        <v>&lt;2 Years</v>
      </c>
      <c r="AM159" s="1">
        <f>IF(HR_Data[[#This Row],[Attrition]]="Yes",1,0)</f>
        <v>0</v>
      </c>
    </row>
    <row r="160" spans="1:39" x14ac:dyDescent="0.3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 cm="1">
        <f t="array" ref="AJ160">_xlfn.IFS(
HR_Data[[#This Row],[Age]]&lt;25,"Under 25",
HR_Data[[#This Row],[Age]]&lt;35,"25-34",
HR_Data[[#This Row],[Age]]&lt;45,"35-44",
HR_Data[[#This Row],[Age]]&lt;55,"45-54",
TRUE,"55+"
)</f>
        <v>35-44</v>
      </c>
      <c r="AK160" t="str" cm="1">
        <f t="array" ref="AK160">_xlfn.IFS(
HR_Data[[#This Row],[MonthlyIncome]]&lt;3000,"&lt;3K",
HR_Data[[#This Row],[MonthlyIncome]]&lt;6000,"3K-6K",
HR_Data[[#This Row],[MonthlyIncome]]&lt;10000,"6K-10K",
TRUE,"10K+"
)</f>
        <v>10K+</v>
      </c>
      <c r="AL160" t="str" cm="1">
        <f t="array" ref="AL160">_xlfn.IFS(
HR_Data[[#This Row],[YearsAtCompany]]&lt;2,"&lt;2 Years",
HR_Data[[#This Row],[YearsAtCompany]]&lt;5,"2-4 Years",
HR_Data[[#This Row],[YearsAtCompany]]&lt;10,"5-9 Years",
TRUE,"10+ Years"
)</f>
        <v>10+ Years</v>
      </c>
      <c r="AM160" s="1">
        <f>IF(HR_Data[[#This Row],[Attrition]]="Yes",1,0)</f>
        <v>0</v>
      </c>
    </row>
    <row r="161" spans="1:39" x14ac:dyDescent="0.3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 cm="1">
        <f t="array" ref="AJ161">_xlfn.IFS(
HR_Data[[#This Row],[Age]]&lt;25,"Under 25",
HR_Data[[#This Row],[Age]]&lt;35,"25-34",
HR_Data[[#This Row],[Age]]&lt;45,"35-44",
HR_Data[[#This Row],[Age]]&lt;55,"45-54",
TRUE,"55+"
)</f>
        <v>25-34</v>
      </c>
      <c r="AK161" t="str" cm="1">
        <f t="array" ref="AK161">_xlfn.IFS(
HR_Data[[#This Row],[MonthlyIncome]]&lt;3000,"&lt;3K",
HR_Data[[#This Row],[MonthlyIncome]]&lt;6000,"3K-6K",
HR_Data[[#This Row],[MonthlyIncome]]&lt;10000,"6K-10K",
TRUE,"10K+"
)</f>
        <v>&lt;3K</v>
      </c>
      <c r="AL161" t="str" cm="1">
        <f t="array" ref="AL161">_xlfn.IFS(
HR_Data[[#This Row],[YearsAtCompany]]&lt;2,"&lt;2 Years",
HR_Data[[#This Row],[YearsAtCompany]]&lt;5,"2-4 Years",
HR_Data[[#This Row],[YearsAtCompany]]&lt;10,"5-9 Years",
TRUE,"10+ Years"
)</f>
        <v>2-4 Years</v>
      </c>
      <c r="AM161" s="1">
        <f>IF(HR_Data[[#This Row],[Attrition]]="Yes",1,0)</f>
        <v>0</v>
      </c>
    </row>
    <row r="162" spans="1:39" x14ac:dyDescent="0.3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 cm="1">
        <f t="array" ref="AJ162">_xlfn.IFS(
HR_Data[[#This Row],[Age]]&lt;25,"Under 25",
HR_Data[[#This Row],[Age]]&lt;35,"25-34",
HR_Data[[#This Row],[Age]]&lt;45,"35-44",
HR_Data[[#This Row],[Age]]&lt;55,"45-54",
TRUE,"55+"
)</f>
        <v>Under 25</v>
      </c>
      <c r="AK162" t="str" cm="1">
        <f t="array" ref="AK162">_xlfn.IFS(
HR_Data[[#This Row],[MonthlyIncome]]&lt;3000,"&lt;3K",
HR_Data[[#This Row],[MonthlyIncome]]&lt;6000,"3K-6K",
HR_Data[[#This Row],[MonthlyIncome]]&lt;10000,"6K-10K",
TRUE,"10K+"
)</f>
        <v>&lt;3K</v>
      </c>
      <c r="AL162" t="str" cm="1">
        <f t="array" ref="AL162">_xlfn.IFS(
HR_Data[[#This Row],[YearsAtCompany]]&lt;2,"&lt;2 Years",
HR_Data[[#This Row],[YearsAtCompany]]&lt;5,"2-4 Years",
HR_Data[[#This Row],[YearsAtCompany]]&lt;10,"5-9 Years",
TRUE,"10+ Years"
)</f>
        <v>2-4 Years</v>
      </c>
      <c r="AM162" s="1">
        <f>IF(HR_Data[[#This Row],[Attrition]]="Yes",1,0)</f>
        <v>0</v>
      </c>
    </row>
    <row r="163" spans="1:39" x14ac:dyDescent="0.3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 cm="1">
        <f t="array" ref="AJ163">_xlfn.IFS(
HR_Data[[#This Row],[Age]]&lt;25,"Under 25",
HR_Data[[#This Row],[Age]]&lt;35,"25-34",
HR_Data[[#This Row],[Age]]&lt;45,"35-44",
HR_Data[[#This Row],[Age]]&lt;55,"45-54",
TRUE,"55+"
)</f>
        <v>25-34</v>
      </c>
      <c r="AK163" t="str" cm="1">
        <f t="array" ref="AK163">_xlfn.IFS(
HR_Data[[#This Row],[MonthlyIncome]]&lt;3000,"&lt;3K",
HR_Data[[#This Row],[MonthlyIncome]]&lt;6000,"3K-6K",
HR_Data[[#This Row],[MonthlyIncome]]&lt;10000,"6K-10K",
TRUE,"10K+"
)</f>
        <v>&lt;3K</v>
      </c>
      <c r="AL163" t="str" cm="1">
        <f t="array" ref="AL163">_xlfn.IFS(
HR_Data[[#This Row],[YearsAtCompany]]&lt;2,"&lt;2 Years",
HR_Data[[#This Row],[YearsAtCompany]]&lt;5,"2-4 Years",
HR_Data[[#This Row],[YearsAtCompany]]&lt;10,"5-9 Years",
TRUE,"10+ Years"
)</f>
        <v>2-4 Years</v>
      </c>
      <c r="AM163" s="1">
        <f>IF(HR_Data[[#This Row],[Attrition]]="Yes",1,0)</f>
        <v>0</v>
      </c>
    </row>
    <row r="164" spans="1:39" x14ac:dyDescent="0.3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 cm="1">
        <f t="array" ref="AJ164">_xlfn.IFS(
HR_Data[[#This Row],[Age]]&lt;25,"Under 25",
HR_Data[[#This Row],[Age]]&lt;35,"25-34",
HR_Data[[#This Row],[Age]]&lt;45,"35-44",
HR_Data[[#This Row],[Age]]&lt;55,"45-54",
TRUE,"55+"
)</f>
        <v>25-34</v>
      </c>
      <c r="AK164" t="str" cm="1">
        <f t="array" ref="AK164">_xlfn.IFS(
HR_Data[[#This Row],[MonthlyIncome]]&lt;3000,"&lt;3K",
HR_Data[[#This Row],[MonthlyIncome]]&lt;6000,"3K-6K",
HR_Data[[#This Row],[MonthlyIncome]]&lt;10000,"6K-10K",
TRUE,"10K+"
)</f>
        <v>&lt;3K</v>
      </c>
      <c r="AL164" t="str" cm="1">
        <f t="array" ref="AL164">_xlfn.IFS(
HR_Data[[#This Row],[YearsAtCompany]]&lt;2,"&lt;2 Years",
HR_Data[[#This Row],[YearsAtCompany]]&lt;5,"2-4 Years",
HR_Data[[#This Row],[YearsAtCompany]]&lt;10,"5-9 Years",
TRUE,"10+ Years"
)</f>
        <v>5-9 Years</v>
      </c>
      <c r="AM164" s="1">
        <f>IF(HR_Data[[#This Row],[Attrition]]="Yes",1,0)</f>
        <v>0</v>
      </c>
    </row>
    <row r="165" spans="1:39" x14ac:dyDescent="0.3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 cm="1">
        <f t="array" ref="AJ165">_xlfn.IFS(
HR_Data[[#This Row],[Age]]&lt;25,"Under 25",
HR_Data[[#This Row],[Age]]&lt;35,"25-34",
HR_Data[[#This Row],[Age]]&lt;45,"35-44",
HR_Data[[#This Row],[Age]]&lt;55,"45-54",
TRUE,"55+"
)</f>
        <v>55+</v>
      </c>
      <c r="AK165" t="str" cm="1">
        <f t="array" ref="AK165">_xlfn.IFS(
HR_Data[[#This Row],[MonthlyIncome]]&lt;3000,"&lt;3K",
HR_Data[[#This Row],[MonthlyIncome]]&lt;6000,"3K-6K",
HR_Data[[#This Row],[MonthlyIncome]]&lt;10000,"6K-10K",
TRUE,"10K+"
)</f>
        <v>6K-10K</v>
      </c>
      <c r="AL165" t="str" cm="1">
        <f t="array" ref="AL165">_xlfn.IFS(
HR_Data[[#This Row],[YearsAtCompany]]&lt;2,"&lt;2 Years",
HR_Data[[#This Row],[YearsAtCompany]]&lt;5,"2-4 Years",
HR_Data[[#This Row],[YearsAtCompany]]&lt;10,"5-9 Years",
TRUE,"10+ Years"
)</f>
        <v>5-9 Years</v>
      </c>
      <c r="AM165" s="1">
        <f>IF(HR_Data[[#This Row],[Attrition]]="Yes",1,0)</f>
        <v>0</v>
      </c>
    </row>
    <row r="166" spans="1:39" x14ac:dyDescent="0.3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 cm="1">
        <f t="array" ref="AJ166">_xlfn.IFS(
HR_Data[[#This Row],[Age]]&lt;25,"Under 25",
HR_Data[[#This Row],[Age]]&lt;35,"25-34",
HR_Data[[#This Row],[Age]]&lt;45,"35-44",
HR_Data[[#This Row],[Age]]&lt;55,"45-54",
TRUE,"55+"
)</f>
        <v>25-34</v>
      </c>
      <c r="AK166" t="str" cm="1">
        <f t="array" ref="AK166">_xlfn.IFS(
HR_Data[[#This Row],[MonthlyIncome]]&lt;3000,"&lt;3K",
HR_Data[[#This Row],[MonthlyIncome]]&lt;6000,"3K-6K",
HR_Data[[#This Row],[MonthlyIncome]]&lt;10000,"6K-10K",
TRUE,"10K+"
)</f>
        <v>&lt;3K</v>
      </c>
      <c r="AL166" t="str" cm="1">
        <f t="array" ref="AL166">_xlfn.IFS(
HR_Data[[#This Row],[YearsAtCompany]]&lt;2,"&lt;2 Years",
HR_Data[[#This Row],[YearsAtCompany]]&lt;5,"2-4 Years",
HR_Data[[#This Row],[YearsAtCompany]]&lt;10,"5-9 Years",
TRUE,"10+ Years"
)</f>
        <v>&lt;2 Years</v>
      </c>
      <c r="AM166" s="1">
        <f>IF(HR_Data[[#This Row],[Attrition]]="Yes",1,0)</f>
        <v>0</v>
      </c>
    </row>
    <row r="167" spans="1:39" x14ac:dyDescent="0.3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 cm="1">
        <f t="array" ref="AJ167">_xlfn.IFS(
HR_Data[[#This Row],[Age]]&lt;25,"Under 25",
HR_Data[[#This Row],[Age]]&lt;35,"25-34",
HR_Data[[#This Row],[Age]]&lt;45,"35-44",
HR_Data[[#This Row],[Age]]&lt;55,"45-54",
TRUE,"55+"
)</f>
        <v>45-54</v>
      </c>
      <c r="AK167" t="str" cm="1">
        <f t="array" ref="AK167">_xlfn.IFS(
HR_Data[[#This Row],[MonthlyIncome]]&lt;3000,"&lt;3K",
HR_Data[[#This Row],[MonthlyIncome]]&lt;6000,"3K-6K",
HR_Data[[#This Row],[MonthlyIncome]]&lt;10000,"6K-10K",
TRUE,"10K+"
)</f>
        <v>10K+</v>
      </c>
      <c r="AL167" t="str" cm="1">
        <f t="array" ref="AL167">_xlfn.IFS(
HR_Data[[#This Row],[YearsAtCompany]]&lt;2,"&lt;2 Years",
HR_Data[[#This Row],[YearsAtCompany]]&lt;5,"2-4 Years",
HR_Data[[#This Row],[YearsAtCompany]]&lt;10,"5-9 Years",
TRUE,"10+ Years"
)</f>
        <v>5-9 Years</v>
      </c>
      <c r="AM167" s="1">
        <f>IF(HR_Data[[#This Row],[Attrition]]="Yes",1,0)</f>
        <v>0</v>
      </c>
    </row>
    <row r="168" spans="1:39" x14ac:dyDescent="0.3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 cm="1">
        <f t="array" ref="AJ168">_xlfn.IFS(
HR_Data[[#This Row],[Age]]&lt;25,"Under 25",
HR_Data[[#This Row],[Age]]&lt;35,"25-34",
HR_Data[[#This Row],[Age]]&lt;45,"35-44",
HR_Data[[#This Row],[Age]]&lt;55,"45-54",
TRUE,"55+"
)</f>
        <v>35-44</v>
      </c>
      <c r="AK168" t="str" cm="1">
        <f t="array" ref="AK168">_xlfn.IFS(
HR_Data[[#This Row],[MonthlyIncome]]&lt;3000,"&lt;3K",
HR_Data[[#This Row],[MonthlyIncome]]&lt;6000,"3K-6K",
HR_Data[[#This Row],[MonthlyIncome]]&lt;10000,"6K-10K",
TRUE,"10K+"
)</f>
        <v>&lt;3K</v>
      </c>
      <c r="AL168" t="str" cm="1">
        <f t="array" ref="AL168">_xlfn.IFS(
HR_Data[[#This Row],[YearsAtCompany]]&lt;2,"&lt;2 Years",
HR_Data[[#This Row],[YearsAtCompany]]&lt;5,"2-4 Years",
HR_Data[[#This Row],[YearsAtCompany]]&lt;10,"5-9 Years",
TRUE,"10+ Years"
)</f>
        <v>5-9 Years</v>
      </c>
      <c r="AM168" s="1">
        <f>IF(HR_Data[[#This Row],[Attrition]]="Yes",1,0)</f>
        <v>0</v>
      </c>
    </row>
    <row r="169" spans="1:39" x14ac:dyDescent="0.3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 cm="1">
        <f t="array" ref="AJ169">_xlfn.IFS(
HR_Data[[#This Row],[Age]]&lt;25,"Under 25",
HR_Data[[#This Row],[Age]]&lt;35,"25-34",
HR_Data[[#This Row],[Age]]&lt;45,"35-44",
HR_Data[[#This Row],[Age]]&lt;55,"45-54",
TRUE,"55+"
)</f>
        <v>25-34</v>
      </c>
      <c r="AK169" t="str" cm="1">
        <f t="array" ref="AK169">_xlfn.IFS(
HR_Data[[#This Row],[MonthlyIncome]]&lt;3000,"&lt;3K",
HR_Data[[#This Row],[MonthlyIncome]]&lt;6000,"3K-6K",
HR_Data[[#This Row],[MonthlyIncome]]&lt;10000,"6K-10K",
TRUE,"10K+"
)</f>
        <v>6K-10K</v>
      </c>
      <c r="AL169" t="str" cm="1">
        <f t="array" ref="AL169">_xlfn.IFS(
HR_Data[[#This Row],[YearsAtCompany]]&lt;2,"&lt;2 Years",
HR_Data[[#This Row],[YearsAtCompany]]&lt;5,"2-4 Years",
HR_Data[[#This Row],[YearsAtCompany]]&lt;10,"5-9 Years",
TRUE,"10+ Years"
)</f>
        <v>10+ Years</v>
      </c>
      <c r="AM169" s="1">
        <f>IF(HR_Data[[#This Row],[Attrition]]="Yes",1,0)</f>
        <v>0</v>
      </c>
    </row>
    <row r="170" spans="1:39" x14ac:dyDescent="0.3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 cm="1">
        <f t="array" ref="AJ170">_xlfn.IFS(
HR_Data[[#This Row],[Age]]&lt;25,"Under 25",
HR_Data[[#This Row],[Age]]&lt;35,"25-34",
HR_Data[[#This Row],[Age]]&lt;45,"35-44",
HR_Data[[#This Row],[Age]]&lt;55,"45-54",
TRUE,"55+"
)</f>
        <v>35-44</v>
      </c>
      <c r="AK170" t="str" cm="1">
        <f t="array" ref="AK170">_xlfn.IFS(
HR_Data[[#This Row],[MonthlyIncome]]&lt;3000,"&lt;3K",
HR_Data[[#This Row],[MonthlyIncome]]&lt;6000,"3K-6K",
HR_Data[[#This Row],[MonthlyIncome]]&lt;10000,"6K-10K",
TRUE,"10K+"
)</f>
        <v>6K-10K</v>
      </c>
      <c r="AL170" t="str" cm="1">
        <f t="array" ref="AL170">_xlfn.IFS(
HR_Data[[#This Row],[YearsAtCompany]]&lt;2,"&lt;2 Years",
HR_Data[[#This Row],[YearsAtCompany]]&lt;5,"2-4 Years",
HR_Data[[#This Row],[YearsAtCompany]]&lt;10,"5-9 Years",
TRUE,"10+ Years"
)</f>
        <v>5-9 Years</v>
      </c>
      <c r="AM170" s="1">
        <f>IF(HR_Data[[#This Row],[Attrition]]="Yes",1,0)</f>
        <v>0</v>
      </c>
    </row>
    <row r="171" spans="1:39" x14ac:dyDescent="0.3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 cm="1">
        <f t="array" ref="AJ171">_xlfn.IFS(
HR_Data[[#This Row],[Age]]&lt;25,"Under 25",
HR_Data[[#This Row],[Age]]&lt;35,"25-34",
HR_Data[[#This Row],[Age]]&lt;45,"35-44",
HR_Data[[#This Row],[Age]]&lt;55,"45-54",
TRUE,"55+"
)</f>
        <v>25-34</v>
      </c>
      <c r="AK171" t="str" cm="1">
        <f t="array" ref="AK171">_xlfn.IFS(
HR_Data[[#This Row],[MonthlyIncome]]&lt;3000,"&lt;3K",
HR_Data[[#This Row],[MonthlyIncome]]&lt;6000,"3K-6K",
HR_Data[[#This Row],[MonthlyIncome]]&lt;10000,"6K-10K",
TRUE,"10K+"
)</f>
        <v>3K-6K</v>
      </c>
      <c r="AL171" t="str" cm="1">
        <f t="array" ref="AL171">_xlfn.IFS(
HR_Data[[#This Row],[YearsAtCompany]]&lt;2,"&lt;2 Years",
HR_Data[[#This Row],[YearsAtCompany]]&lt;5,"2-4 Years",
HR_Data[[#This Row],[YearsAtCompany]]&lt;10,"5-9 Years",
TRUE,"10+ Years"
)</f>
        <v>5-9 Years</v>
      </c>
      <c r="AM171" s="1">
        <f>IF(HR_Data[[#This Row],[Attrition]]="Yes",1,0)</f>
        <v>0</v>
      </c>
    </row>
    <row r="172" spans="1:39" x14ac:dyDescent="0.3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 cm="1">
        <f t="array" ref="AJ172">_xlfn.IFS(
HR_Data[[#This Row],[Age]]&lt;25,"Under 25",
HR_Data[[#This Row],[Age]]&lt;35,"25-34",
HR_Data[[#This Row],[Age]]&lt;45,"35-44",
HR_Data[[#This Row],[Age]]&lt;55,"45-54",
TRUE,"55+"
)</f>
        <v>25-34</v>
      </c>
      <c r="AK172" t="str" cm="1">
        <f t="array" ref="AK172">_xlfn.IFS(
HR_Data[[#This Row],[MonthlyIncome]]&lt;3000,"&lt;3K",
HR_Data[[#This Row],[MonthlyIncome]]&lt;6000,"3K-6K",
HR_Data[[#This Row],[MonthlyIncome]]&lt;10000,"6K-10K",
TRUE,"10K+"
)</f>
        <v>3K-6K</v>
      </c>
      <c r="AL172" t="str" cm="1">
        <f t="array" ref="AL172">_xlfn.IFS(
HR_Data[[#This Row],[YearsAtCompany]]&lt;2,"&lt;2 Years",
HR_Data[[#This Row],[YearsAtCompany]]&lt;5,"2-4 Years",
HR_Data[[#This Row],[YearsAtCompany]]&lt;10,"5-9 Years",
TRUE,"10+ Years"
)</f>
        <v>5-9 Years</v>
      </c>
      <c r="AM172" s="1">
        <f>IF(HR_Data[[#This Row],[Attrition]]="Yes",1,0)</f>
        <v>0</v>
      </c>
    </row>
    <row r="173" spans="1:39" x14ac:dyDescent="0.3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 cm="1">
        <f t="array" ref="AJ173">_xlfn.IFS(
HR_Data[[#This Row],[Age]]&lt;25,"Under 25",
HR_Data[[#This Row],[Age]]&lt;35,"25-34",
HR_Data[[#This Row],[Age]]&lt;45,"35-44",
HR_Data[[#This Row],[Age]]&lt;55,"45-54",
TRUE,"55+"
)</f>
        <v>Under 25</v>
      </c>
      <c r="AK173" t="str" cm="1">
        <f t="array" ref="AK173">_xlfn.IFS(
HR_Data[[#This Row],[MonthlyIncome]]&lt;3000,"&lt;3K",
HR_Data[[#This Row],[MonthlyIncome]]&lt;6000,"3K-6K",
HR_Data[[#This Row],[MonthlyIncome]]&lt;10000,"6K-10K",
TRUE,"10K+"
)</f>
        <v>&lt;3K</v>
      </c>
      <c r="AL173" t="str" cm="1">
        <f t="array" ref="AL173">_xlfn.IFS(
HR_Data[[#This Row],[YearsAtCompany]]&lt;2,"&lt;2 Years",
HR_Data[[#This Row],[YearsAtCompany]]&lt;5,"2-4 Years",
HR_Data[[#This Row],[YearsAtCompany]]&lt;10,"5-9 Years",
TRUE,"10+ Years"
)</f>
        <v>&lt;2 Years</v>
      </c>
      <c r="AM173" s="1">
        <f>IF(HR_Data[[#This Row],[Attrition]]="Yes",1,0)</f>
        <v>1</v>
      </c>
    </row>
    <row r="174" spans="1:39" x14ac:dyDescent="0.3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 cm="1">
        <f t="array" ref="AJ174">_xlfn.IFS(
HR_Data[[#This Row],[Age]]&lt;25,"Under 25",
HR_Data[[#This Row],[Age]]&lt;35,"25-34",
HR_Data[[#This Row],[Age]]&lt;45,"35-44",
HR_Data[[#This Row],[Age]]&lt;55,"45-54",
TRUE,"55+"
)</f>
        <v>35-44</v>
      </c>
      <c r="AK174" t="str" cm="1">
        <f t="array" ref="AK174">_xlfn.IFS(
HR_Data[[#This Row],[MonthlyIncome]]&lt;3000,"&lt;3K",
HR_Data[[#This Row],[MonthlyIncome]]&lt;6000,"3K-6K",
HR_Data[[#This Row],[MonthlyIncome]]&lt;10000,"6K-10K",
TRUE,"10K+"
)</f>
        <v>&lt;3K</v>
      </c>
      <c r="AL174" t="str" cm="1">
        <f t="array" ref="AL174">_xlfn.IFS(
HR_Data[[#This Row],[YearsAtCompany]]&lt;2,"&lt;2 Years",
HR_Data[[#This Row],[YearsAtCompany]]&lt;5,"2-4 Years",
HR_Data[[#This Row],[YearsAtCompany]]&lt;10,"5-9 Years",
TRUE,"10+ Years"
)</f>
        <v>5-9 Years</v>
      </c>
      <c r="AM174" s="1">
        <f>IF(HR_Data[[#This Row],[Attrition]]="Yes",1,0)</f>
        <v>0</v>
      </c>
    </row>
    <row r="175" spans="1:39" x14ac:dyDescent="0.3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 cm="1">
        <f t="array" ref="AJ175">_xlfn.IFS(
HR_Data[[#This Row],[Age]]&lt;25,"Under 25",
HR_Data[[#This Row],[Age]]&lt;35,"25-34",
HR_Data[[#This Row],[Age]]&lt;45,"35-44",
HR_Data[[#This Row],[Age]]&lt;55,"45-54",
TRUE,"55+"
)</f>
        <v>25-34</v>
      </c>
      <c r="AK175" t="str" cm="1">
        <f t="array" ref="AK175">_xlfn.IFS(
HR_Data[[#This Row],[MonthlyIncome]]&lt;3000,"&lt;3K",
HR_Data[[#This Row],[MonthlyIncome]]&lt;6000,"3K-6K",
HR_Data[[#This Row],[MonthlyIncome]]&lt;10000,"6K-10K",
TRUE,"10K+"
)</f>
        <v>3K-6K</v>
      </c>
      <c r="AL175" t="str" cm="1">
        <f t="array" ref="AL175">_xlfn.IFS(
HR_Data[[#This Row],[YearsAtCompany]]&lt;2,"&lt;2 Years",
HR_Data[[#This Row],[YearsAtCompany]]&lt;5,"2-4 Years",
HR_Data[[#This Row],[YearsAtCompany]]&lt;10,"5-9 Years",
TRUE,"10+ Years"
)</f>
        <v>10+ Years</v>
      </c>
      <c r="AM175" s="1">
        <f>IF(HR_Data[[#This Row],[Attrition]]="Yes",1,0)</f>
        <v>0</v>
      </c>
    </row>
    <row r="176" spans="1:39" x14ac:dyDescent="0.3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 cm="1">
        <f t="array" ref="AJ176">_xlfn.IFS(
HR_Data[[#This Row],[Age]]&lt;25,"Under 25",
HR_Data[[#This Row],[Age]]&lt;35,"25-34",
HR_Data[[#This Row],[Age]]&lt;45,"35-44",
HR_Data[[#This Row],[Age]]&lt;55,"45-54",
TRUE,"55+"
)</f>
        <v>45-54</v>
      </c>
      <c r="AK176" t="str" cm="1">
        <f t="array" ref="AK176">_xlfn.IFS(
HR_Data[[#This Row],[MonthlyIncome]]&lt;3000,"&lt;3K",
HR_Data[[#This Row],[MonthlyIncome]]&lt;6000,"3K-6K",
HR_Data[[#This Row],[MonthlyIncome]]&lt;10000,"6K-10K",
TRUE,"10K+"
)</f>
        <v>3K-6K</v>
      </c>
      <c r="AL176" t="str" cm="1">
        <f t="array" ref="AL176">_xlfn.IFS(
HR_Data[[#This Row],[YearsAtCompany]]&lt;2,"&lt;2 Years",
HR_Data[[#This Row],[YearsAtCompany]]&lt;5,"2-4 Years",
HR_Data[[#This Row],[YearsAtCompany]]&lt;10,"5-9 Years",
TRUE,"10+ Years"
)</f>
        <v>5-9 Years</v>
      </c>
      <c r="AM176" s="1">
        <f>IF(HR_Data[[#This Row],[Attrition]]="Yes",1,0)</f>
        <v>0</v>
      </c>
    </row>
    <row r="177" spans="1:39" x14ac:dyDescent="0.3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 cm="1">
        <f t="array" ref="AJ177">_xlfn.IFS(
HR_Data[[#This Row],[Age]]&lt;25,"Under 25",
HR_Data[[#This Row],[Age]]&lt;35,"25-34",
HR_Data[[#This Row],[Age]]&lt;45,"35-44",
HR_Data[[#This Row],[Age]]&lt;55,"45-54",
TRUE,"55+"
)</f>
        <v>55+</v>
      </c>
      <c r="AK177" t="str" cm="1">
        <f t="array" ref="AK177">_xlfn.IFS(
HR_Data[[#This Row],[MonthlyIncome]]&lt;3000,"&lt;3K",
HR_Data[[#This Row],[MonthlyIncome]]&lt;6000,"3K-6K",
HR_Data[[#This Row],[MonthlyIncome]]&lt;10000,"6K-10K",
TRUE,"10K+"
)</f>
        <v>3K-6K</v>
      </c>
      <c r="AL177" t="str" cm="1">
        <f t="array" ref="AL177">_xlfn.IFS(
HR_Data[[#This Row],[YearsAtCompany]]&lt;2,"&lt;2 Years",
HR_Data[[#This Row],[YearsAtCompany]]&lt;5,"2-4 Years",
HR_Data[[#This Row],[YearsAtCompany]]&lt;10,"5-9 Years",
TRUE,"10+ Years"
)</f>
        <v>2-4 Years</v>
      </c>
      <c r="AM177" s="1">
        <f>IF(HR_Data[[#This Row],[Attrition]]="Yes",1,0)</f>
        <v>0</v>
      </c>
    </row>
    <row r="178" spans="1:39" x14ac:dyDescent="0.3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 cm="1">
        <f t="array" ref="AJ178">_xlfn.IFS(
HR_Data[[#This Row],[Age]]&lt;25,"Under 25",
HR_Data[[#This Row],[Age]]&lt;35,"25-34",
HR_Data[[#This Row],[Age]]&lt;45,"35-44",
HR_Data[[#This Row],[Age]]&lt;55,"45-54",
TRUE,"55+"
)</f>
        <v>25-34</v>
      </c>
      <c r="AK178" t="str" cm="1">
        <f t="array" ref="AK178">_xlfn.IFS(
HR_Data[[#This Row],[MonthlyIncome]]&lt;3000,"&lt;3K",
HR_Data[[#This Row],[MonthlyIncome]]&lt;6000,"3K-6K",
HR_Data[[#This Row],[MonthlyIncome]]&lt;10000,"6K-10K",
TRUE,"10K+"
)</f>
        <v>&lt;3K</v>
      </c>
      <c r="AL178" t="str" cm="1">
        <f t="array" ref="AL178">_xlfn.IFS(
HR_Data[[#This Row],[YearsAtCompany]]&lt;2,"&lt;2 Years",
HR_Data[[#This Row],[YearsAtCompany]]&lt;5,"2-4 Years",
HR_Data[[#This Row],[YearsAtCompany]]&lt;10,"5-9 Years",
TRUE,"10+ Years"
)</f>
        <v>2-4 Years</v>
      </c>
      <c r="AM178" s="1">
        <f>IF(HR_Data[[#This Row],[Attrition]]="Yes",1,0)</f>
        <v>0</v>
      </c>
    </row>
    <row r="179" spans="1:39" x14ac:dyDescent="0.3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 cm="1">
        <f t="array" ref="AJ179">_xlfn.IFS(
HR_Data[[#This Row],[Age]]&lt;25,"Under 25",
HR_Data[[#This Row],[Age]]&lt;35,"25-34",
HR_Data[[#This Row],[Age]]&lt;45,"35-44",
HR_Data[[#This Row],[Age]]&lt;55,"45-54",
TRUE,"55+"
)</f>
        <v>Under 25</v>
      </c>
      <c r="AK179" t="str" cm="1">
        <f t="array" ref="AK179">_xlfn.IFS(
HR_Data[[#This Row],[MonthlyIncome]]&lt;3000,"&lt;3K",
HR_Data[[#This Row],[MonthlyIncome]]&lt;6000,"3K-6K",
HR_Data[[#This Row],[MonthlyIncome]]&lt;10000,"6K-10K",
TRUE,"10K+"
)</f>
        <v>&lt;3K</v>
      </c>
      <c r="AL179" t="str" cm="1">
        <f t="array" ref="AL179">_xlfn.IFS(
HR_Data[[#This Row],[YearsAtCompany]]&lt;2,"&lt;2 Years",
HR_Data[[#This Row],[YearsAtCompany]]&lt;5,"2-4 Years",
HR_Data[[#This Row],[YearsAtCompany]]&lt;10,"5-9 Years",
TRUE,"10+ Years"
)</f>
        <v>&lt;2 Years</v>
      </c>
      <c r="AM179" s="1">
        <f>IF(HR_Data[[#This Row],[Attrition]]="Yes",1,0)</f>
        <v>1</v>
      </c>
    </row>
    <row r="180" spans="1:39" x14ac:dyDescent="0.3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 cm="1">
        <f t="array" ref="AJ180">_xlfn.IFS(
HR_Data[[#This Row],[Age]]&lt;25,"Under 25",
HR_Data[[#This Row],[Age]]&lt;35,"25-34",
HR_Data[[#This Row],[Age]]&lt;45,"35-44",
HR_Data[[#This Row],[Age]]&lt;55,"45-54",
TRUE,"55+"
)</f>
        <v>45-54</v>
      </c>
      <c r="AK180" t="str" cm="1">
        <f t="array" ref="AK180">_xlfn.IFS(
HR_Data[[#This Row],[MonthlyIncome]]&lt;3000,"&lt;3K",
HR_Data[[#This Row],[MonthlyIncome]]&lt;6000,"3K-6K",
HR_Data[[#This Row],[MonthlyIncome]]&lt;10000,"6K-10K",
TRUE,"10K+"
)</f>
        <v>10K+</v>
      </c>
      <c r="AL180" t="str" cm="1">
        <f t="array" ref="AL180">_xlfn.IFS(
HR_Data[[#This Row],[YearsAtCompany]]&lt;2,"&lt;2 Years",
HR_Data[[#This Row],[YearsAtCompany]]&lt;5,"2-4 Years",
HR_Data[[#This Row],[YearsAtCompany]]&lt;10,"5-9 Years",
TRUE,"10+ Years"
)</f>
        <v>10+ Years</v>
      </c>
      <c r="AM180" s="1">
        <f>IF(HR_Data[[#This Row],[Attrition]]="Yes",1,0)</f>
        <v>0</v>
      </c>
    </row>
    <row r="181" spans="1:39" x14ac:dyDescent="0.3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 cm="1">
        <f t="array" ref="AJ181">_xlfn.IFS(
HR_Data[[#This Row],[Age]]&lt;25,"Under 25",
HR_Data[[#This Row],[Age]]&lt;35,"25-34",
HR_Data[[#This Row],[Age]]&lt;45,"35-44",
HR_Data[[#This Row],[Age]]&lt;55,"45-54",
TRUE,"55+"
)</f>
        <v>35-44</v>
      </c>
      <c r="AK181" t="str" cm="1">
        <f t="array" ref="AK181">_xlfn.IFS(
HR_Data[[#This Row],[MonthlyIncome]]&lt;3000,"&lt;3K",
HR_Data[[#This Row],[MonthlyIncome]]&lt;6000,"3K-6K",
HR_Data[[#This Row],[MonthlyIncome]]&lt;10000,"6K-10K",
TRUE,"10K+"
)</f>
        <v>&lt;3K</v>
      </c>
      <c r="AL181" t="str" cm="1">
        <f t="array" ref="AL181">_xlfn.IFS(
HR_Data[[#This Row],[YearsAtCompany]]&lt;2,"&lt;2 Years",
HR_Data[[#This Row],[YearsAtCompany]]&lt;5,"2-4 Years",
HR_Data[[#This Row],[YearsAtCompany]]&lt;10,"5-9 Years",
TRUE,"10+ Years"
)</f>
        <v>2-4 Years</v>
      </c>
      <c r="AM181" s="1">
        <f>IF(HR_Data[[#This Row],[Attrition]]="Yes",1,0)</f>
        <v>0</v>
      </c>
    </row>
    <row r="182" spans="1:39" x14ac:dyDescent="0.3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 cm="1">
        <f t="array" ref="AJ182">_xlfn.IFS(
HR_Data[[#This Row],[Age]]&lt;25,"Under 25",
HR_Data[[#This Row],[Age]]&lt;35,"25-34",
HR_Data[[#This Row],[Age]]&lt;45,"35-44",
HR_Data[[#This Row],[Age]]&lt;55,"45-54",
TRUE,"55+"
)</f>
        <v>25-34</v>
      </c>
      <c r="AK182" t="str" cm="1">
        <f t="array" ref="AK182">_xlfn.IFS(
HR_Data[[#This Row],[MonthlyIncome]]&lt;3000,"&lt;3K",
HR_Data[[#This Row],[MonthlyIncome]]&lt;6000,"3K-6K",
HR_Data[[#This Row],[MonthlyIncome]]&lt;10000,"6K-10K",
TRUE,"10K+"
)</f>
        <v>3K-6K</v>
      </c>
      <c r="AL182" t="str" cm="1">
        <f t="array" ref="AL182">_xlfn.IFS(
HR_Data[[#This Row],[YearsAtCompany]]&lt;2,"&lt;2 Years",
HR_Data[[#This Row],[YearsAtCompany]]&lt;5,"2-4 Years",
HR_Data[[#This Row],[YearsAtCompany]]&lt;10,"5-9 Years",
TRUE,"10+ Years"
)</f>
        <v>2-4 Years</v>
      </c>
      <c r="AM182" s="1">
        <f>IF(HR_Data[[#This Row],[Attrition]]="Yes",1,0)</f>
        <v>0</v>
      </c>
    </row>
    <row r="183" spans="1:39" x14ac:dyDescent="0.3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 cm="1">
        <f t="array" ref="AJ183">_xlfn.IFS(
HR_Data[[#This Row],[Age]]&lt;25,"Under 25",
HR_Data[[#This Row],[Age]]&lt;35,"25-34",
HR_Data[[#This Row],[Age]]&lt;45,"35-44",
HR_Data[[#This Row],[Age]]&lt;55,"45-54",
TRUE,"55+"
)</f>
        <v>25-34</v>
      </c>
      <c r="AK183" t="str" cm="1">
        <f t="array" ref="AK183">_xlfn.IFS(
HR_Data[[#This Row],[MonthlyIncome]]&lt;3000,"&lt;3K",
HR_Data[[#This Row],[MonthlyIncome]]&lt;6000,"3K-6K",
HR_Data[[#This Row],[MonthlyIncome]]&lt;10000,"6K-10K",
TRUE,"10K+"
)</f>
        <v>&lt;3K</v>
      </c>
      <c r="AL183" t="str" cm="1">
        <f t="array" ref="AL183">_xlfn.IFS(
HR_Data[[#This Row],[YearsAtCompany]]&lt;2,"&lt;2 Years",
HR_Data[[#This Row],[YearsAtCompany]]&lt;5,"2-4 Years",
HR_Data[[#This Row],[YearsAtCompany]]&lt;10,"5-9 Years",
TRUE,"10+ Years"
)</f>
        <v>2-4 Years</v>
      </c>
      <c r="AM183" s="1">
        <f>IF(HR_Data[[#This Row],[Attrition]]="Yes",1,0)</f>
        <v>0</v>
      </c>
    </row>
    <row r="184" spans="1:39" x14ac:dyDescent="0.3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 cm="1">
        <f t="array" ref="AJ184">_xlfn.IFS(
HR_Data[[#This Row],[Age]]&lt;25,"Under 25",
HR_Data[[#This Row],[Age]]&lt;35,"25-34",
HR_Data[[#This Row],[Age]]&lt;45,"35-44",
HR_Data[[#This Row],[Age]]&lt;55,"45-54",
TRUE,"55+"
)</f>
        <v>35-44</v>
      </c>
      <c r="AK184" t="str" cm="1">
        <f t="array" ref="AK184">_xlfn.IFS(
HR_Data[[#This Row],[MonthlyIncome]]&lt;3000,"&lt;3K",
HR_Data[[#This Row],[MonthlyIncome]]&lt;6000,"3K-6K",
HR_Data[[#This Row],[MonthlyIncome]]&lt;10000,"6K-10K",
TRUE,"10K+"
)</f>
        <v>3K-6K</v>
      </c>
      <c r="AL184" t="str" cm="1">
        <f t="array" ref="AL184">_xlfn.IFS(
HR_Data[[#This Row],[YearsAtCompany]]&lt;2,"&lt;2 Years",
HR_Data[[#This Row],[YearsAtCompany]]&lt;5,"2-4 Years",
HR_Data[[#This Row],[YearsAtCompany]]&lt;10,"5-9 Years",
TRUE,"10+ Years"
)</f>
        <v>2-4 Years</v>
      </c>
      <c r="AM184" s="1">
        <f>IF(HR_Data[[#This Row],[Attrition]]="Yes",1,0)</f>
        <v>1</v>
      </c>
    </row>
    <row r="185" spans="1:39" x14ac:dyDescent="0.3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 cm="1">
        <f t="array" ref="AJ185">_xlfn.IFS(
HR_Data[[#This Row],[Age]]&lt;25,"Under 25",
HR_Data[[#This Row],[Age]]&lt;35,"25-34",
HR_Data[[#This Row],[Age]]&lt;45,"35-44",
HR_Data[[#This Row],[Age]]&lt;55,"45-54",
TRUE,"55+"
)</f>
        <v>45-54</v>
      </c>
      <c r="AK185" t="str" cm="1">
        <f t="array" ref="AK185">_xlfn.IFS(
HR_Data[[#This Row],[MonthlyIncome]]&lt;3000,"&lt;3K",
HR_Data[[#This Row],[MonthlyIncome]]&lt;6000,"3K-6K",
HR_Data[[#This Row],[MonthlyIncome]]&lt;10000,"6K-10K",
TRUE,"10K+"
)</f>
        <v>3K-6K</v>
      </c>
      <c r="AL185" t="str" cm="1">
        <f t="array" ref="AL185">_xlfn.IFS(
HR_Data[[#This Row],[YearsAtCompany]]&lt;2,"&lt;2 Years",
HR_Data[[#This Row],[YearsAtCompany]]&lt;5,"2-4 Years",
HR_Data[[#This Row],[YearsAtCompany]]&lt;10,"5-9 Years",
TRUE,"10+ Years"
)</f>
        <v>2-4 Years</v>
      </c>
      <c r="AM185" s="1">
        <f>IF(HR_Data[[#This Row],[Attrition]]="Yes",1,0)</f>
        <v>0</v>
      </c>
    </row>
    <row r="186" spans="1:39" x14ac:dyDescent="0.3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 cm="1">
        <f t="array" ref="AJ186">_xlfn.IFS(
HR_Data[[#This Row],[Age]]&lt;25,"Under 25",
HR_Data[[#This Row],[Age]]&lt;35,"25-34",
HR_Data[[#This Row],[Age]]&lt;45,"35-44",
HR_Data[[#This Row],[Age]]&lt;55,"45-54",
TRUE,"55+"
)</f>
        <v>45-54</v>
      </c>
      <c r="AK186" t="str" cm="1">
        <f t="array" ref="AK186">_xlfn.IFS(
HR_Data[[#This Row],[MonthlyIncome]]&lt;3000,"&lt;3K",
HR_Data[[#This Row],[MonthlyIncome]]&lt;6000,"3K-6K",
HR_Data[[#This Row],[MonthlyIncome]]&lt;10000,"6K-10K",
TRUE,"10K+"
)</f>
        <v>3K-6K</v>
      </c>
      <c r="AL186" t="str" cm="1">
        <f t="array" ref="AL186">_xlfn.IFS(
HR_Data[[#This Row],[YearsAtCompany]]&lt;2,"&lt;2 Years",
HR_Data[[#This Row],[YearsAtCompany]]&lt;5,"2-4 Years",
HR_Data[[#This Row],[YearsAtCompany]]&lt;10,"5-9 Years",
TRUE,"10+ Years"
)</f>
        <v>2-4 Years</v>
      </c>
      <c r="AM186" s="1">
        <f>IF(HR_Data[[#This Row],[Attrition]]="Yes",1,0)</f>
        <v>0</v>
      </c>
    </row>
    <row r="187" spans="1:39" x14ac:dyDescent="0.3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 cm="1">
        <f t="array" ref="AJ187">_xlfn.IFS(
HR_Data[[#This Row],[Age]]&lt;25,"Under 25",
HR_Data[[#This Row],[Age]]&lt;35,"25-34",
HR_Data[[#This Row],[Age]]&lt;45,"35-44",
HR_Data[[#This Row],[Age]]&lt;55,"45-54",
TRUE,"55+"
)</f>
        <v>25-34</v>
      </c>
      <c r="AK187" t="str" cm="1">
        <f t="array" ref="AK187">_xlfn.IFS(
HR_Data[[#This Row],[MonthlyIncome]]&lt;3000,"&lt;3K",
HR_Data[[#This Row],[MonthlyIncome]]&lt;6000,"3K-6K",
HR_Data[[#This Row],[MonthlyIncome]]&lt;10000,"6K-10K",
TRUE,"10K+"
)</f>
        <v>&lt;3K</v>
      </c>
      <c r="AL187" t="str" cm="1">
        <f t="array" ref="AL187">_xlfn.IFS(
HR_Data[[#This Row],[YearsAtCompany]]&lt;2,"&lt;2 Years",
HR_Data[[#This Row],[YearsAtCompany]]&lt;5,"2-4 Years",
HR_Data[[#This Row],[YearsAtCompany]]&lt;10,"5-9 Years",
TRUE,"10+ Years"
)</f>
        <v>5-9 Years</v>
      </c>
      <c r="AM187" s="1">
        <f>IF(HR_Data[[#This Row],[Attrition]]="Yes",1,0)</f>
        <v>0</v>
      </c>
    </row>
    <row r="188" spans="1:39" x14ac:dyDescent="0.3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 cm="1">
        <f t="array" ref="AJ188">_xlfn.IFS(
HR_Data[[#This Row],[Age]]&lt;25,"Under 25",
HR_Data[[#This Row],[Age]]&lt;35,"25-34",
HR_Data[[#This Row],[Age]]&lt;45,"35-44",
HR_Data[[#This Row],[Age]]&lt;55,"45-54",
TRUE,"55+"
)</f>
        <v>35-44</v>
      </c>
      <c r="AK188" t="str" cm="1">
        <f t="array" ref="AK188">_xlfn.IFS(
HR_Data[[#This Row],[MonthlyIncome]]&lt;3000,"&lt;3K",
HR_Data[[#This Row],[MonthlyIncome]]&lt;6000,"3K-6K",
HR_Data[[#This Row],[MonthlyIncome]]&lt;10000,"6K-10K",
TRUE,"10K+"
)</f>
        <v>10K+</v>
      </c>
      <c r="AL188" t="str" cm="1">
        <f t="array" ref="AL188">_xlfn.IFS(
HR_Data[[#This Row],[YearsAtCompany]]&lt;2,"&lt;2 Years",
HR_Data[[#This Row],[YearsAtCompany]]&lt;5,"2-4 Years",
HR_Data[[#This Row],[YearsAtCompany]]&lt;10,"5-9 Years",
TRUE,"10+ Years"
)</f>
        <v>10+ Years</v>
      </c>
      <c r="AM188" s="1">
        <f>IF(HR_Data[[#This Row],[Attrition]]="Yes",1,0)</f>
        <v>0</v>
      </c>
    </row>
    <row r="189" spans="1:39" x14ac:dyDescent="0.3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 cm="1">
        <f t="array" ref="AJ189">_xlfn.IFS(
HR_Data[[#This Row],[Age]]&lt;25,"Under 25",
HR_Data[[#This Row],[Age]]&lt;35,"25-34",
HR_Data[[#This Row],[Age]]&lt;45,"35-44",
HR_Data[[#This Row],[Age]]&lt;55,"45-54",
TRUE,"55+"
)</f>
        <v>55+</v>
      </c>
      <c r="AK189" t="str" cm="1">
        <f t="array" ref="AK189">_xlfn.IFS(
HR_Data[[#This Row],[MonthlyIncome]]&lt;3000,"&lt;3K",
HR_Data[[#This Row],[MonthlyIncome]]&lt;6000,"3K-6K",
HR_Data[[#This Row],[MonthlyIncome]]&lt;10000,"6K-10K",
TRUE,"10K+"
)</f>
        <v>10K+</v>
      </c>
      <c r="AL189" t="str" cm="1">
        <f t="array" ref="AL189">_xlfn.IFS(
HR_Data[[#This Row],[YearsAtCompany]]&lt;2,"&lt;2 Years",
HR_Data[[#This Row],[YearsAtCompany]]&lt;5,"2-4 Years",
HR_Data[[#This Row],[YearsAtCompany]]&lt;10,"5-9 Years",
TRUE,"10+ Years"
)</f>
        <v>10+ Years</v>
      </c>
      <c r="AM189" s="1">
        <f>IF(HR_Data[[#This Row],[Attrition]]="Yes",1,0)</f>
        <v>0</v>
      </c>
    </row>
    <row r="190" spans="1:39" x14ac:dyDescent="0.3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 cm="1">
        <f t="array" ref="AJ190">_xlfn.IFS(
HR_Data[[#This Row],[Age]]&lt;25,"Under 25",
HR_Data[[#This Row],[Age]]&lt;35,"25-34",
HR_Data[[#This Row],[Age]]&lt;45,"35-44",
HR_Data[[#This Row],[Age]]&lt;55,"45-54",
TRUE,"55+"
)</f>
        <v>25-34</v>
      </c>
      <c r="AK190" t="str" cm="1">
        <f t="array" ref="AK190">_xlfn.IFS(
HR_Data[[#This Row],[MonthlyIncome]]&lt;3000,"&lt;3K",
HR_Data[[#This Row],[MonthlyIncome]]&lt;6000,"3K-6K",
HR_Data[[#This Row],[MonthlyIncome]]&lt;10000,"6K-10K",
TRUE,"10K+"
)</f>
        <v>6K-10K</v>
      </c>
      <c r="AL190" t="str" cm="1">
        <f t="array" ref="AL190">_xlfn.IFS(
HR_Data[[#This Row],[YearsAtCompany]]&lt;2,"&lt;2 Years",
HR_Data[[#This Row],[YearsAtCompany]]&lt;5,"2-4 Years",
HR_Data[[#This Row],[YearsAtCompany]]&lt;10,"5-9 Years",
TRUE,"10+ Years"
)</f>
        <v>10+ Years</v>
      </c>
      <c r="AM190" s="1">
        <f>IF(HR_Data[[#This Row],[Attrition]]="Yes",1,0)</f>
        <v>0</v>
      </c>
    </row>
    <row r="191" spans="1:39" x14ac:dyDescent="0.3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 cm="1">
        <f t="array" ref="AJ191">_xlfn.IFS(
HR_Data[[#This Row],[Age]]&lt;25,"Under 25",
HR_Data[[#This Row],[Age]]&lt;35,"25-34",
HR_Data[[#This Row],[Age]]&lt;45,"35-44",
HR_Data[[#This Row],[Age]]&lt;55,"45-54",
TRUE,"55+"
)</f>
        <v>45-54</v>
      </c>
      <c r="AK191" t="str" cm="1">
        <f t="array" ref="AK191">_xlfn.IFS(
HR_Data[[#This Row],[MonthlyIncome]]&lt;3000,"&lt;3K",
HR_Data[[#This Row],[MonthlyIncome]]&lt;6000,"3K-6K",
HR_Data[[#This Row],[MonthlyIncome]]&lt;10000,"6K-10K",
TRUE,"10K+"
)</f>
        <v>10K+</v>
      </c>
      <c r="AL191" t="str" cm="1">
        <f t="array" ref="AL191">_xlfn.IFS(
HR_Data[[#This Row],[YearsAtCompany]]&lt;2,"&lt;2 Years",
HR_Data[[#This Row],[YearsAtCompany]]&lt;5,"2-4 Years",
HR_Data[[#This Row],[YearsAtCompany]]&lt;10,"5-9 Years",
TRUE,"10+ Years"
)</f>
        <v>5-9 Years</v>
      </c>
      <c r="AM191" s="1">
        <f>IF(HR_Data[[#This Row],[Attrition]]="Yes",1,0)</f>
        <v>0</v>
      </c>
    </row>
    <row r="192" spans="1:39" x14ac:dyDescent="0.3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 cm="1">
        <f t="array" ref="AJ192">_xlfn.IFS(
HR_Data[[#This Row],[Age]]&lt;25,"Under 25",
HR_Data[[#This Row],[Age]]&lt;35,"25-34",
HR_Data[[#This Row],[Age]]&lt;45,"35-44",
HR_Data[[#This Row],[Age]]&lt;55,"45-54",
TRUE,"55+"
)</f>
        <v>45-54</v>
      </c>
      <c r="AK192" t="str" cm="1">
        <f t="array" ref="AK192">_xlfn.IFS(
HR_Data[[#This Row],[MonthlyIncome]]&lt;3000,"&lt;3K",
HR_Data[[#This Row],[MonthlyIncome]]&lt;6000,"3K-6K",
HR_Data[[#This Row],[MonthlyIncome]]&lt;10000,"6K-10K",
TRUE,"10K+"
)</f>
        <v>10K+</v>
      </c>
      <c r="AL192" t="str" cm="1">
        <f t="array" ref="AL192">_xlfn.IFS(
HR_Data[[#This Row],[YearsAtCompany]]&lt;2,"&lt;2 Years",
HR_Data[[#This Row],[YearsAtCompany]]&lt;5,"2-4 Years",
HR_Data[[#This Row],[YearsAtCompany]]&lt;10,"5-9 Years",
TRUE,"10+ Years"
)</f>
        <v>10+ Years</v>
      </c>
      <c r="AM192" s="1">
        <f>IF(HR_Data[[#This Row],[Attrition]]="Yes",1,0)</f>
        <v>0</v>
      </c>
    </row>
    <row r="193" spans="1:39" x14ac:dyDescent="0.3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 cm="1">
        <f t="array" ref="AJ193">_xlfn.IFS(
HR_Data[[#This Row],[Age]]&lt;25,"Under 25",
HR_Data[[#This Row],[Age]]&lt;35,"25-34",
HR_Data[[#This Row],[Age]]&lt;45,"35-44",
HR_Data[[#This Row],[Age]]&lt;55,"45-54",
TRUE,"55+"
)</f>
        <v>25-34</v>
      </c>
      <c r="AK193" t="str" cm="1">
        <f t="array" ref="AK193">_xlfn.IFS(
HR_Data[[#This Row],[MonthlyIncome]]&lt;3000,"&lt;3K",
HR_Data[[#This Row],[MonthlyIncome]]&lt;6000,"3K-6K",
HR_Data[[#This Row],[MonthlyIncome]]&lt;10000,"6K-10K",
TRUE,"10K+"
)</f>
        <v>&lt;3K</v>
      </c>
      <c r="AL193" t="str" cm="1">
        <f t="array" ref="AL193">_xlfn.IFS(
HR_Data[[#This Row],[YearsAtCompany]]&lt;2,"&lt;2 Years",
HR_Data[[#This Row],[YearsAtCompany]]&lt;5,"2-4 Years",
HR_Data[[#This Row],[YearsAtCompany]]&lt;10,"5-9 Years",
TRUE,"10+ Years"
)</f>
        <v>5-9 Years</v>
      </c>
      <c r="AM193" s="1">
        <f>IF(HR_Data[[#This Row],[Attrition]]="Yes",1,0)</f>
        <v>0</v>
      </c>
    </row>
    <row r="194" spans="1:39" x14ac:dyDescent="0.3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 cm="1">
        <f t="array" ref="AJ194">_xlfn.IFS(
HR_Data[[#This Row],[Age]]&lt;25,"Under 25",
HR_Data[[#This Row],[Age]]&lt;35,"25-34",
HR_Data[[#This Row],[Age]]&lt;45,"35-44",
HR_Data[[#This Row],[Age]]&lt;55,"45-54",
TRUE,"55+"
)</f>
        <v>35-44</v>
      </c>
      <c r="AK194" t="str" cm="1">
        <f t="array" ref="AK194">_xlfn.IFS(
HR_Data[[#This Row],[MonthlyIncome]]&lt;3000,"&lt;3K",
HR_Data[[#This Row],[MonthlyIncome]]&lt;6000,"3K-6K",
HR_Data[[#This Row],[MonthlyIncome]]&lt;10000,"6K-10K",
TRUE,"10K+"
)</f>
        <v>3K-6K</v>
      </c>
      <c r="AL194" t="str" cm="1">
        <f t="array" ref="AL194">_xlfn.IFS(
HR_Data[[#This Row],[YearsAtCompany]]&lt;2,"&lt;2 Years",
HR_Data[[#This Row],[YearsAtCompany]]&lt;5,"2-4 Years",
HR_Data[[#This Row],[YearsAtCompany]]&lt;10,"5-9 Years",
TRUE,"10+ Years"
)</f>
        <v>&lt;2 Years</v>
      </c>
      <c r="AM194" s="1">
        <f>IF(HR_Data[[#This Row],[Attrition]]="Yes",1,0)</f>
        <v>1</v>
      </c>
    </row>
    <row r="195" spans="1:39" x14ac:dyDescent="0.3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 cm="1">
        <f t="array" ref="AJ195">_xlfn.IFS(
HR_Data[[#This Row],[Age]]&lt;25,"Under 25",
HR_Data[[#This Row],[Age]]&lt;35,"25-34",
HR_Data[[#This Row],[Age]]&lt;45,"35-44",
HR_Data[[#This Row],[Age]]&lt;55,"45-54",
TRUE,"55+"
)</f>
        <v>35-44</v>
      </c>
      <c r="AK195" t="str" cm="1">
        <f t="array" ref="AK195">_xlfn.IFS(
HR_Data[[#This Row],[MonthlyIncome]]&lt;3000,"&lt;3K",
HR_Data[[#This Row],[MonthlyIncome]]&lt;6000,"3K-6K",
HR_Data[[#This Row],[MonthlyIncome]]&lt;10000,"6K-10K",
TRUE,"10K+"
)</f>
        <v>&lt;3K</v>
      </c>
      <c r="AL195" t="str" cm="1">
        <f t="array" ref="AL195">_xlfn.IFS(
HR_Data[[#This Row],[YearsAtCompany]]&lt;2,"&lt;2 Years",
HR_Data[[#This Row],[YearsAtCompany]]&lt;5,"2-4 Years",
HR_Data[[#This Row],[YearsAtCompany]]&lt;10,"5-9 Years",
TRUE,"10+ Years"
)</f>
        <v>5-9 Years</v>
      </c>
      <c r="AM195" s="1">
        <f>IF(HR_Data[[#This Row],[Attrition]]="Yes",1,0)</f>
        <v>0</v>
      </c>
    </row>
    <row r="196" spans="1:39" x14ac:dyDescent="0.3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 cm="1">
        <f t="array" ref="AJ196">_xlfn.IFS(
HR_Data[[#This Row],[Age]]&lt;25,"Under 25",
HR_Data[[#This Row],[Age]]&lt;35,"25-34",
HR_Data[[#This Row],[Age]]&lt;45,"35-44",
HR_Data[[#This Row],[Age]]&lt;55,"45-54",
TRUE,"55+"
)</f>
        <v>45-54</v>
      </c>
      <c r="AK196" t="str" cm="1">
        <f t="array" ref="AK196">_xlfn.IFS(
HR_Data[[#This Row],[MonthlyIncome]]&lt;3000,"&lt;3K",
HR_Data[[#This Row],[MonthlyIncome]]&lt;6000,"3K-6K",
HR_Data[[#This Row],[MonthlyIncome]]&lt;10000,"6K-10K",
TRUE,"10K+"
)</f>
        <v>10K+</v>
      </c>
      <c r="AL196" t="str" cm="1">
        <f t="array" ref="AL196">_xlfn.IFS(
HR_Data[[#This Row],[YearsAtCompany]]&lt;2,"&lt;2 Years",
HR_Data[[#This Row],[YearsAtCompany]]&lt;5,"2-4 Years",
HR_Data[[#This Row],[YearsAtCompany]]&lt;10,"5-9 Years",
TRUE,"10+ Years"
)</f>
        <v>10+ Years</v>
      </c>
      <c r="AM196" s="1">
        <f>IF(HR_Data[[#This Row],[Attrition]]="Yes",1,0)</f>
        <v>0</v>
      </c>
    </row>
    <row r="197" spans="1:39" x14ac:dyDescent="0.3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 cm="1">
        <f t="array" ref="AJ197">_xlfn.IFS(
HR_Data[[#This Row],[Age]]&lt;25,"Under 25",
HR_Data[[#This Row],[Age]]&lt;35,"25-34",
HR_Data[[#This Row],[Age]]&lt;45,"35-44",
HR_Data[[#This Row],[Age]]&lt;55,"45-54",
TRUE,"55+"
)</f>
        <v>35-44</v>
      </c>
      <c r="AK197" t="str" cm="1">
        <f t="array" ref="AK197">_xlfn.IFS(
HR_Data[[#This Row],[MonthlyIncome]]&lt;3000,"&lt;3K",
HR_Data[[#This Row],[MonthlyIncome]]&lt;6000,"3K-6K",
HR_Data[[#This Row],[MonthlyIncome]]&lt;10000,"6K-10K",
TRUE,"10K+"
)</f>
        <v>3K-6K</v>
      </c>
      <c r="AL197" t="str" cm="1">
        <f t="array" ref="AL197">_xlfn.IFS(
HR_Data[[#This Row],[YearsAtCompany]]&lt;2,"&lt;2 Years",
HR_Data[[#This Row],[YearsAtCompany]]&lt;5,"2-4 Years",
HR_Data[[#This Row],[YearsAtCompany]]&lt;10,"5-9 Years",
TRUE,"10+ Years"
)</f>
        <v>5-9 Years</v>
      </c>
      <c r="AM197" s="1">
        <f>IF(HR_Data[[#This Row],[Attrition]]="Yes",1,0)</f>
        <v>0</v>
      </c>
    </row>
    <row r="198" spans="1:39" x14ac:dyDescent="0.3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 cm="1">
        <f t="array" ref="AJ198">_xlfn.IFS(
HR_Data[[#This Row],[Age]]&lt;25,"Under 25",
HR_Data[[#This Row],[Age]]&lt;35,"25-34",
HR_Data[[#This Row],[Age]]&lt;45,"35-44",
HR_Data[[#This Row],[Age]]&lt;55,"45-54",
TRUE,"55+"
)</f>
        <v>35-44</v>
      </c>
      <c r="AK198" t="str" cm="1">
        <f t="array" ref="AK198">_xlfn.IFS(
HR_Data[[#This Row],[MonthlyIncome]]&lt;3000,"&lt;3K",
HR_Data[[#This Row],[MonthlyIncome]]&lt;6000,"3K-6K",
HR_Data[[#This Row],[MonthlyIncome]]&lt;10000,"6K-10K",
TRUE,"10K+"
)</f>
        <v>3K-6K</v>
      </c>
      <c r="AL198" t="str" cm="1">
        <f t="array" ref="AL198">_xlfn.IFS(
HR_Data[[#This Row],[YearsAtCompany]]&lt;2,"&lt;2 Years",
HR_Data[[#This Row],[YearsAtCompany]]&lt;5,"2-4 Years",
HR_Data[[#This Row],[YearsAtCompany]]&lt;10,"5-9 Years",
TRUE,"10+ Years"
)</f>
        <v>5-9 Years</v>
      </c>
      <c r="AM198" s="1">
        <f>IF(HR_Data[[#This Row],[Attrition]]="Yes",1,0)</f>
        <v>0</v>
      </c>
    </row>
    <row r="199" spans="1:39" x14ac:dyDescent="0.3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 cm="1">
        <f t="array" ref="AJ199">_xlfn.IFS(
HR_Data[[#This Row],[Age]]&lt;25,"Under 25",
HR_Data[[#This Row],[Age]]&lt;35,"25-34",
HR_Data[[#This Row],[Age]]&lt;45,"35-44",
HR_Data[[#This Row],[Age]]&lt;55,"45-54",
TRUE,"55+"
)</f>
        <v>35-44</v>
      </c>
      <c r="AK199" t="str" cm="1">
        <f t="array" ref="AK199">_xlfn.IFS(
HR_Data[[#This Row],[MonthlyIncome]]&lt;3000,"&lt;3K",
HR_Data[[#This Row],[MonthlyIncome]]&lt;6000,"3K-6K",
HR_Data[[#This Row],[MonthlyIncome]]&lt;10000,"6K-10K",
TRUE,"10K+"
)</f>
        <v>3K-6K</v>
      </c>
      <c r="AL199" t="str" cm="1">
        <f t="array" ref="AL199">_xlfn.IFS(
HR_Data[[#This Row],[YearsAtCompany]]&lt;2,"&lt;2 Years",
HR_Data[[#This Row],[YearsAtCompany]]&lt;5,"2-4 Years",
HR_Data[[#This Row],[YearsAtCompany]]&lt;10,"5-9 Years",
TRUE,"10+ Years"
)</f>
        <v>5-9 Years</v>
      </c>
      <c r="AM199" s="1">
        <f>IF(HR_Data[[#This Row],[Attrition]]="Yes",1,0)</f>
        <v>0</v>
      </c>
    </row>
    <row r="200" spans="1:39" x14ac:dyDescent="0.3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 cm="1">
        <f t="array" ref="AJ200">_xlfn.IFS(
HR_Data[[#This Row],[Age]]&lt;25,"Under 25",
HR_Data[[#This Row],[Age]]&lt;35,"25-34",
HR_Data[[#This Row],[Age]]&lt;45,"35-44",
HR_Data[[#This Row],[Age]]&lt;55,"45-54",
TRUE,"55+"
)</f>
        <v>35-44</v>
      </c>
      <c r="AK200" t="str" cm="1">
        <f t="array" ref="AK200">_xlfn.IFS(
HR_Data[[#This Row],[MonthlyIncome]]&lt;3000,"&lt;3K",
HR_Data[[#This Row],[MonthlyIncome]]&lt;6000,"3K-6K",
HR_Data[[#This Row],[MonthlyIncome]]&lt;10000,"6K-10K",
TRUE,"10K+"
)</f>
        <v>6K-10K</v>
      </c>
      <c r="AL200" t="str" cm="1">
        <f t="array" ref="AL200">_xlfn.IFS(
HR_Data[[#This Row],[YearsAtCompany]]&lt;2,"&lt;2 Years",
HR_Data[[#This Row],[YearsAtCompany]]&lt;5,"2-4 Years",
HR_Data[[#This Row],[YearsAtCompany]]&lt;10,"5-9 Years",
TRUE,"10+ Years"
)</f>
        <v>&lt;2 Years</v>
      </c>
      <c r="AM200" s="1">
        <f>IF(HR_Data[[#This Row],[Attrition]]="Yes",1,0)</f>
        <v>0</v>
      </c>
    </row>
    <row r="201" spans="1:39" x14ac:dyDescent="0.3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 cm="1">
        <f t="array" ref="AJ201">_xlfn.IFS(
HR_Data[[#This Row],[Age]]&lt;25,"Under 25",
HR_Data[[#This Row],[Age]]&lt;35,"25-34",
HR_Data[[#This Row],[Age]]&lt;45,"35-44",
HR_Data[[#This Row],[Age]]&lt;55,"45-54",
TRUE,"55+"
)</f>
        <v>35-44</v>
      </c>
      <c r="AK201" t="str" cm="1">
        <f t="array" ref="AK201">_xlfn.IFS(
HR_Data[[#This Row],[MonthlyIncome]]&lt;3000,"&lt;3K",
HR_Data[[#This Row],[MonthlyIncome]]&lt;6000,"3K-6K",
HR_Data[[#This Row],[MonthlyIncome]]&lt;10000,"6K-10K",
TRUE,"10K+"
)</f>
        <v>6K-10K</v>
      </c>
      <c r="AL201" t="str" cm="1">
        <f t="array" ref="AL201">_xlfn.IFS(
HR_Data[[#This Row],[YearsAtCompany]]&lt;2,"&lt;2 Years",
HR_Data[[#This Row],[YearsAtCompany]]&lt;5,"2-4 Years",
HR_Data[[#This Row],[YearsAtCompany]]&lt;10,"5-9 Years",
TRUE,"10+ Years"
)</f>
        <v>5-9 Years</v>
      </c>
      <c r="AM201" s="1">
        <f>IF(HR_Data[[#This Row],[Attrition]]="Yes",1,0)</f>
        <v>0</v>
      </c>
    </row>
    <row r="202" spans="1:39" x14ac:dyDescent="0.3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 cm="1">
        <f t="array" ref="AJ202">_xlfn.IFS(
HR_Data[[#This Row],[Age]]&lt;25,"Under 25",
HR_Data[[#This Row],[Age]]&lt;35,"25-34",
HR_Data[[#This Row],[Age]]&lt;45,"35-44",
HR_Data[[#This Row],[Age]]&lt;55,"45-54",
TRUE,"55+"
)</f>
        <v>25-34</v>
      </c>
      <c r="AK202" t="str" cm="1">
        <f t="array" ref="AK202">_xlfn.IFS(
HR_Data[[#This Row],[MonthlyIncome]]&lt;3000,"&lt;3K",
HR_Data[[#This Row],[MonthlyIncome]]&lt;6000,"3K-6K",
HR_Data[[#This Row],[MonthlyIncome]]&lt;10000,"6K-10K",
TRUE,"10K+"
)</f>
        <v>3K-6K</v>
      </c>
      <c r="AL202" t="str" cm="1">
        <f t="array" ref="AL202">_xlfn.IFS(
HR_Data[[#This Row],[YearsAtCompany]]&lt;2,"&lt;2 Years",
HR_Data[[#This Row],[YearsAtCompany]]&lt;5,"2-4 Years",
HR_Data[[#This Row],[YearsAtCompany]]&lt;10,"5-9 Years",
TRUE,"10+ Years"
)</f>
        <v>2-4 Years</v>
      </c>
      <c r="AM202" s="1">
        <f>IF(HR_Data[[#This Row],[Attrition]]="Yes",1,0)</f>
        <v>0</v>
      </c>
    </row>
    <row r="203" spans="1:39" x14ac:dyDescent="0.3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 cm="1">
        <f t="array" ref="AJ203">_xlfn.IFS(
HR_Data[[#This Row],[Age]]&lt;25,"Under 25",
HR_Data[[#This Row],[Age]]&lt;35,"25-34",
HR_Data[[#This Row],[Age]]&lt;45,"35-44",
HR_Data[[#This Row],[Age]]&lt;55,"45-54",
TRUE,"55+"
)</f>
        <v>45-54</v>
      </c>
      <c r="AK203" t="str" cm="1">
        <f t="array" ref="AK203">_xlfn.IFS(
HR_Data[[#This Row],[MonthlyIncome]]&lt;3000,"&lt;3K",
HR_Data[[#This Row],[MonthlyIncome]]&lt;6000,"3K-6K",
HR_Data[[#This Row],[MonthlyIncome]]&lt;10000,"6K-10K",
TRUE,"10K+"
)</f>
        <v>6K-10K</v>
      </c>
      <c r="AL203" t="str" cm="1">
        <f t="array" ref="AL203">_xlfn.IFS(
HR_Data[[#This Row],[YearsAtCompany]]&lt;2,"&lt;2 Years",
HR_Data[[#This Row],[YearsAtCompany]]&lt;5,"2-4 Years",
HR_Data[[#This Row],[YearsAtCompany]]&lt;10,"5-9 Years",
TRUE,"10+ Years"
)</f>
        <v>5-9 Years</v>
      </c>
      <c r="AM203" s="1">
        <f>IF(HR_Data[[#This Row],[Attrition]]="Yes",1,0)</f>
        <v>0</v>
      </c>
    </row>
    <row r="204" spans="1:39" x14ac:dyDescent="0.3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 cm="1">
        <f t="array" ref="AJ204">_xlfn.IFS(
HR_Data[[#This Row],[Age]]&lt;25,"Under 25",
HR_Data[[#This Row],[Age]]&lt;35,"25-34",
HR_Data[[#This Row],[Age]]&lt;45,"35-44",
HR_Data[[#This Row],[Age]]&lt;55,"45-54",
TRUE,"55+"
)</f>
        <v>25-34</v>
      </c>
      <c r="AK204" t="str" cm="1">
        <f t="array" ref="AK204">_xlfn.IFS(
HR_Data[[#This Row],[MonthlyIncome]]&lt;3000,"&lt;3K",
HR_Data[[#This Row],[MonthlyIncome]]&lt;6000,"3K-6K",
HR_Data[[#This Row],[MonthlyIncome]]&lt;10000,"6K-10K",
TRUE,"10K+"
)</f>
        <v>3K-6K</v>
      </c>
      <c r="AL204" t="str" cm="1">
        <f t="array" ref="AL204">_xlfn.IFS(
HR_Data[[#This Row],[YearsAtCompany]]&lt;2,"&lt;2 Years",
HR_Data[[#This Row],[YearsAtCompany]]&lt;5,"2-4 Years",
HR_Data[[#This Row],[YearsAtCompany]]&lt;10,"5-9 Years",
TRUE,"10+ Years"
)</f>
        <v>5-9 Years</v>
      </c>
      <c r="AM204" s="1">
        <f>IF(HR_Data[[#This Row],[Attrition]]="Yes",1,0)</f>
        <v>0</v>
      </c>
    </row>
    <row r="205" spans="1:39" x14ac:dyDescent="0.3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 cm="1">
        <f t="array" ref="AJ205">_xlfn.IFS(
HR_Data[[#This Row],[Age]]&lt;25,"Under 25",
HR_Data[[#This Row],[Age]]&lt;35,"25-34",
HR_Data[[#This Row],[Age]]&lt;45,"35-44",
HR_Data[[#This Row],[Age]]&lt;55,"45-54",
TRUE,"55+"
)</f>
        <v>35-44</v>
      </c>
      <c r="AK205" t="str" cm="1">
        <f t="array" ref="AK205">_xlfn.IFS(
HR_Data[[#This Row],[MonthlyIncome]]&lt;3000,"&lt;3K",
HR_Data[[#This Row],[MonthlyIncome]]&lt;6000,"3K-6K",
HR_Data[[#This Row],[MonthlyIncome]]&lt;10000,"6K-10K",
TRUE,"10K+"
)</f>
        <v>&lt;3K</v>
      </c>
      <c r="AL205" t="str" cm="1">
        <f t="array" ref="AL205">_xlfn.IFS(
HR_Data[[#This Row],[YearsAtCompany]]&lt;2,"&lt;2 Years",
HR_Data[[#This Row],[YearsAtCompany]]&lt;5,"2-4 Years",
HR_Data[[#This Row],[YearsAtCompany]]&lt;10,"5-9 Years",
TRUE,"10+ Years"
)</f>
        <v>5-9 Years</v>
      </c>
      <c r="AM205" s="1">
        <f>IF(HR_Data[[#This Row],[Attrition]]="Yes",1,0)</f>
        <v>0</v>
      </c>
    </row>
    <row r="206" spans="1:39" x14ac:dyDescent="0.3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 cm="1">
        <f t="array" ref="AJ206">_xlfn.IFS(
HR_Data[[#This Row],[Age]]&lt;25,"Under 25",
HR_Data[[#This Row],[Age]]&lt;35,"25-34",
HR_Data[[#This Row],[Age]]&lt;45,"35-44",
HR_Data[[#This Row],[Age]]&lt;55,"45-54",
TRUE,"55+"
)</f>
        <v>35-44</v>
      </c>
      <c r="AK206" t="str" cm="1">
        <f t="array" ref="AK206">_xlfn.IFS(
HR_Data[[#This Row],[MonthlyIncome]]&lt;3000,"&lt;3K",
HR_Data[[#This Row],[MonthlyIncome]]&lt;6000,"3K-6K",
HR_Data[[#This Row],[MonthlyIncome]]&lt;10000,"6K-10K",
TRUE,"10K+"
)</f>
        <v>6K-10K</v>
      </c>
      <c r="AL206" t="str" cm="1">
        <f t="array" ref="AL206">_xlfn.IFS(
HR_Data[[#This Row],[YearsAtCompany]]&lt;2,"&lt;2 Years",
HR_Data[[#This Row],[YearsAtCompany]]&lt;5,"2-4 Years",
HR_Data[[#This Row],[YearsAtCompany]]&lt;10,"5-9 Years",
TRUE,"10+ Years"
)</f>
        <v>&lt;2 Years</v>
      </c>
      <c r="AM206" s="1">
        <f>IF(HR_Data[[#This Row],[Attrition]]="Yes",1,0)</f>
        <v>1</v>
      </c>
    </row>
    <row r="207" spans="1:39" x14ac:dyDescent="0.3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 cm="1">
        <f t="array" ref="AJ207">_xlfn.IFS(
HR_Data[[#This Row],[Age]]&lt;25,"Under 25",
HR_Data[[#This Row],[Age]]&lt;35,"25-34",
HR_Data[[#This Row],[Age]]&lt;45,"35-44",
HR_Data[[#This Row],[Age]]&lt;55,"45-54",
TRUE,"55+"
)</f>
        <v>25-34</v>
      </c>
      <c r="AK207" t="str" cm="1">
        <f t="array" ref="AK207">_xlfn.IFS(
HR_Data[[#This Row],[MonthlyIncome]]&lt;3000,"&lt;3K",
HR_Data[[#This Row],[MonthlyIncome]]&lt;6000,"3K-6K",
HR_Data[[#This Row],[MonthlyIncome]]&lt;10000,"6K-10K",
TRUE,"10K+"
)</f>
        <v>6K-10K</v>
      </c>
      <c r="AL207" t="str" cm="1">
        <f t="array" ref="AL207">_xlfn.IFS(
HR_Data[[#This Row],[YearsAtCompany]]&lt;2,"&lt;2 Years",
HR_Data[[#This Row],[YearsAtCompany]]&lt;5,"2-4 Years",
HR_Data[[#This Row],[YearsAtCompany]]&lt;10,"5-9 Years",
TRUE,"10+ Years"
)</f>
        <v>10+ Years</v>
      </c>
      <c r="AM207" s="1">
        <f>IF(HR_Data[[#This Row],[Attrition]]="Yes",1,0)</f>
        <v>1</v>
      </c>
    </row>
    <row r="208" spans="1:39" x14ac:dyDescent="0.3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 cm="1">
        <f t="array" ref="AJ208">_xlfn.IFS(
HR_Data[[#This Row],[Age]]&lt;25,"Under 25",
HR_Data[[#This Row],[Age]]&lt;35,"25-34",
HR_Data[[#This Row],[Age]]&lt;45,"35-44",
HR_Data[[#This Row],[Age]]&lt;55,"45-54",
TRUE,"55+"
)</f>
        <v>Under 25</v>
      </c>
      <c r="AK208" t="str" cm="1">
        <f t="array" ref="AK208">_xlfn.IFS(
HR_Data[[#This Row],[MonthlyIncome]]&lt;3000,"&lt;3K",
HR_Data[[#This Row],[MonthlyIncome]]&lt;6000,"3K-6K",
HR_Data[[#This Row],[MonthlyIncome]]&lt;10000,"6K-10K",
TRUE,"10K+"
)</f>
        <v>&lt;3K</v>
      </c>
      <c r="AL208" t="str" cm="1">
        <f t="array" ref="AL208">_xlfn.IFS(
HR_Data[[#This Row],[YearsAtCompany]]&lt;2,"&lt;2 Years",
HR_Data[[#This Row],[YearsAtCompany]]&lt;5,"2-4 Years",
HR_Data[[#This Row],[YearsAtCompany]]&lt;10,"5-9 Years",
TRUE,"10+ Years"
)</f>
        <v>2-4 Years</v>
      </c>
      <c r="AM208" s="1">
        <f>IF(HR_Data[[#This Row],[Attrition]]="Yes",1,0)</f>
        <v>0</v>
      </c>
    </row>
    <row r="209" spans="1:39" x14ac:dyDescent="0.3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 cm="1">
        <f t="array" ref="AJ209">_xlfn.IFS(
HR_Data[[#This Row],[Age]]&lt;25,"Under 25",
HR_Data[[#This Row],[Age]]&lt;35,"25-34",
HR_Data[[#This Row],[Age]]&lt;45,"35-44",
HR_Data[[#This Row],[Age]]&lt;55,"45-54",
TRUE,"55+"
)</f>
        <v>35-44</v>
      </c>
      <c r="AK209" t="str" cm="1">
        <f t="array" ref="AK209">_xlfn.IFS(
HR_Data[[#This Row],[MonthlyIncome]]&lt;3000,"&lt;3K",
HR_Data[[#This Row],[MonthlyIncome]]&lt;6000,"3K-6K",
HR_Data[[#This Row],[MonthlyIncome]]&lt;10000,"6K-10K",
TRUE,"10K+"
)</f>
        <v>&lt;3K</v>
      </c>
      <c r="AL209" t="str" cm="1">
        <f t="array" ref="AL209">_xlfn.IFS(
HR_Data[[#This Row],[YearsAtCompany]]&lt;2,"&lt;2 Years",
HR_Data[[#This Row],[YearsAtCompany]]&lt;5,"2-4 Years",
HR_Data[[#This Row],[YearsAtCompany]]&lt;10,"5-9 Years",
TRUE,"10+ Years"
)</f>
        <v>5-9 Years</v>
      </c>
      <c r="AM209" s="1">
        <f>IF(HR_Data[[#This Row],[Attrition]]="Yes",1,0)</f>
        <v>0</v>
      </c>
    </row>
    <row r="210" spans="1:39" x14ac:dyDescent="0.3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 cm="1">
        <f t="array" ref="AJ210">_xlfn.IFS(
HR_Data[[#This Row],[Age]]&lt;25,"Under 25",
HR_Data[[#This Row],[Age]]&lt;35,"25-34",
HR_Data[[#This Row],[Age]]&lt;45,"35-44",
HR_Data[[#This Row],[Age]]&lt;55,"45-54",
TRUE,"55+"
)</f>
        <v>35-44</v>
      </c>
      <c r="AK210" t="str" cm="1">
        <f t="array" ref="AK210">_xlfn.IFS(
HR_Data[[#This Row],[MonthlyIncome]]&lt;3000,"&lt;3K",
HR_Data[[#This Row],[MonthlyIncome]]&lt;6000,"3K-6K",
HR_Data[[#This Row],[MonthlyIncome]]&lt;10000,"6K-10K",
TRUE,"10K+"
)</f>
        <v>3K-6K</v>
      </c>
      <c r="AL210" t="str" cm="1">
        <f t="array" ref="AL210">_xlfn.IFS(
HR_Data[[#This Row],[YearsAtCompany]]&lt;2,"&lt;2 Years",
HR_Data[[#This Row],[YearsAtCompany]]&lt;5,"2-4 Years",
HR_Data[[#This Row],[YearsAtCompany]]&lt;10,"5-9 Years",
TRUE,"10+ Years"
)</f>
        <v>2-4 Years</v>
      </c>
      <c r="AM210" s="1">
        <f>IF(HR_Data[[#This Row],[Attrition]]="Yes",1,0)</f>
        <v>0</v>
      </c>
    </row>
    <row r="211" spans="1:39" x14ac:dyDescent="0.3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 cm="1">
        <f t="array" ref="AJ211">_xlfn.IFS(
HR_Data[[#This Row],[Age]]&lt;25,"Under 25",
HR_Data[[#This Row],[Age]]&lt;35,"25-34",
HR_Data[[#This Row],[Age]]&lt;45,"35-44",
HR_Data[[#This Row],[Age]]&lt;55,"45-54",
TRUE,"55+"
)</f>
        <v>45-54</v>
      </c>
      <c r="AK211" t="str" cm="1">
        <f t="array" ref="AK211">_xlfn.IFS(
HR_Data[[#This Row],[MonthlyIncome]]&lt;3000,"&lt;3K",
HR_Data[[#This Row],[MonthlyIncome]]&lt;6000,"3K-6K",
HR_Data[[#This Row],[MonthlyIncome]]&lt;10000,"6K-10K",
TRUE,"10K+"
)</f>
        <v>6K-10K</v>
      </c>
      <c r="AL211" t="str" cm="1">
        <f t="array" ref="AL211">_xlfn.IFS(
HR_Data[[#This Row],[YearsAtCompany]]&lt;2,"&lt;2 Years",
HR_Data[[#This Row],[YearsAtCompany]]&lt;5,"2-4 Years",
HR_Data[[#This Row],[YearsAtCompany]]&lt;10,"5-9 Years",
TRUE,"10+ Years"
)</f>
        <v>2-4 Years</v>
      </c>
      <c r="AM211" s="1">
        <f>IF(HR_Data[[#This Row],[Attrition]]="Yes",1,0)</f>
        <v>0</v>
      </c>
    </row>
    <row r="212" spans="1:39" x14ac:dyDescent="0.3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 cm="1">
        <f t="array" ref="AJ212">_xlfn.IFS(
HR_Data[[#This Row],[Age]]&lt;25,"Under 25",
HR_Data[[#This Row],[Age]]&lt;35,"25-34",
HR_Data[[#This Row],[Age]]&lt;45,"35-44",
HR_Data[[#This Row],[Age]]&lt;55,"45-54",
TRUE,"55+"
)</f>
        <v>25-34</v>
      </c>
      <c r="AK212" t="str" cm="1">
        <f t="array" ref="AK212">_xlfn.IFS(
HR_Data[[#This Row],[MonthlyIncome]]&lt;3000,"&lt;3K",
HR_Data[[#This Row],[MonthlyIncome]]&lt;6000,"3K-6K",
HR_Data[[#This Row],[MonthlyIncome]]&lt;10000,"6K-10K",
TRUE,"10K+"
)</f>
        <v>10K+</v>
      </c>
      <c r="AL212" t="str" cm="1">
        <f t="array" ref="AL212">_xlfn.IFS(
HR_Data[[#This Row],[YearsAtCompany]]&lt;2,"&lt;2 Years",
HR_Data[[#This Row],[YearsAtCompany]]&lt;5,"2-4 Years",
HR_Data[[#This Row],[YearsAtCompany]]&lt;10,"5-9 Years",
TRUE,"10+ Years"
)</f>
        <v>10+ Years</v>
      </c>
      <c r="AM212" s="1">
        <f>IF(HR_Data[[#This Row],[Attrition]]="Yes",1,0)</f>
        <v>1</v>
      </c>
    </row>
    <row r="213" spans="1:39" x14ac:dyDescent="0.3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 cm="1">
        <f t="array" ref="AJ213">_xlfn.IFS(
HR_Data[[#This Row],[Age]]&lt;25,"Under 25",
HR_Data[[#This Row],[Age]]&lt;35,"25-34",
HR_Data[[#This Row],[Age]]&lt;45,"35-44",
HR_Data[[#This Row],[Age]]&lt;55,"45-54",
TRUE,"55+"
)</f>
        <v>25-34</v>
      </c>
      <c r="AK213" t="str" cm="1">
        <f t="array" ref="AK213">_xlfn.IFS(
HR_Data[[#This Row],[MonthlyIncome]]&lt;3000,"&lt;3K",
HR_Data[[#This Row],[MonthlyIncome]]&lt;6000,"3K-6K",
HR_Data[[#This Row],[MonthlyIncome]]&lt;10000,"6K-10K",
TRUE,"10K+"
)</f>
        <v>6K-10K</v>
      </c>
      <c r="AL213" t="str" cm="1">
        <f t="array" ref="AL213">_xlfn.IFS(
HR_Data[[#This Row],[YearsAtCompany]]&lt;2,"&lt;2 Years",
HR_Data[[#This Row],[YearsAtCompany]]&lt;5,"2-4 Years",
HR_Data[[#This Row],[YearsAtCompany]]&lt;10,"5-9 Years",
TRUE,"10+ Years"
)</f>
        <v>10+ Years</v>
      </c>
      <c r="AM213" s="1">
        <f>IF(HR_Data[[#This Row],[Attrition]]="Yes",1,0)</f>
        <v>0</v>
      </c>
    </row>
    <row r="214" spans="1:39" x14ac:dyDescent="0.3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 cm="1">
        <f t="array" ref="AJ214">_xlfn.IFS(
HR_Data[[#This Row],[Age]]&lt;25,"Under 25",
HR_Data[[#This Row],[Age]]&lt;35,"25-34",
HR_Data[[#This Row],[Age]]&lt;45,"35-44",
HR_Data[[#This Row],[Age]]&lt;55,"45-54",
TRUE,"55+"
)</f>
        <v>25-34</v>
      </c>
      <c r="AK214" t="str" cm="1">
        <f t="array" ref="AK214">_xlfn.IFS(
HR_Data[[#This Row],[MonthlyIncome]]&lt;3000,"&lt;3K",
HR_Data[[#This Row],[MonthlyIncome]]&lt;6000,"3K-6K",
HR_Data[[#This Row],[MonthlyIncome]]&lt;10000,"6K-10K",
TRUE,"10K+"
)</f>
        <v>6K-10K</v>
      </c>
      <c r="AL214" t="str" cm="1">
        <f t="array" ref="AL214">_xlfn.IFS(
HR_Data[[#This Row],[YearsAtCompany]]&lt;2,"&lt;2 Years",
HR_Data[[#This Row],[YearsAtCompany]]&lt;5,"2-4 Years",
HR_Data[[#This Row],[YearsAtCompany]]&lt;10,"5-9 Years",
TRUE,"10+ Years"
)</f>
        <v>5-9 Years</v>
      </c>
      <c r="AM214" s="1">
        <f>IF(HR_Data[[#This Row],[Attrition]]="Yes",1,0)</f>
        <v>0</v>
      </c>
    </row>
    <row r="215" spans="1:39" x14ac:dyDescent="0.3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 cm="1">
        <f t="array" ref="AJ215">_xlfn.IFS(
HR_Data[[#This Row],[Age]]&lt;25,"Under 25",
HR_Data[[#This Row],[Age]]&lt;35,"25-34",
HR_Data[[#This Row],[Age]]&lt;45,"35-44",
HR_Data[[#This Row],[Age]]&lt;55,"45-54",
TRUE,"55+"
)</f>
        <v>45-54</v>
      </c>
      <c r="AK215" t="str" cm="1">
        <f t="array" ref="AK215">_xlfn.IFS(
HR_Data[[#This Row],[MonthlyIncome]]&lt;3000,"&lt;3K",
HR_Data[[#This Row],[MonthlyIncome]]&lt;6000,"3K-6K",
HR_Data[[#This Row],[MonthlyIncome]]&lt;10000,"6K-10K",
TRUE,"10K+"
)</f>
        <v>10K+</v>
      </c>
      <c r="AL215" t="str" cm="1">
        <f t="array" ref="AL215">_xlfn.IFS(
HR_Data[[#This Row],[YearsAtCompany]]&lt;2,"&lt;2 Years",
HR_Data[[#This Row],[YearsAtCompany]]&lt;5,"2-4 Years",
HR_Data[[#This Row],[YearsAtCompany]]&lt;10,"5-9 Years",
TRUE,"10+ Years"
)</f>
        <v>10+ Years</v>
      </c>
      <c r="AM215" s="1">
        <f>IF(HR_Data[[#This Row],[Attrition]]="Yes",1,0)</f>
        <v>0</v>
      </c>
    </row>
    <row r="216" spans="1:39" x14ac:dyDescent="0.3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 cm="1">
        <f t="array" ref="AJ216">_xlfn.IFS(
HR_Data[[#This Row],[Age]]&lt;25,"Under 25",
HR_Data[[#This Row],[Age]]&lt;35,"25-34",
HR_Data[[#This Row],[Age]]&lt;45,"35-44",
HR_Data[[#This Row],[Age]]&lt;55,"45-54",
TRUE,"55+"
)</f>
        <v>25-34</v>
      </c>
      <c r="AK216" t="str" cm="1">
        <f t="array" ref="AK216">_xlfn.IFS(
HR_Data[[#This Row],[MonthlyIncome]]&lt;3000,"&lt;3K",
HR_Data[[#This Row],[MonthlyIncome]]&lt;6000,"3K-6K",
HR_Data[[#This Row],[MonthlyIncome]]&lt;10000,"6K-10K",
TRUE,"10K+"
)</f>
        <v>&lt;3K</v>
      </c>
      <c r="AL216" t="str" cm="1">
        <f t="array" ref="AL216">_xlfn.IFS(
HR_Data[[#This Row],[YearsAtCompany]]&lt;2,"&lt;2 Years",
HR_Data[[#This Row],[YearsAtCompany]]&lt;5,"2-4 Years",
HR_Data[[#This Row],[YearsAtCompany]]&lt;10,"5-9 Years",
TRUE,"10+ Years"
)</f>
        <v>5-9 Years</v>
      </c>
      <c r="AM216" s="1">
        <f>IF(HR_Data[[#This Row],[Attrition]]="Yes",1,0)</f>
        <v>1</v>
      </c>
    </row>
    <row r="217" spans="1:39" x14ac:dyDescent="0.3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 cm="1">
        <f t="array" ref="AJ217">_xlfn.IFS(
HR_Data[[#This Row],[Age]]&lt;25,"Under 25",
HR_Data[[#This Row],[Age]]&lt;35,"25-34",
HR_Data[[#This Row],[Age]]&lt;45,"35-44",
HR_Data[[#This Row],[Age]]&lt;55,"45-54",
TRUE,"55+"
)</f>
        <v>35-44</v>
      </c>
      <c r="AK217" t="str" cm="1">
        <f t="array" ref="AK217">_xlfn.IFS(
HR_Data[[#This Row],[MonthlyIncome]]&lt;3000,"&lt;3K",
HR_Data[[#This Row],[MonthlyIncome]]&lt;6000,"3K-6K",
HR_Data[[#This Row],[MonthlyIncome]]&lt;10000,"6K-10K",
TRUE,"10K+"
)</f>
        <v>10K+</v>
      </c>
      <c r="AL217" t="str" cm="1">
        <f t="array" ref="AL217">_xlfn.IFS(
HR_Data[[#This Row],[YearsAtCompany]]&lt;2,"&lt;2 Years",
HR_Data[[#This Row],[YearsAtCompany]]&lt;5,"2-4 Years",
HR_Data[[#This Row],[YearsAtCompany]]&lt;10,"5-9 Years",
TRUE,"10+ Years"
)</f>
        <v>&lt;2 Years</v>
      </c>
      <c r="AM217" s="1">
        <f>IF(HR_Data[[#This Row],[Attrition]]="Yes",1,0)</f>
        <v>0</v>
      </c>
    </row>
    <row r="218" spans="1:39" x14ac:dyDescent="0.3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 cm="1">
        <f t="array" ref="AJ218">_xlfn.IFS(
HR_Data[[#This Row],[Age]]&lt;25,"Under 25",
HR_Data[[#This Row],[Age]]&lt;35,"25-34",
HR_Data[[#This Row],[Age]]&lt;45,"35-44",
HR_Data[[#This Row],[Age]]&lt;55,"45-54",
TRUE,"55+"
)</f>
        <v>25-34</v>
      </c>
      <c r="AK218" t="str" cm="1">
        <f t="array" ref="AK218">_xlfn.IFS(
HR_Data[[#This Row],[MonthlyIncome]]&lt;3000,"&lt;3K",
HR_Data[[#This Row],[MonthlyIncome]]&lt;6000,"3K-6K",
HR_Data[[#This Row],[MonthlyIncome]]&lt;10000,"6K-10K",
TRUE,"10K+"
)</f>
        <v>6K-10K</v>
      </c>
      <c r="AL218" t="str" cm="1">
        <f t="array" ref="AL218">_xlfn.IFS(
HR_Data[[#This Row],[YearsAtCompany]]&lt;2,"&lt;2 Years",
HR_Data[[#This Row],[YearsAtCompany]]&lt;5,"2-4 Years",
HR_Data[[#This Row],[YearsAtCompany]]&lt;10,"5-9 Years",
TRUE,"10+ Years"
)</f>
        <v>5-9 Years</v>
      </c>
      <c r="AM218" s="1">
        <f>IF(HR_Data[[#This Row],[Attrition]]="Yes",1,0)</f>
        <v>1</v>
      </c>
    </row>
    <row r="219" spans="1:39" x14ac:dyDescent="0.3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 cm="1">
        <f t="array" ref="AJ219">_xlfn.IFS(
HR_Data[[#This Row],[Age]]&lt;25,"Under 25",
HR_Data[[#This Row],[Age]]&lt;35,"25-34",
HR_Data[[#This Row],[Age]]&lt;45,"35-44",
HR_Data[[#This Row],[Age]]&lt;55,"45-54",
TRUE,"55+"
)</f>
        <v>25-34</v>
      </c>
      <c r="AK219" t="str" cm="1">
        <f t="array" ref="AK219">_xlfn.IFS(
HR_Data[[#This Row],[MonthlyIncome]]&lt;3000,"&lt;3K",
HR_Data[[#This Row],[MonthlyIncome]]&lt;6000,"3K-6K",
HR_Data[[#This Row],[MonthlyIncome]]&lt;10000,"6K-10K",
TRUE,"10K+"
)</f>
        <v>&lt;3K</v>
      </c>
      <c r="AL219" t="str" cm="1">
        <f t="array" ref="AL219">_xlfn.IFS(
HR_Data[[#This Row],[YearsAtCompany]]&lt;2,"&lt;2 Years",
HR_Data[[#This Row],[YearsAtCompany]]&lt;5,"2-4 Years",
HR_Data[[#This Row],[YearsAtCompany]]&lt;10,"5-9 Years",
TRUE,"10+ Years"
)</f>
        <v>5-9 Years</v>
      </c>
      <c r="AM219" s="1">
        <f>IF(HR_Data[[#This Row],[Attrition]]="Yes",1,0)</f>
        <v>1</v>
      </c>
    </row>
    <row r="220" spans="1:39" x14ac:dyDescent="0.3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 cm="1">
        <f t="array" ref="AJ220">_xlfn.IFS(
HR_Data[[#This Row],[Age]]&lt;25,"Under 25",
HR_Data[[#This Row],[Age]]&lt;35,"25-34",
HR_Data[[#This Row],[Age]]&lt;45,"35-44",
HR_Data[[#This Row],[Age]]&lt;55,"45-54",
TRUE,"55+"
)</f>
        <v>45-54</v>
      </c>
      <c r="AK220" t="str" cm="1">
        <f t="array" ref="AK220">_xlfn.IFS(
HR_Data[[#This Row],[MonthlyIncome]]&lt;3000,"&lt;3K",
HR_Data[[#This Row],[MonthlyIncome]]&lt;6000,"3K-6K",
HR_Data[[#This Row],[MonthlyIncome]]&lt;10000,"6K-10K",
TRUE,"10K+"
)</f>
        <v>6K-10K</v>
      </c>
      <c r="AL220" t="str" cm="1">
        <f t="array" ref="AL220">_xlfn.IFS(
HR_Data[[#This Row],[YearsAtCompany]]&lt;2,"&lt;2 Years",
HR_Data[[#This Row],[YearsAtCompany]]&lt;5,"2-4 Years",
HR_Data[[#This Row],[YearsAtCompany]]&lt;10,"5-9 Years",
TRUE,"10+ Years"
)</f>
        <v>10+ Years</v>
      </c>
      <c r="AM220" s="1">
        <f>IF(HR_Data[[#This Row],[Attrition]]="Yes",1,0)</f>
        <v>0</v>
      </c>
    </row>
    <row r="221" spans="1:39" x14ac:dyDescent="0.3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 cm="1">
        <f t="array" ref="AJ221">_xlfn.IFS(
HR_Data[[#This Row],[Age]]&lt;25,"Under 25",
HR_Data[[#This Row],[Age]]&lt;35,"25-34",
HR_Data[[#This Row],[Age]]&lt;45,"35-44",
HR_Data[[#This Row],[Age]]&lt;55,"45-54",
TRUE,"55+"
)</f>
        <v>45-54</v>
      </c>
      <c r="AK221" t="str" cm="1">
        <f t="array" ref="AK221">_xlfn.IFS(
HR_Data[[#This Row],[MonthlyIncome]]&lt;3000,"&lt;3K",
HR_Data[[#This Row],[MonthlyIncome]]&lt;6000,"3K-6K",
HR_Data[[#This Row],[MonthlyIncome]]&lt;10000,"6K-10K",
TRUE,"10K+"
)</f>
        <v>3K-6K</v>
      </c>
      <c r="AL221" t="str" cm="1">
        <f t="array" ref="AL221">_xlfn.IFS(
HR_Data[[#This Row],[YearsAtCompany]]&lt;2,"&lt;2 Years",
HR_Data[[#This Row],[YearsAtCompany]]&lt;5,"2-4 Years",
HR_Data[[#This Row],[YearsAtCompany]]&lt;10,"5-9 Years",
TRUE,"10+ Years"
)</f>
        <v>5-9 Years</v>
      </c>
      <c r="AM221" s="1">
        <f>IF(HR_Data[[#This Row],[Attrition]]="Yes",1,0)</f>
        <v>0</v>
      </c>
    </row>
    <row r="222" spans="1:39" x14ac:dyDescent="0.3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 cm="1">
        <f t="array" ref="AJ222">_xlfn.IFS(
HR_Data[[#This Row],[Age]]&lt;25,"Under 25",
HR_Data[[#This Row],[Age]]&lt;35,"25-34",
HR_Data[[#This Row],[Age]]&lt;45,"35-44",
HR_Data[[#This Row],[Age]]&lt;55,"45-54",
TRUE,"55+"
)</f>
        <v>35-44</v>
      </c>
      <c r="AK222" t="str" cm="1">
        <f t="array" ref="AK222">_xlfn.IFS(
HR_Data[[#This Row],[MonthlyIncome]]&lt;3000,"&lt;3K",
HR_Data[[#This Row],[MonthlyIncome]]&lt;6000,"3K-6K",
HR_Data[[#This Row],[MonthlyIncome]]&lt;10000,"6K-10K",
TRUE,"10K+"
)</f>
        <v>3K-6K</v>
      </c>
      <c r="AL222" t="str" cm="1">
        <f t="array" ref="AL222">_xlfn.IFS(
HR_Data[[#This Row],[YearsAtCompany]]&lt;2,"&lt;2 Years",
HR_Data[[#This Row],[YearsAtCompany]]&lt;5,"2-4 Years",
HR_Data[[#This Row],[YearsAtCompany]]&lt;10,"5-9 Years",
TRUE,"10+ Years"
)</f>
        <v>10+ Years</v>
      </c>
      <c r="AM222" s="1">
        <f>IF(HR_Data[[#This Row],[Attrition]]="Yes",1,0)</f>
        <v>0</v>
      </c>
    </row>
    <row r="223" spans="1:39" x14ac:dyDescent="0.3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 cm="1">
        <f t="array" ref="AJ223">_xlfn.IFS(
HR_Data[[#This Row],[Age]]&lt;25,"Under 25",
HR_Data[[#This Row],[Age]]&lt;35,"25-34",
HR_Data[[#This Row],[Age]]&lt;45,"35-44",
HR_Data[[#This Row],[Age]]&lt;55,"45-54",
TRUE,"55+"
)</f>
        <v>25-34</v>
      </c>
      <c r="AK223" t="str" cm="1">
        <f t="array" ref="AK223">_xlfn.IFS(
HR_Data[[#This Row],[MonthlyIncome]]&lt;3000,"&lt;3K",
HR_Data[[#This Row],[MonthlyIncome]]&lt;6000,"3K-6K",
HR_Data[[#This Row],[MonthlyIncome]]&lt;10000,"6K-10K",
TRUE,"10K+"
)</f>
        <v>&lt;3K</v>
      </c>
      <c r="AL223" t="str" cm="1">
        <f t="array" ref="AL223">_xlfn.IFS(
HR_Data[[#This Row],[YearsAtCompany]]&lt;2,"&lt;2 Years",
HR_Data[[#This Row],[YearsAtCompany]]&lt;5,"2-4 Years",
HR_Data[[#This Row],[YearsAtCompany]]&lt;10,"5-9 Years",
TRUE,"10+ Years"
)</f>
        <v>2-4 Years</v>
      </c>
      <c r="AM223" s="1">
        <f>IF(HR_Data[[#This Row],[Attrition]]="Yes",1,0)</f>
        <v>0</v>
      </c>
    </row>
    <row r="224" spans="1:39" x14ac:dyDescent="0.3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 cm="1">
        <f t="array" ref="AJ224">_xlfn.IFS(
HR_Data[[#This Row],[Age]]&lt;25,"Under 25",
HR_Data[[#This Row],[Age]]&lt;35,"25-34",
HR_Data[[#This Row],[Age]]&lt;45,"35-44",
HR_Data[[#This Row],[Age]]&lt;55,"45-54",
TRUE,"55+"
)</f>
        <v>35-44</v>
      </c>
      <c r="AK224" t="str" cm="1">
        <f t="array" ref="AK224">_xlfn.IFS(
HR_Data[[#This Row],[MonthlyIncome]]&lt;3000,"&lt;3K",
HR_Data[[#This Row],[MonthlyIncome]]&lt;6000,"3K-6K",
HR_Data[[#This Row],[MonthlyIncome]]&lt;10000,"6K-10K",
TRUE,"10K+"
)</f>
        <v>10K+</v>
      </c>
      <c r="AL224" t="str" cm="1">
        <f t="array" ref="AL224">_xlfn.IFS(
HR_Data[[#This Row],[YearsAtCompany]]&lt;2,"&lt;2 Years",
HR_Data[[#This Row],[YearsAtCompany]]&lt;5,"2-4 Years",
HR_Data[[#This Row],[YearsAtCompany]]&lt;10,"5-9 Years",
TRUE,"10+ Years"
)</f>
        <v>10+ Years</v>
      </c>
      <c r="AM224" s="1">
        <f>IF(HR_Data[[#This Row],[Attrition]]="Yes",1,0)</f>
        <v>0</v>
      </c>
    </row>
    <row r="225" spans="1:39" x14ac:dyDescent="0.3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 cm="1">
        <f t="array" ref="AJ225">_xlfn.IFS(
HR_Data[[#This Row],[Age]]&lt;25,"Under 25",
HR_Data[[#This Row],[Age]]&lt;35,"25-34",
HR_Data[[#This Row],[Age]]&lt;45,"35-44",
HR_Data[[#This Row],[Age]]&lt;55,"45-54",
TRUE,"55+"
)</f>
        <v>35-44</v>
      </c>
      <c r="AK225" t="str" cm="1">
        <f t="array" ref="AK225">_xlfn.IFS(
HR_Data[[#This Row],[MonthlyIncome]]&lt;3000,"&lt;3K",
HR_Data[[#This Row],[MonthlyIncome]]&lt;6000,"3K-6K",
HR_Data[[#This Row],[MonthlyIncome]]&lt;10000,"6K-10K",
TRUE,"10K+"
)</f>
        <v>10K+</v>
      </c>
      <c r="AL225" t="str" cm="1">
        <f t="array" ref="AL225">_xlfn.IFS(
HR_Data[[#This Row],[YearsAtCompany]]&lt;2,"&lt;2 Years",
HR_Data[[#This Row],[YearsAtCompany]]&lt;5,"2-4 Years",
HR_Data[[#This Row],[YearsAtCompany]]&lt;10,"5-9 Years",
TRUE,"10+ Years"
)</f>
        <v>10+ Years</v>
      </c>
      <c r="AM225" s="1">
        <f>IF(HR_Data[[#This Row],[Attrition]]="Yes",1,0)</f>
        <v>0</v>
      </c>
    </row>
    <row r="226" spans="1:39" x14ac:dyDescent="0.3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 cm="1">
        <f t="array" ref="AJ226">_xlfn.IFS(
HR_Data[[#This Row],[Age]]&lt;25,"Under 25",
HR_Data[[#This Row],[Age]]&lt;35,"25-34",
HR_Data[[#This Row],[Age]]&lt;45,"35-44",
HR_Data[[#This Row],[Age]]&lt;55,"45-54",
TRUE,"55+"
)</f>
        <v>25-34</v>
      </c>
      <c r="AK226" t="str" cm="1">
        <f t="array" ref="AK226">_xlfn.IFS(
HR_Data[[#This Row],[MonthlyIncome]]&lt;3000,"&lt;3K",
HR_Data[[#This Row],[MonthlyIncome]]&lt;6000,"3K-6K",
HR_Data[[#This Row],[MonthlyIncome]]&lt;10000,"6K-10K",
TRUE,"10K+"
)</f>
        <v>3K-6K</v>
      </c>
      <c r="AL226" t="str" cm="1">
        <f t="array" ref="AL226">_xlfn.IFS(
HR_Data[[#This Row],[YearsAtCompany]]&lt;2,"&lt;2 Years",
HR_Data[[#This Row],[YearsAtCompany]]&lt;5,"2-4 Years",
HR_Data[[#This Row],[YearsAtCompany]]&lt;10,"5-9 Years",
TRUE,"10+ Years"
)</f>
        <v>5-9 Years</v>
      </c>
      <c r="AM226" s="1">
        <f>IF(HR_Data[[#This Row],[Attrition]]="Yes",1,0)</f>
        <v>0</v>
      </c>
    </row>
    <row r="227" spans="1:39" x14ac:dyDescent="0.3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 cm="1">
        <f t="array" ref="AJ227">_xlfn.IFS(
HR_Data[[#This Row],[Age]]&lt;25,"Under 25",
HR_Data[[#This Row],[Age]]&lt;35,"25-34",
HR_Data[[#This Row],[Age]]&lt;45,"35-44",
HR_Data[[#This Row],[Age]]&lt;55,"45-54",
TRUE,"55+"
)</f>
        <v>55+</v>
      </c>
      <c r="AK227" t="str" cm="1">
        <f t="array" ref="AK227">_xlfn.IFS(
HR_Data[[#This Row],[MonthlyIncome]]&lt;3000,"&lt;3K",
HR_Data[[#This Row],[MonthlyIncome]]&lt;6000,"3K-6K",
HR_Data[[#This Row],[MonthlyIncome]]&lt;10000,"6K-10K",
TRUE,"10K+"
)</f>
        <v>&lt;3K</v>
      </c>
      <c r="AL227" t="str" cm="1">
        <f t="array" ref="AL227">_xlfn.IFS(
HR_Data[[#This Row],[YearsAtCompany]]&lt;2,"&lt;2 Years",
HR_Data[[#This Row],[YearsAtCompany]]&lt;5,"2-4 Years",
HR_Data[[#This Row],[YearsAtCompany]]&lt;10,"5-9 Years",
TRUE,"10+ Years"
)</f>
        <v>&lt;2 Years</v>
      </c>
      <c r="AM227" s="1">
        <f>IF(HR_Data[[#This Row],[Attrition]]="Yes",1,0)</f>
        <v>0</v>
      </c>
    </row>
    <row r="228" spans="1:39" x14ac:dyDescent="0.3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 cm="1">
        <f t="array" ref="AJ228">_xlfn.IFS(
HR_Data[[#This Row],[Age]]&lt;25,"Under 25",
HR_Data[[#This Row],[Age]]&lt;35,"25-34",
HR_Data[[#This Row],[Age]]&lt;45,"35-44",
HR_Data[[#This Row],[Age]]&lt;55,"45-54",
TRUE,"55+"
)</f>
        <v>35-44</v>
      </c>
      <c r="AK228" t="str" cm="1">
        <f t="array" ref="AK228">_xlfn.IFS(
HR_Data[[#This Row],[MonthlyIncome]]&lt;3000,"&lt;3K",
HR_Data[[#This Row],[MonthlyIncome]]&lt;6000,"3K-6K",
HR_Data[[#This Row],[MonthlyIncome]]&lt;10000,"6K-10K",
TRUE,"10K+"
)</f>
        <v>&lt;3K</v>
      </c>
      <c r="AL228" t="str" cm="1">
        <f t="array" ref="AL228">_xlfn.IFS(
HR_Data[[#This Row],[YearsAtCompany]]&lt;2,"&lt;2 Years",
HR_Data[[#This Row],[YearsAtCompany]]&lt;5,"2-4 Years",
HR_Data[[#This Row],[YearsAtCompany]]&lt;10,"5-9 Years",
TRUE,"10+ Years"
)</f>
        <v>5-9 Years</v>
      </c>
      <c r="AM228" s="1">
        <f>IF(HR_Data[[#This Row],[Attrition]]="Yes",1,0)</f>
        <v>0</v>
      </c>
    </row>
    <row r="229" spans="1:39" x14ac:dyDescent="0.3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 cm="1">
        <f t="array" ref="AJ229">_xlfn.IFS(
HR_Data[[#This Row],[Age]]&lt;25,"Under 25",
HR_Data[[#This Row],[Age]]&lt;35,"25-34",
HR_Data[[#This Row],[Age]]&lt;45,"35-44",
HR_Data[[#This Row],[Age]]&lt;55,"45-54",
TRUE,"55+"
)</f>
        <v>25-34</v>
      </c>
      <c r="AK229" t="str" cm="1">
        <f t="array" ref="AK229">_xlfn.IFS(
HR_Data[[#This Row],[MonthlyIncome]]&lt;3000,"&lt;3K",
HR_Data[[#This Row],[MonthlyIncome]]&lt;6000,"3K-6K",
HR_Data[[#This Row],[MonthlyIncome]]&lt;10000,"6K-10K",
TRUE,"10K+"
)</f>
        <v>6K-10K</v>
      </c>
      <c r="AL229" t="str" cm="1">
        <f t="array" ref="AL229">_xlfn.IFS(
HR_Data[[#This Row],[YearsAtCompany]]&lt;2,"&lt;2 Years",
HR_Data[[#This Row],[YearsAtCompany]]&lt;5,"2-4 Years",
HR_Data[[#This Row],[YearsAtCompany]]&lt;10,"5-9 Years",
TRUE,"10+ Years"
)</f>
        <v>10+ Years</v>
      </c>
      <c r="AM229" s="1">
        <f>IF(HR_Data[[#This Row],[Attrition]]="Yes",1,0)</f>
        <v>0</v>
      </c>
    </row>
    <row r="230" spans="1:39" x14ac:dyDescent="0.3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 cm="1">
        <f t="array" ref="AJ230">_xlfn.IFS(
HR_Data[[#This Row],[Age]]&lt;25,"Under 25",
HR_Data[[#This Row],[Age]]&lt;35,"25-34",
HR_Data[[#This Row],[Age]]&lt;45,"35-44",
HR_Data[[#This Row],[Age]]&lt;55,"45-54",
TRUE,"55+"
)</f>
        <v>35-44</v>
      </c>
      <c r="AK230" t="str" cm="1">
        <f t="array" ref="AK230">_xlfn.IFS(
HR_Data[[#This Row],[MonthlyIncome]]&lt;3000,"&lt;3K",
HR_Data[[#This Row],[MonthlyIncome]]&lt;6000,"3K-6K",
HR_Data[[#This Row],[MonthlyIncome]]&lt;10000,"6K-10K",
TRUE,"10K+"
)</f>
        <v>6K-10K</v>
      </c>
      <c r="AL230" t="str" cm="1">
        <f t="array" ref="AL230">_xlfn.IFS(
HR_Data[[#This Row],[YearsAtCompany]]&lt;2,"&lt;2 Years",
HR_Data[[#This Row],[YearsAtCompany]]&lt;5,"2-4 Years",
HR_Data[[#This Row],[YearsAtCompany]]&lt;10,"5-9 Years",
TRUE,"10+ Years"
)</f>
        <v>10+ Years</v>
      </c>
      <c r="AM230" s="1">
        <f>IF(HR_Data[[#This Row],[Attrition]]="Yes",1,0)</f>
        <v>0</v>
      </c>
    </row>
    <row r="231" spans="1:39" x14ac:dyDescent="0.3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 cm="1">
        <f t="array" ref="AJ231">_xlfn.IFS(
HR_Data[[#This Row],[Age]]&lt;25,"Under 25",
HR_Data[[#This Row],[Age]]&lt;35,"25-34",
HR_Data[[#This Row],[Age]]&lt;45,"35-44",
HR_Data[[#This Row],[Age]]&lt;55,"45-54",
TRUE,"55+"
)</f>
        <v>25-34</v>
      </c>
      <c r="AK231" t="str" cm="1">
        <f t="array" ref="AK231">_xlfn.IFS(
HR_Data[[#This Row],[MonthlyIncome]]&lt;3000,"&lt;3K",
HR_Data[[#This Row],[MonthlyIncome]]&lt;6000,"3K-6K",
HR_Data[[#This Row],[MonthlyIncome]]&lt;10000,"6K-10K",
TRUE,"10K+"
)</f>
        <v>&lt;3K</v>
      </c>
      <c r="AL231" t="str" cm="1">
        <f t="array" ref="AL231">_xlfn.IFS(
HR_Data[[#This Row],[YearsAtCompany]]&lt;2,"&lt;2 Years",
HR_Data[[#This Row],[YearsAtCompany]]&lt;5,"2-4 Years",
HR_Data[[#This Row],[YearsAtCompany]]&lt;10,"5-9 Years",
TRUE,"10+ Years"
)</f>
        <v>2-4 Years</v>
      </c>
      <c r="AM231" s="1">
        <f>IF(HR_Data[[#This Row],[Attrition]]="Yes",1,0)</f>
        <v>1</v>
      </c>
    </row>
    <row r="232" spans="1:39" x14ac:dyDescent="0.3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 cm="1">
        <f t="array" ref="AJ232">_xlfn.IFS(
HR_Data[[#This Row],[Age]]&lt;25,"Under 25",
HR_Data[[#This Row],[Age]]&lt;35,"25-34",
HR_Data[[#This Row],[Age]]&lt;45,"35-44",
HR_Data[[#This Row],[Age]]&lt;55,"45-54",
TRUE,"55+"
)</f>
        <v>45-54</v>
      </c>
      <c r="AK232" t="str" cm="1">
        <f t="array" ref="AK232">_xlfn.IFS(
HR_Data[[#This Row],[MonthlyIncome]]&lt;3000,"&lt;3K",
HR_Data[[#This Row],[MonthlyIncome]]&lt;6000,"3K-6K",
HR_Data[[#This Row],[MonthlyIncome]]&lt;10000,"6K-10K",
TRUE,"10K+"
)</f>
        <v>3K-6K</v>
      </c>
      <c r="AL232" t="str" cm="1">
        <f t="array" ref="AL232">_xlfn.IFS(
HR_Data[[#This Row],[YearsAtCompany]]&lt;2,"&lt;2 Years",
HR_Data[[#This Row],[YearsAtCompany]]&lt;5,"2-4 Years",
HR_Data[[#This Row],[YearsAtCompany]]&lt;10,"5-9 Years",
TRUE,"10+ Years"
)</f>
        <v>2-4 Years</v>
      </c>
      <c r="AM232" s="1">
        <f>IF(HR_Data[[#This Row],[Attrition]]="Yes",1,0)</f>
        <v>0</v>
      </c>
    </row>
    <row r="233" spans="1:39" x14ac:dyDescent="0.3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 cm="1">
        <f t="array" ref="AJ233">_xlfn.IFS(
HR_Data[[#This Row],[Age]]&lt;25,"Under 25",
HR_Data[[#This Row],[Age]]&lt;35,"25-34",
HR_Data[[#This Row],[Age]]&lt;45,"35-44",
HR_Data[[#This Row],[Age]]&lt;55,"45-54",
TRUE,"55+"
)</f>
        <v>35-44</v>
      </c>
      <c r="AK233" t="str" cm="1">
        <f t="array" ref="AK233">_xlfn.IFS(
HR_Data[[#This Row],[MonthlyIncome]]&lt;3000,"&lt;3K",
HR_Data[[#This Row],[MonthlyIncome]]&lt;6000,"3K-6K",
HR_Data[[#This Row],[MonthlyIncome]]&lt;10000,"6K-10K",
TRUE,"10K+"
)</f>
        <v>10K+</v>
      </c>
      <c r="AL233" t="str" cm="1">
        <f t="array" ref="AL233">_xlfn.IFS(
HR_Data[[#This Row],[YearsAtCompany]]&lt;2,"&lt;2 Years",
HR_Data[[#This Row],[YearsAtCompany]]&lt;5,"2-4 Years",
HR_Data[[#This Row],[YearsAtCompany]]&lt;10,"5-9 Years",
TRUE,"10+ Years"
)</f>
        <v>10+ Years</v>
      </c>
      <c r="AM233" s="1">
        <f>IF(HR_Data[[#This Row],[Attrition]]="Yes",1,0)</f>
        <v>0</v>
      </c>
    </row>
    <row r="234" spans="1:39" x14ac:dyDescent="0.3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 cm="1">
        <f t="array" ref="AJ234">_xlfn.IFS(
HR_Data[[#This Row],[Age]]&lt;25,"Under 25",
HR_Data[[#This Row],[Age]]&lt;35,"25-34",
HR_Data[[#This Row],[Age]]&lt;45,"35-44",
HR_Data[[#This Row],[Age]]&lt;55,"45-54",
TRUE,"55+"
)</f>
        <v>55+</v>
      </c>
      <c r="AK234" t="str" cm="1">
        <f t="array" ref="AK234">_xlfn.IFS(
HR_Data[[#This Row],[MonthlyIncome]]&lt;3000,"&lt;3K",
HR_Data[[#This Row],[MonthlyIncome]]&lt;6000,"3K-6K",
HR_Data[[#This Row],[MonthlyIncome]]&lt;10000,"6K-10K",
TRUE,"10K+"
)</f>
        <v>&lt;3K</v>
      </c>
      <c r="AL234" t="str" cm="1">
        <f t="array" ref="AL234">_xlfn.IFS(
HR_Data[[#This Row],[YearsAtCompany]]&lt;2,"&lt;2 Years",
HR_Data[[#This Row],[YearsAtCompany]]&lt;5,"2-4 Years",
HR_Data[[#This Row],[YearsAtCompany]]&lt;10,"5-9 Years",
TRUE,"10+ Years"
)</f>
        <v>2-4 Years</v>
      </c>
      <c r="AM234" s="1">
        <f>IF(HR_Data[[#This Row],[Attrition]]="Yes",1,0)</f>
        <v>0</v>
      </c>
    </row>
    <row r="235" spans="1:39" x14ac:dyDescent="0.3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 cm="1">
        <f t="array" ref="AJ235">_xlfn.IFS(
HR_Data[[#This Row],[Age]]&lt;25,"Under 25",
HR_Data[[#This Row],[Age]]&lt;35,"25-34",
HR_Data[[#This Row],[Age]]&lt;45,"35-44",
HR_Data[[#This Row],[Age]]&lt;55,"45-54",
TRUE,"55+"
)</f>
        <v>45-54</v>
      </c>
      <c r="AK235" t="str" cm="1">
        <f t="array" ref="AK235">_xlfn.IFS(
HR_Data[[#This Row],[MonthlyIncome]]&lt;3000,"&lt;3K",
HR_Data[[#This Row],[MonthlyIncome]]&lt;6000,"3K-6K",
HR_Data[[#This Row],[MonthlyIncome]]&lt;10000,"6K-10K",
TRUE,"10K+"
)</f>
        <v>10K+</v>
      </c>
      <c r="AL235" t="str" cm="1">
        <f t="array" ref="AL235">_xlfn.IFS(
HR_Data[[#This Row],[YearsAtCompany]]&lt;2,"&lt;2 Years",
HR_Data[[#This Row],[YearsAtCompany]]&lt;5,"2-4 Years",
HR_Data[[#This Row],[YearsAtCompany]]&lt;10,"5-9 Years",
TRUE,"10+ Years"
)</f>
        <v>5-9 Years</v>
      </c>
      <c r="AM235" s="1">
        <f>IF(HR_Data[[#This Row],[Attrition]]="Yes",1,0)</f>
        <v>0</v>
      </c>
    </row>
    <row r="236" spans="1:39" x14ac:dyDescent="0.3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 cm="1">
        <f t="array" ref="AJ236">_xlfn.IFS(
HR_Data[[#This Row],[Age]]&lt;25,"Under 25",
HR_Data[[#This Row],[Age]]&lt;35,"25-34",
HR_Data[[#This Row],[Age]]&lt;45,"35-44",
HR_Data[[#This Row],[Age]]&lt;55,"45-54",
TRUE,"55+"
)</f>
        <v>25-34</v>
      </c>
      <c r="AK236" t="str" cm="1">
        <f t="array" ref="AK236">_xlfn.IFS(
HR_Data[[#This Row],[MonthlyIncome]]&lt;3000,"&lt;3K",
HR_Data[[#This Row],[MonthlyIncome]]&lt;6000,"3K-6K",
HR_Data[[#This Row],[MonthlyIncome]]&lt;10000,"6K-10K",
TRUE,"10K+"
)</f>
        <v>&lt;3K</v>
      </c>
      <c r="AL236" t="str" cm="1">
        <f t="array" ref="AL236">_xlfn.IFS(
HR_Data[[#This Row],[YearsAtCompany]]&lt;2,"&lt;2 Years",
HR_Data[[#This Row],[YearsAtCompany]]&lt;5,"2-4 Years",
HR_Data[[#This Row],[YearsAtCompany]]&lt;10,"5-9 Years",
TRUE,"10+ Years"
)</f>
        <v>5-9 Years</v>
      </c>
      <c r="AM236" s="1">
        <f>IF(HR_Data[[#This Row],[Attrition]]="Yes",1,0)</f>
        <v>1</v>
      </c>
    </row>
    <row r="237" spans="1:39" x14ac:dyDescent="0.3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 cm="1">
        <f t="array" ref="AJ237">_xlfn.IFS(
HR_Data[[#This Row],[Age]]&lt;25,"Under 25",
HR_Data[[#This Row],[Age]]&lt;35,"25-34",
HR_Data[[#This Row],[Age]]&lt;45,"35-44",
HR_Data[[#This Row],[Age]]&lt;55,"45-54",
TRUE,"55+"
)</f>
        <v>35-44</v>
      </c>
      <c r="AK237" t="str" cm="1">
        <f t="array" ref="AK237">_xlfn.IFS(
HR_Data[[#This Row],[MonthlyIncome]]&lt;3000,"&lt;3K",
HR_Data[[#This Row],[MonthlyIncome]]&lt;6000,"3K-6K",
HR_Data[[#This Row],[MonthlyIncome]]&lt;10000,"6K-10K",
TRUE,"10K+"
)</f>
        <v>10K+</v>
      </c>
      <c r="AL237" t="str" cm="1">
        <f t="array" ref="AL237">_xlfn.IFS(
HR_Data[[#This Row],[YearsAtCompany]]&lt;2,"&lt;2 Years",
HR_Data[[#This Row],[YearsAtCompany]]&lt;5,"2-4 Years",
HR_Data[[#This Row],[YearsAtCompany]]&lt;10,"5-9 Years",
TRUE,"10+ Years"
)</f>
        <v>10+ Years</v>
      </c>
      <c r="AM237" s="1">
        <f>IF(HR_Data[[#This Row],[Attrition]]="Yes",1,0)</f>
        <v>0</v>
      </c>
    </row>
    <row r="238" spans="1:39" x14ac:dyDescent="0.3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 cm="1">
        <f t="array" ref="AJ238">_xlfn.IFS(
HR_Data[[#This Row],[Age]]&lt;25,"Under 25",
HR_Data[[#This Row],[Age]]&lt;35,"25-34",
HR_Data[[#This Row],[Age]]&lt;45,"35-44",
HR_Data[[#This Row],[Age]]&lt;55,"45-54",
TRUE,"55+"
)</f>
        <v>25-34</v>
      </c>
      <c r="AK238" t="str" cm="1">
        <f t="array" ref="AK238">_xlfn.IFS(
HR_Data[[#This Row],[MonthlyIncome]]&lt;3000,"&lt;3K",
HR_Data[[#This Row],[MonthlyIncome]]&lt;6000,"3K-6K",
HR_Data[[#This Row],[MonthlyIncome]]&lt;10000,"6K-10K",
TRUE,"10K+"
)</f>
        <v>&lt;3K</v>
      </c>
      <c r="AL238" t="str" cm="1">
        <f t="array" ref="AL238">_xlfn.IFS(
HR_Data[[#This Row],[YearsAtCompany]]&lt;2,"&lt;2 Years",
HR_Data[[#This Row],[YearsAtCompany]]&lt;5,"2-4 Years",
HR_Data[[#This Row],[YearsAtCompany]]&lt;10,"5-9 Years",
TRUE,"10+ Years"
)</f>
        <v>5-9 Years</v>
      </c>
      <c r="AM238" s="1">
        <f>IF(HR_Data[[#This Row],[Attrition]]="Yes",1,0)</f>
        <v>1</v>
      </c>
    </row>
    <row r="239" spans="1:39" x14ac:dyDescent="0.3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 cm="1">
        <f t="array" ref="AJ239">_xlfn.IFS(
HR_Data[[#This Row],[Age]]&lt;25,"Under 25",
HR_Data[[#This Row],[Age]]&lt;35,"25-34",
HR_Data[[#This Row],[Age]]&lt;45,"35-44",
HR_Data[[#This Row],[Age]]&lt;55,"45-54",
TRUE,"55+"
)</f>
        <v>45-54</v>
      </c>
      <c r="AK239" t="str" cm="1">
        <f t="array" ref="AK239">_xlfn.IFS(
HR_Data[[#This Row],[MonthlyIncome]]&lt;3000,"&lt;3K",
HR_Data[[#This Row],[MonthlyIncome]]&lt;6000,"3K-6K",
HR_Data[[#This Row],[MonthlyIncome]]&lt;10000,"6K-10K",
TRUE,"10K+"
)</f>
        <v>10K+</v>
      </c>
      <c r="AL239" t="str" cm="1">
        <f t="array" ref="AL239">_xlfn.IFS(
HR_Data[[#This Row],[YearsAtCompany]]&lt;2,"&lt;2 Years",
HR_Data[[#This Row],[YearsAtCompany]]&lt;5,"2-4 Years",
HR_Data[[#This Row],[YearsAtCompany]]&lt;10,"5-9 Years",
TRUE,"10+ Years"
)</f>
        <v>10+ Years</v>
      </c>
      <c r="AM239" s="1">
        <f>IF(HR_Data[[#This Row],[Attrition]]="Yes",1,0)</f>
        <v>0</v>
      </c>
    </row>
    <row r="240" spans="1:39" x14ac:dyDescent="0.3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 cm="1">
        <f t="array" ref="AJ240">_xlfn.IFS(
HR_Data[[#This Row],[Age]]&lt;25,"Under 25",
HR_Data[[#This Row],[Age]]&lt;35,"25-34",
HR_Data[[#This Row],[Age]]&lt;45,"35-44",
HR_Data[[#This Row],[Age]]&lt;55,"45-54",
TRUE,"55+"
)</f>
        <v>25-34</v>
      </c>
      <c r="AK240" t="str" cm="1">
        <f t="array" ref="AK240">_xlfn.IFS(
HR_Data[[#This Row],[MonthlyIncome]]&lt;3000,"&lt;3K",
HR_Data[[#This Row],[MonthlyIncome]]&lt;6000,"3K-6K",
HR_Data[[#This Row],[MonthlyIncome]]&lt;10000,"6K-10K",
TRUE,"10K+"
)</f>
        <v>3K-6K</v>
      </c>
      <c r="AL240" t="str" cm="1">
        <f t="array" ref="AL240">_xlfn.IFS(
HR_Data[[#This Row],[YearsAtCompany]]&lt;2,"&lt;2 Years",
HR_Data[[#This Row],[YearsAtCompany]]&lt;5,"2-4 Years",
HR_Data[[#This Row],[YearsAtCompany]]&lt;10,"5-9 Years",
TRUE,"10+ Years"
)</f>
        <v>2-4 Years</v>
      </c>
      <c r="AM240" s="1">
        <f>IF(HR_Data[[#This Row],[Attrition]]="Yes",1,0)</f>
        <v>0</v>
      </c>
    </row>
    <row r="241" spans="1:39" x14ac:dyDescent="0.3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 cm="1">
        <f t="array" ref="AJ241">_xlfn.IFS(
HR_Data[[#This Row],[Age]]&lt;25,"Under 25",
HR_Data[[#This Row],[Age]]&lt;35,"25-34",
HR_Data[[#This Row],[Age]]&lt;45,"35-44",
HR_Data[[#This Row],[Age]]&lt;55,"45-54",
TRUE,"55+"
)</f>
        <v>25-34</v>
      </c>
      <c r="AK241" t="str" cm="1">
        <f t="array" ref="AK241">_xlfn.IFS(
HR_Data[[#This Row],[MonthlyIncome]]&lt;3000,"&lt;3K",
HR_Data[[#This Row],[MonthlyIncome]]&lt;6000,"3K-6K",
HR_Data[[#This Row],[MonthlyIncome]]&lt;10000,"6K-10K",
TRUE,"10K+"
)</f>
        <v>3K-6K</v>
      </c>
      <c r="AL241" t="str" cm="1">
        <f t="array" ref="AL241">_xlfn.IFS(
HR_Data[[#This Row],[YearsAtCompany]]&lt;2,"&lt;2 Years",
HR_Data[[#This Row],[YearsAtCompany]]&lt;5,"2-4 Years",
HR_Data[[#This Row],[YearsAtCompany]]&lt;10,"5-9 Years",
TRUE,"10+ Years"
)</f>
        <v>2-4 Years</v>
      </c>
      <c r="AM241" s="1">
        <f>IF(HR_Data[[#This Row],[Attrition]]="Yes",1,0)</f>
        <v>1</v>
      </c>
    </row>
    <row r="242" spans="1:39" x14ac:dyDescent="0.3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 cm="1">
        <f t="array" ref="AJ242">_xlfn.IFS(
HR_Data[[#This Row],[Age]]&lt;25,"Under 25",
HR_Data[[#This Row],[Age]]&lt;35,"25-34",
HR_Data[[#This Row],[Age]]&lt;45,"35-44",
HR_Data[[#This Row],[Age]]&lt;55,"45-54",
TRUE,"55+"
)</f>
        <v>35-44</v>
      </c>
      <c r="AK242" t="str" cm="1">
        <f t="array" ref="AK242">_xlfn.IFS(
HR_Data[[#This Row],[MonthlyIncome]]&lt;3000,"&lt;3K",
HR_Data[[#This Row],[MonthlyIncome]]&lt;6000,"3K-6K",
HR_Data[[#This Row],[MonthlyIncome]]&lt;10000,"6K-10K",
TRUE,"10K+"
)</f>
        <v>&lt;3K</v>
      </c>
      <c r="AL242" t="str" cm="1">
        <f t="array" ref="AL242">_xlfn.IFS(
HR_Data[[#This Row],[YearsAtCompany]]&lt;2,"&lt;2 Years",
HR_Data[[#This Row],[YearsAtCompany]]&lt;5,"2-4 Years",
HR_Data[[#This Row],[YearsAtCompany]]&lt;10,"5-9 Years",
TRUE,"10+ Years"
)</f>
        <v>2-4 Years</v>
      </c>
      <c r="AM242" s="1">
        <f>IF(HR_Data[[#This Row],[Attrition]]="Yes",1,0)</f>
        <v>0</v>
      </c>
    </row>
    <row r="243" spans="1:39" x14ac:dyDescent="0.3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 cm="1">
        <f t="array" ref="AJ243">_xlfn.IFS(
HR_Data[[#This Row],[Age]]&lt;25,"Under 25",
HR_Data[[#This Row],[Age]]&lt;35,"25-34",
HR_Data[[#This Row],[Age]]&lt;45,"35-44",
HR_Data[[#This Row],[Age]]&lt;55,"45-54",
TRUE,"55+"
)</f>
        <v>25-34</v>
      </c>
      <c r="AK243" t="str" cm="1">
        <f t="array" ref="AK243">_xlfn.IFS(
HR_Data[[#This Row],[MonthlyIncome]]&lt;3000,"&lt;3K",
HR_Data[[#This Row],[MonthlyIncome]]&lt;6000,"3K-6K",
HR_Data[[#This Row],[MonthlyIncome]]&lt;10000,"6K-10K",
TRUE,"10K+"
)</f>
        <v>3K-6K</v>
      </c>
      <c r="AL243" t="str" cm="1">
        <f t="array" ref="AL243">_xlfn.IFS(
HR_Data[[#This Row],[YearsAtCompany]]&lt;2,"&lt;2 Years",
HR_Data[[#This Row],[YearsAtCompany]]&lt;5,"2-4 Years",
HR_Data[[#This Row],[YearsAtCompany]]&lt;10,"5-9 Years",
TRUE,"10+ Years"
)</f>
        <v>2-4 Years</v>
      </c>
      <c r="AM243" s="1">
        <f>IF(HR_Data[[#This Row],[Attrition]]="Yes",1,0)</f>
        <v>0</v>
      </c>
    </row>
    <row r="244" spans="1:39" x14ac:dyDescent="0.3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 cm="1">
        <f t="array" ref="AJ244">_xlfn.IFS(
HR_Data[[#This Row],[Age]]&lt;25,"Under 25",
HR_Data[[#This Row],[Age]]&lt;35,"25-34",
HR_Data[[#This Row],[Age]]&lt;45,"35-44",
HR_Data[[#This Row],[Age]]&lt;55,"45-54",
TRUE,"55+"
)</f>
        <v>35-44</v>
      </c>
      <c r="AK244" t="str" cm="1">
        <f t="array" ref="AK244">_xlfn.IFS(
HR_Data[[#This Row],[MonthlyIncome]]&lt;3000,"&lt;3K",
HR_Data[[#This Row],[MonthlyIncome]]&lt;6000,"3K-6K",
HR_Data[[#This Row],[MonthlyIncome]]&lt;10000,"6K-10K",
TRUE,"10K+"
)</f>
        <v>3K-6K</v>
      </c>
      <c r="AL244" t="str" cm="1">
        <f t="array" ref="AL244">_xlfn.IFS(
HR_Data[[#This Row],[YearsAtCompany]]&lt;2,"&lt;2 Years",
HR_Data[[#This Row],[YearsAtCompany]]&lt;5,"2-4 Years",
HR_Data[[#This Row],[YearsAtCompany]]&lt;10,"5-9 Years",
TRUE,"10+ Years"
)</f>
        <v>&lt;2 Years</v>
      </c>
      <c r="AM244" s="1">
        <f>IF(HR_Data[[#This Row],[Attrition]]="Yes",1,0)</f>
        <v>0</v>
      </c>
    </row>
    <row r="245" spans="1:39" x14ac:dyDescent="0.3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 cm="1">
        <f t="array" ref="AJ245">_xlfn.IFS(
HR_Data[[#This Row],[Age]]&lt;25,"Under 25",
HR_Data[[#This Row],[Age]]&lt;35,"25-34",
HR_Data[[#This Row],[Age]]&lt;45,"35-44",
HR_Data[[#This Row],[Age]]&lt;55,"45-54",
TRUE,"55+"
)</f>
        <v>35-44</v>
      </c>
      <c r="AK245" t="str" cm="1">
        <f t="array" ref="AK245">_xlfn.IFS(
HR_Data[[#This Row],[MonthlyIncome]]&lt;3000,"&lt;3K",
HR_Data[[#This Row],[MonthlyIncome]]&lt;6000,"3K-6K",
HR_Data[[#This Row],[MonthlyIncome]]&lt;10000,"6K-10K",
TRUE,"10K+"
)</f>
        <v>3K-6K</v>
      </c>
      <c r="AL245" t="str" cm="1">
        <f t="array" ref="AL245">_xlfn.IFS(
HR_Data[[#This Row],[YearsAtCompany]]&lt;2,"&lt;2 Years",
HR_Data[[#This Row],[YearsAtCompany]]&lt;5,"2-4 Years",
HR_Data[[#This Row],[YearsAtCompany]]&lt;10,"5-9 Years",
TRUE,"10+ Years"
)</f>
        <v>5-9 Years</v>
      </c>
      <c r="AM245" s="1">
        <f>IF(HR_Data[[#This Row],[Attrition]]="Yes",1,0)</f>
        <v>0</v>
      </c>
    </row>
    <row r="246" spans="1:39" x14ac:dyDescent="0.3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 cm="1">
        <f t="array" ref="AJ246">_xlfn.IFS(
HR_Data[[#This Row],[Age]]&lt;25,"Under 25",
HR_Data[[#This Row],[Age]]&lt;35,"25-34",
HR_Data[[#This Row],[Age]]&lt;45,"35-44",
HR_Data[[#This Row],[Age]]&lt;55,"45-54",
TRUE,"55+"
)</f>
        <v>45-54</v>
      </c>
      <c r="AK246" t="str" cm="1">
        <f t="array" ref="AK246">_xlfn.IFS(
HR_Data[[#This Row],[MonthlyIncome]]&lt;3000,"&lt;3K",
HR_Data[[#This Row],[MonthlyIncome]]&lt;6000,"3K-6K",
HR_Data[[#This Row],[MonthlyIncome]]&lt;10000,"6K-10K",
TRUE,"10K+"
)</f>
        <v>10K+</v>
      </c>
      <c r="AL246" t="str" cm="1">
        <f t="array" ref="AL246">_xlfn.IFS(
HR_Data[[#This Row],[YearsAtCompany]]&lt;2,"&lt;2 Years",
HR_Data[[#This Row],[YearsAtCompany]]&lt;5,"2-4 Years",
HR_Data[[#This Row],[YearsAtCompany]]&lt;10,"5-9 Years",
TRUE,"10+ Years"
)</f>
        <v>10+ Years</v>
      </c>
      <c r="AM246" s="1">
        <f>IF(HR_Data[[#This Row],[Attrition]]="Yes",1,0)</f>
        <v>0</v>
      </c>
    </row>
    <row r="247" spans="1:39" x14ac:dyDescent="0.3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 cm="1">
        <f t="array" ref="AJ247">_xlfn.IFS(
HR_Data[[#This Row],[Age]]&lt;25,"Under 25",
HR_Data[[#This Row],[Age]]&lt;35,"25-34",
HR_Data[[#This Row],[Age]]&lt;45,"35-44",
HR_Data[[#This Row],[Age]]&lt;55,"45-54",
TRUE,"55+"
)</f>
        <v>25-34</v>
      </c>
      <c r="AK247" t="str" cm="1">
        <f t="array" ref="AK247">_xlfn.IFS(
HR_Data[[#This Row],[MonthlyIncome]]&lt;3000,"&lt;3K",
HR_Data[[#This Row],[MonthlyIncome]]&lt;6000,"3K-6K",
HR_Data[[#This Row],[MonthlyIncome]]&lt;10000,"6K-10K",
TRUE,"10K+"
)</f>
        <v>10K+</v>
      </c>
      <c r="AL247" t="str" cm="1">
        <f t="array" ref="AL247">_xlfn.IFS(
HR_Data[[#This Row],[YearsAtCompany]]&lt;2,"&lt;2 Years",
HR_Data[[#This Row],[YearsAtCompany]]&lt;5,"2-4 Years",
HR_Data[[#This Row],[YearsAtCompany]]&lt;10,"5-9 Years",
TRUE,"10+ Years"
)</f>
        <v>2-4 Years</v>
      </c>
      <c r="AM247" s="1">
        <f>IF(HR_Data[[#This Row],[Attrition]]="Yes",1,0)</f>
        <v>0</v>
      </c>
    </row>
    <row r="248" spans="1:39" x14ac:dyDescent="0.3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 cm="1">
        <f t="array" ref="AJ248">_xlfn.IFS(
HR_Data[[#This Row],[Age]]&lt;25,"Under 25",
HR_Data[[#This Row],[Age]]&lt;35,"25-34",
HR_Data[[#This Row],[Age]]&lt;45,"35-44",
HR_Data[[#This Row],[Age]]&lt;55,"45-54",
TRUE,"55+"
)</f>
        <v>25-34</v>
      </c>
      <c r="AK248" t="str" cm="1">
        <f t="array" ref="AK248">_xlfn.IFS(
HR_Data[[#This Row],[MonthlyIncome]]&lt;3000,"&lt;3K",
HR_Data[[#This Row],[MonthlyIncome]]&lt;6000,"3K-6K",
HR_Data[[#This Row],[MonthlyIncome]]&lt;10000,"6K-10K",
TRUE,"10K+"
)</f>
        <v>&lt;3K</v>
      </c>
      <c r="AL248" t="str" cm="1">
        <f t="array" ref="AL248">_xlfn.IFS(
HR_Data[[#This Row],[YearsAtCompany]]&lt;2,"&lt;2 Years",
HR_Data[[#This Row],[YearsAtCompany]]&lt;5,"2-4 Years",
HR_Data[[#This Row],[YearsAtCompany]]&lt;10,"5-9 Years",
TRUE,"10+ Years"
)</f>
        <v>2-4 Years</v>
      </c>
      <c r="AM248" s="1">
        <f>IF(HR_Data[[#This Row],[Attrition]]="Yes",1,0)</f>
        <v>0</v>
      </c>
    </row>
    <row r="249" spans="1:39" x14ac:dyDescent="0.3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 cm="1">
        <f t="array" ref="AJ249">_xlfn.IFS(
HR_Data[[#This Row],[Age]]&lt;25,"Under 25",
HR_Data[[#This Row],[Age]]&lt;35,"25-34",
HR_Data[[#This Row],[Age]]&lt;45,"35-44",
HR_Data[[#This Row],[Age]]&lt;55,"45-54",
TRUE,"55+"
)</f>
        <v>25-34</v>
      </c>
      <c r="AK249" t="str" cm="1">
        <f t="array" ref="AK249">_xlfn.IFS(
HR_Data[[#This Row],[MonthlyIncome]]&lt;3000,"&lt;3K",
HR_Data[[#This Row],[MonthlyIncome]]&lt;6000,"3K-6K",
HR_Data[[#This Row],[MonthlyIncome]]&lt;10000,"6K-10K",
TRUE,"10K+"
)</f>
        <v>3K-6K</v>
      </c>
      <c r="AL249" t="str" cm="1">
        <f t="array" ref="AL249">_xlfn.IFS(
HR_Data[[#This Row],[YearsAtCompany]]&lt;2,"&lt;2 Years",
HR_Data[[#This Row],[YearsAtCompany]]&lt;5,"2-4 Years",
HR_Data[[#This Row],[YearsAtCompany]]&lt;10,"5-9 Years",
TRUE,"10+ Years"
)</f>
        <v>10+ Years</v>
      </c>
      <c r="AM249" s="1">
        <f>IF(HR_Data[[#This Row],[Attrition]]="Yes",1,0)</f>
        <v>0</v>
      </c>
    </row>
    <row r="250" spans="1:39" x14ac:dyDescent="0.3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 cm="1">
        <f t="array" ref="AJ250">_xlfn.IFS(
HR_Data[[#This Row],[Age]]&lt;25,"Under 25",
HR_Data[[#This Row],[Age]]&lt;35,"25-34",
HR_Data[[#This Row],[Age]]&lt;45,"35-44",
HR_Data[[#This Row],[Age]]&lt;55,"45-54",
TRUE,"55+"
)</f>
        <v>35-44</v>
      </c>
      <c r="AK250" t="str" cm="1">
        <f t="array" ref="AK250">_xlfn.IFS(
HR_Data[[#This Row],[MonthlyIncome]]&lt;3000,"&lt;3K",
HR_Data[[#This Row],[MonthlyIncome]]&lt;6000,"3K-6K",
HR_Data[[#This Row],[MonthlyIncome]]&lt;10000,"6K-10K",
TRUE,"10K+"
)</f>
        <v>3K-6K</v>
      </c>
      <c r="AL250" t="str" cm="1">
        <f t="array" ref="AL250">_xlfn.IFS(
HR_Data[[#This Row],[YearsAtCompany]]&lt;2,"&lt;2 Years",
HR_Data[[#This Row],[YearsAtCompany]]&lt;5,"2-4 Years",
HR_Data[[#This Row],[YearsAtCompany]]&lt;10,"5-9 Years",
TRUE,"10+ Years"
)</f>
        <v>2-4 Years</v>
      </c>
      <c r="AM250" s="1">
        <f>IF(HR_Data[[#This Row],[Attrition]]="Yes",1,0)</f>
        <v>0</v>
      </c>
    </row>
    <row r="251" spans="1:39" x14ac:dyDescent="0.3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 cm="1">
        <f t="array" ref="AJ251">_xlfn.IFS(
HR_Data[[#This Row],[Age]]&lt;25,"Under 25",
HR_Data[[#This Row],[Age]]&lt;35,"25-34",
HR_Data[[#This Row],[Age]]&lt;45,"35-44",
HR_Data[[#This Row],[Age]]&lt;55,"45-54",
TRUE,"55+"
)</f>
        <v>45-54</v>
      </c>
      <c r="AK251" t="str" cm="1">
        <f t="array" ref="AK251">_xlfn.IFS(
HR_Data[[#This Row],[MonthlyIncome]]&lt;3000,"&lt;3K",
HR_Data[[#This Row],[MonthlyIncome]]&lt;6000,"3K-6K",
HR_Data[[#This Row],[MonthlyIncome]]&lt;10000,"6K-10K",
TRUE,"10K+"
)</f>
        <v>6K-10K</v>
      </c>
      <c r="AL251" t="str" cm="1">
        <f t="array" ref="AL251">_xlfn.IFS(
HR_Data[[#This Row],[YearsAtCompany]]&lt;2,"&lt;2 Years",
HR_Data[[#This Row],[YearsAtCompany]]&lt;5,"2-4 Years",
HR_Data[[#This Row],[YearsAtCompany]]&lt;10,"5-9 Years",
TRUE,"10+ Years"
)</f>
        <v>2-4 Years</v>
      </c>
      <c r="AM251" s="1">
        <f>IF(HR_Data[[#This Row],[Attrition]]="Yes",1,0)</f>
        <v>0</v>
      </c>
    </row>
    <row r="252" spans="1:39" x14ac:dyDescent="0.3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 cm="1">
        <f t="array" ref="AJ252">_xlfn.IFS(
HR_Data[[#This Row],[Age]]&lt;25,"Under 25",
HR_Data[[#This Row],[Age]]&lt;35,"25-34",
HR_Data[[#This Row],[Age]]&lt;45,"35-44",
HR_Data[[#This Row],[Age]]&lt;55,"45-54",
TRUE,"55+"
)</f>
        <v>35-44</v>
      </c>
      <c r="AK252" t="str" cm="1">
        <f t="array" ref="AK252">_xlfn.IFS(
HR_Data[[#This Row],[MonthlyIncome]]&lt;3000,"&lt;3K",
HR_Data[[#This Row],[MonthlyIncome]]&lt;6000,"3K-6K",
HR_Data[[#This Row],[MonthlyIncome]]&lt;10000,"6K-10K",
TRUE,"10K+"
)</f>
        <v>10K+</v>
      </c>
      <c r="AL252" t="str" cm="1">
        <f t="array" ref="AL252">_xlfn.IFS(
HR_Data[[#This Row],[YearsAtCompany]]&lt;2,"&lt;2 Years",
HR_Data[[#This Row],[YearsAtCompany]]&lt;5,"2-4 Years",
HR_Data[[#This Row],[YearsAtCompany]]&lt;10,"5-9 Years",
TRUE,"10+ Years"
)</f>
        <v>&lt;2 Years</v>
      </c>
      <c r="AM252" s="1">
        <f>IF(HR_Data[[#This Row],[Attrition]]="Yes",1,0)</f>
        <v>1</v>
      </c>
    </row>
    <row r="253" spans="1:39" x14ac:dyDescent="0.3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 cm="1">
        <f t="array" ref="AJ253">_xlfn.IFS(
HR_Data[[#This Row],[Age]]&lt;25,"Under 25",
HR_Data[[#This Row],[Age]]&lt;35,"25-34",
HR_Data[[#This Row],[Age]]&lt;45,"35-44",
HR_Data[[#This Row],[Age]]&lt;55,"45-54",
TRUE,"55+"
)</f>
        <v>35-44</v>
      </c>
      <c r="AK253" t="str" cm="1">
        <f t="array" ref="AK253">_xlfn.IFS(
HR_Data[[#This Row],[MonthlyIncome]]&lt;3000,"&lt;3K",
HR_Data[[#This Row],[MonthlyIncome]]&lt;6000,"3K-6K",
HR_Data[[#This Row],[MonthlyIncome]]&lt;10000,"6K-10K",
TRUE,"10K+"
)</f>
        <v>10K+</v>
      </c>
      <c r="AL253" t="str" cm="1">
        <f t="array" ref="AL253">_xlfn.IFS(
HR_Data[[#This Row],[YearsAtCompany]]&lt;2,"&lt;2 Years",
HR_Data[[#This Row],[YearsAtCompany]]&lt;5,"2-4 Years",
HR_Data[[#This Row],[YearsAtCompany]]&lt;10,"5-9 Years",
TRUE,"10+ Years"
)</f>
        <v>10+ Years</v>
      </c>
      <c r="AM253" s="1">
        <f>IF(HR_Data[[#This Row],[Attrition]]="Yes",1,0)</f>
        <v>0</v>
      </c>
    </row>
    <row r="254" spans="1:39" x14ac:dyDescent="0.3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 cm="1">
        <f t="array" ref="AJ254">_xlfn.IFS(
HR_Data[[#This Row],[Age]]&lt;25,"Under 25",
HR_Data[[#This Row],[Age]]&lt;35,"25-34",
HR_Data[[#This Row],[Age]]&lt;45,"35-44",
HR_Data[[#This Row],[Age]]&lt;55,"45-54",
TRUE,"55+"
)</f>
        <v>25-34</v>
      </c>
      <c r="AK254" t="str" cm="1">
        <f t="array" ref="AK254">_xlfn.IFS(
HR_Data[[#This Row],[MonthlyIncome]]&lt;3000,"&lt;3K",
HR_Data[[#This Row],[MonthlyIncome]]&lt;6000,"3K-6K",
HR_Data[[#This Row],[MonthlyIncome]]&lt;10000,"6K-10K",
TRUE,"10K+"
)</f>
        <v>&lt;3K</v>
      </c>
      <c r="AL254" t="str" cm="1">
        <f t="array" ref="AL254">_xlfn.IFS(
HR_Data[[#This Row],[YearsAtCompany]]&lt;2,"&lt;2 Years",
HR_Data[[#This Row],[YearsAtCompany]]&lt;5,"2-4 Years",
HR_Data[[#This Row],[YearsAtCompany]]&lt;10,"5-9 Years",
TRUE,"10+ Years"
)</f>
        <v>5-9 Years</v>
      </c>
      <c r="AM254" s="1">
        <f>IF(HR_Data[[#This Row],[Attrition]]="Yes",1,0)</f>
        <v>0</v>
      </c>
    </row>
    <row r="255" spans="1:39" x14ac:dyDescent="0.3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 cm="1">
        <f t="array" ref="AJ255">_xlfn.IFS(
HR_Data[[#This Row],[Age]]&lt;25,"Under 25",
HR_Data[[#This Row],[Age]]&lt;35,"25-34",
HR_Data[[#This Row],[Age]]&lt;45,"35-44",
HR_Data[[#This Row],[Age]]&lt;55,"45-54",
TRUE,"55+"
)</f>
        <v>35-44</v>
      </c>
      <c r="AK255" t="str" cm="1">
        <f t="array" ref="AK255">_xlfn.IFS(
HR_Data[[#This Row],[MonthlyIncome]]&lt;3000,"&lt;3K",
HR_Data[[#This Row],[MonthlyIncome]]&lt;6000,"3K-6K",
HR_Data[[#This Row],[MonthlyIncome]]&lt;10000,"6K-10K",
TRUE,"10K+"
)</f>
        <v>6K-10K</v>
      </c>
      <c r="AL255" t="str" cm="1">
        <f t="array" ref="AL255">_xlfn.IFS(
HR_Data[[#This Row],[YearsAtCompany]]&lt;2,"&lt;2 Years",
HR_Data[[#This Row],[YearsAtCompany]]&lt;5,"2-4 Years",
HR_Data[[#This Row],[YearsAtCompany]]&lt;10,"5-9 Years",
TRUE,"10+ Years"
)</f>
        <v>2-4 Years</v>
      </c>
      <c r="AM255" s="1">
        <f>IF(HR_Data[[#This Row],[Attrition]]="Yes",1,0)</f>
        <v>0</v>
      </c>
    </row>
    <row r="256" spans="1:39" x14ac:dyDescent="0.3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 cm="1">
        <f t="array" ref="AJ256">_xlfn.IFS(
HR_Data[[#This Row],[Age]]&lt;25,"Under 25",
HR_Data[[#This Row],[Age]]&lt;35,"25-34",
HR_Data[[#This Row],[Age]]&lt;45,"35-44",
HR_Data[[#This Row],[Age]]&lt;55,"45-54",
TRUE,"55+"
)</f>
        <v>25-34</v>
      </c>
      <c r="AK256" t="str" cm="1">
        <f t="array" ref="AK256">_xlfn.IFS(
HR_Data[[#This Row],[MonthlyIncome]]&lt;3000,"&lt;3K",
HR_Data[[#This Row],[MonthlyIncome]]&lt;6000,"3K-6K",
HR_Data[[#This Row],[MonthlyIncome]]&lt;10000,"6K-10K",
TRUE,"10K+"
)</f>
        <v>6K-10K</v>
      </c>
      <c r="AL256" t="str" cm="1">
        <f t="array" ref="AL256">_xlfn.IFS(
HR_Data[[#This Row],[YearsAtCompany]]&lt;2,"&lt;2 Years",
HR_Data[[#This Row],[YearsAtCompany]]&lt;5,"2-4 Years",
HR_Data[[#This Row],[YearsAtCompany]]&lt;10,"5-9 Years",
TRUE,"10+ Years"
)</f>
        <v>2-4 Years</v>
      </c>
      <c r="AM256" s="1">
        <f>IF(HR_Data[[#This Row],[Attrition]]="Yes",1,0)</f>
        <v>0</v>
      </c>
    </row>
    <row r="257" spans="1:39" x14ac:dyDescent="0.3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 cm="1">
        <f t="array" ref="AJ257">_xlfn.IFS(
HR_Data[[#This Row],[Age]]&lt;25,"Under 25",
HR_Data[[#This Row],[Age]]&lt;35,"25-34",
HR_Data[[#This Row],[Age]]&lt;45,"35-44",
HR_Data[[#This Row],[Age]]&lt;55,"45-54",
TRUE,"55+"
)</f>
        <v>25-34</v>
      </c>
      <c r="AK257" t="str" cm="1">
        <f t="array" ref="AK257">_xlfn.IFS(
HR_Data[[#This Row],[MonthlyIncome]]&lt;3000,"&lt;3K",
HR_Data[[#This Row],[MonthlyIncome]]&lt;6000,"3K-6K",
HR_Data[[#This Row],[MonthlyIncome]]&lt;10000,"6K-10K",
TRUE,"10K+"
)</f>
        <v>3K-6K</v>
      </c>
      <c r="AL257" t="str" cm="1">
        <f t="array" ref="AL257">_xlfn.IFS(
HR_Data[[#This Row],[YearsAtCompany]]&lt;2,"&lt;2 Years",
HR_Data[[#This Row],[YearsAtCompany]]&lt;5,"2-4 Years",
HR_Data[[#This Row],[YearsAtCompany]]&lt;10,"5-9 Years",
TRUE,"10+ Years"
)</f>
        <v>2-4 Years</v>
      </c>
      <c r="AM257" s="1">
        <f>IF(HR_Data[[#This Row],[Attrition]]="Yes",1,0)</f>
        <v>0</v>
      </c>
    </row>
    <row r="258" spans="1:39" x14ac:dyDescent="0.3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 cm="1">
        <f t="array" ref="AJ258">_xlfn.IFS(
HR_Data[[#This Row],[Age]]&lt;25,"Under 25",
HR_Data[[#This Row],[Age]]&lt;35,"25-34",
HR_Data[[#This Row],[Age]]&lt;45,"35-44",
HR_Data[[#This Row],[Age]]&lt;55,"45-54",
TRUE,"55+"
)</f>
        <v>35-44</v>
      </c>
      <c r="AK258" t="str" cm="1">
        <f t="array" ref="AK258">_xlfn.IFS(
HR_Data[[#This Row],[MonthlyIncome]]&lt;3000,"&lt;3K",
HR_Data[[#This Row],[MonthlyIncome]]&lt;6000,"3K-6K",
HR_Data[[#This Row],[MonthlyIncome]]&lt;10000,"6K-10K",
TRUE,"10K+"
)</f>
        <v>&lt;3K</v>
      </c>
      <c r="AL258" t="str" cm="1">
        <f t="array" ref="AL258">_xlfn.IFS(
HR_Data[[#This Row],[YearsAtCompany]]&lt;2,"&lt;2 Years",
HR_Data[[#This Row],[YearsAtCompany]]&lt;5,"2-4 Years",
HR_Data[[#This Row],[YearsAtCompany]]&lt;10,"5-9 Years",
TRUE,"10+ Years"
)</f>
        <v>5-9 Years</v>
      </c>
      <c r="AM258" s="1">
        <f>IF(HR_Data[[#This Row],[Attrition]]="Yes",1,0)</f>
        <v>0</v>
      </c>
    </row>
    <row r="259" spans="1:39" x14ac:dyDescent="0.3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 cm="1">
        <f t="array" ref="AJ259">_xlfn.IFS(
HR_Data[[#This Row],[Age]]&lt;25,"Under 25",
HR_Data[[#This Row],[Age]]&lt;35,"25-34",
HR_Data[[#This Row],[Age]]&lt;45,"35-44",
HR_Data[[#This Row],[Age]]&lt;55,"45-54",
TRUE,"55+"
)</f>
        <v>35-44</v>
      </c>
      <c r="AK259" t="str" cm="1">
        <f t="array" ref="AK259">_xlfn.IFS(
HR_Data[[#This Row],[MonthlyIncome]]&lt;3000,"&lt;3K",
HR_Data[[#This Row],[MonthlyIncome]]&lt;6000,"3K-6K",
HR_Data[[#This Row],[MonthlyIncome]]&lt;10000,"6K-10K",
TRUE,"10K+"
)</f>
        <v>10K+</v>
      </c>
      <c r="AL259" t="str" cm="1">
        <f t="array" ref="AL259">_xlfn.IFS(
HR_Data[[#This Row],[YearsAtCompany]]&lt;2,"&lt;2 Years",
HR_Data[[#This Row],[YearsAtCompany]]&lt;5,"2-4 Years",
HR_Data[[#This Row],[YearsAtCompany]]&lt;10,"5-9 Years",
TRUE,"10+ Years"
)</f>
        <v>10+ Years</v>
      </c>
      <c r="AM259" s="1">
        <f>IF(HR_Data[[#This Row],[Attrition]]="Yes",1,0)</f>
        <v>0</v>
      </c>
    </row>
    <row r="260" spans="1:39" x14ac:dyDescent="0.3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 cm="1">
        <f t="array" ref="AJ260">_xlfn.IFS(
HR_Data[[#This Row],[Age]]&lt;25,"Under 25",
HR_Data[[#This Row],[Age]]&lt;35,"25-34",
HR_Data[[#This Row],[Age]]&lt;45,"35-44",
HR_Data[[#This Row],[Age]]&lt;55,"45-54",
TRUE,"55+"
)</f>
        <v>45-54</v>
      </c>
      <c r="AK260" t="str" cm="1">
        <f t="array" ref="AK260">_xlfn.IFS(
HR_Data[[#This Row],[MonthlyIncome]]&lt;3000,"&lt;3K",
HR_Data[[#This Row],[MonthlyIncome]]&lt;6000,"3K-6K",
HR_Data[[#This Row],[MonthlyIncome]]&lt;10000,"6K-10K",
TRUE,"10K+"
)</f>
        <v>&lt;3K</v>
      </c>
      <c r="AL260" t="str" cm="1">
        <f t="array" ref="AL260">_xlfn.IFS(
HR_Data[[#This Row],[YearsAtCompany]]&lt;2,"&lt;2 Years",
HR_Data[[#This Row],[YearsAtCompany]]&lt;5,"2-4 Years",
HR_Data[[#This Row],[YearsAtCompany]]&lt;10,"5-9 Years",
TRUE,"10+ Years"
)</f>
        <v>&lt;2 Years</v>
      </c>
      <c r="AM260" s="1">
        <f>IF(HR_Data[[#This Row],[Attrition]]="Yes",1,0)</f>
        <v>0</v>
      </c>
    </row>
    <row r="261" spans="1:39" x14ac:dyDescent="0.3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 cm="1">
        <f t="array" ref="AJ261">_xlfn.IFS(
HR_Data[[#This Row],[Age]]&lt;25,"Under 25",
HR_Data[[#This Row],[Age]]&lt;35,"25-34",
HR_Data[[#This Row],[Age]]&lt;45,"35-44",
HR_Data[[#This Row],[Age]]&lt;55,"45-54",
TRUE,"55+"
)</f>
        <v>25-34</v>
      </c>
      <c r="AK261" t="str" cm="1">
        <f t="array" ref="AK261">_xlfn.IFS(
HR_Data[[#This Row],[MonthlyIncome]]&lt;3000,"&lt;3K",
HR_Data[[#This Row],[MonthlyIncome]]&lt;6000,"3K-6K",
HR_Data[[#This Row],[MonthlyIncome]]&lt;10000,"6K-10K",
TRUE,"10K+"
)</f>
        <v>3K-6K</v>
      </c>
      <c r="AL261" t="str" cm="1">
        <f t="array" ref="AL261">_xlfn.IFS(
HR_Data[[#This Row],[YearsAtCompany]]&lt;2,"&lt;2 Years",
HR_Data[[#This Row],[YearsAtCompany]]&lt;5,"2-4 Years",
HR_Data[[#This Row],[YearsAtCompany]]&lt;10,"5-9 Years",
TRUE,"10+ Years"
)</f>
        <v>5-9 Years</v>
      </c>
      <c r="AM261" s="1">
        <f>IF(HR_Data[[#This Row],[Attrition]]="Yes",1,0)</f>
        <v>1</v>
      </c>
    </row>
    <row r="262" spans="1:39" x14ac:dyDescent="0.3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 cm="1">
        <f t="array" ref="AJ262">_xlfn.IFS(
HR_Data[[#This Row],[Age]]&lt;25,"Under 25",
HR_Data[[#This Row],[Age]]&lt;35,"25-34",
HR_Data[[#This Row],[Age]]&lt;45,"35-44",
HR_Data[[#This Row],[Age]]&lt;55,"45-54",
TRUE,"55+"
)</f>
        <v>25-34</v>
      </c>
      <c r="AK262" t="str" cm="1">
        <f t="array" ref="AK262">_xlfn.IFS(
HR_Data[[#This Row],[MonthlyIncome]]&lt;3000,"&lt;3K",
HR_Data[[#This Row],[MonthlyIncome]]&lt;6000,"3K-6K",
HR_Data[[#This Row],[MonthlyIncome]]&lt;10000,"6K-10K",
TRUE,"10K+"
)</f>
        <v>&lt;3K</v>
      </c>
      <c r="AL262" t="str" cm="1">
        <f t="array" ref="AL262">_xlfn.IFS(
HR_Data[[#This Row],[YearsAtCompany]]&lt;2,"&lt;2 Years",
HR_Data[[#This Row],[YearsAtCompany]]&lt;5,"2-4 Years",
HR_Data[[#This Row],[YearsAtCompany]]&lt;10,"5-9 Years",
TRUE,"10+ Years"
)</f>
        <v>5-9 Years</v>
      </c>
      <c r="AM262" s="1">
        <f>IF(HR_Data[[#This Row],[Attrition]]="Yes",1,0)</f>
        <v>0</v>
      </c>
    </row>
    <row r="263" spans="1:39" x14ac:dyDescent="0.3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 cm="1">
        <f t="array" ref="AJ263">_xlfn.IFS(
HR_Data[[#This Row],[Age]]&lt;25,"Under 25",
HR_Data[[#This Row],[Age]]&lt;35,"25-34",
HR_Data[[#This Row],[Age]]&lt;45,"35-44",
HR_Data[[#This Row],[Age]]&lt;55,"45-54",
TRUE,"55+"
)</f>
        <v>35-44</v>
      </c>
      <c r="AK263" t="str" cm="1">
        <f t="array" ref="AK263">_xlfn.IFS(
HR_Data[[#This Row],[MonthlyIncome]]&lt;3000,"&lt;3K",
HR_Data[[#This Row],[MonthlyIncome]]&lt;6000,"3K-6K",
HR_Data[[#This Row],[MonthlyIncome]]&lt;10000,"6K-10K",
TRUE,"10K+"
)</f>
        <v>3K-6K</v>
      </c>
      <c r="AL263" t="str" cm="1">
        <f t="array" ref="AL263">_xlfn.IFS(
HR_Data[[#This Row],[YearsAtCompany]]&lt;2,"&lt;2 Years",
HR_Data[[#This Row],[YearsAtCompany]]&lt;5,"2-4 Years",
HR_Data[[#This Row],[YearsAtCompany]]&lt;10,"5-9 Years",
TRUE,"10+ Years"
)</f>
        <v>5-9 Years</v>
      </c>
      <c r="AM263" s="1">
        <f>IF(HR_Data[[#This Row],[Attrition]]="Yes",1,0)</f>
        <v>0</v>
      </c>
    </row>
    <row r="264" spans="1:39" x14ac:dyDescent="0.3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 cm="1">
        <f t="array" ref="AJ264">_xlfn.IFS(
HR_Data[[#This Row],[Age]]&lt;25,"Under 25",
HR_Data[[#This Row],[Age]]&lt;35,"25-34",
HR_Data[[#This Row],[Age]]&lt;45,"35-44",
HR_Data[[#This Row],[Age]]&lt;55,"45-54",
TRUE,"55+"
)</f>
        <v>25-34</v>
      </c>
      <c r="AK264" t="str" cm="1">
        <f t="array" ref="AK264">_xlfn.IFS(
HR_Data[[#This Row],[MonthlyIncome]]&lt;3000,"&lt;3K",
HR_Data[[#This Row],[MonthlyIncome]]&lt;6000,"3K-6K",
HR_Data[[#This Row],[MonthlyIncome]]&lt;10000,"6K-10K",
TRUE,"10K+"
)</f>
        <v>&lt;3K</v>
      </c>
      <c r="AL264" t="str" cm="1">
        <f t="array" ref="AL264">_xlfn.IFS(
HR_Data[[#This Row],[YearsAtCompany]]&lt;2,"&lt;2 Years",
HR_Data[[#This Row],[YearsAtCompany]]&lt;5,"2-4 Years",
HR_Data[[#This Row],[YearsAtCompany]]&lt;10,"5-9 Years",
TRUE,"10+ Years"
)</f>
        <v>5-9 Years</v>
      </c>
      <c r="AM264" s="1">
        <f>IF(HR_Data[[#This Row],[Attrition]]="Yes",1,0)</f>
        <v>0</v>
      </c>
    </row>
    <row r="265" spans="1:39" x14ac:dyDescent="0.3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 cm="1">
        <f t="array" ref="AJ265">_xlfn.IFS(
HR_Data[[#This Row],[Age]]&lt;25,"Under 25",
HR_Data[[#This Row],[Age]]&lt;35,"25-34",
HR_Data[[#This Row],[Age]]&lt;45,"35-44",
HR_Data[[#This Row],[Age]]&lt;55,"45-54",
TRUE,"55+"
)</f>
        <v>45-54</v>
      </c>
      <c r="AK265" t="str" cm="1">
        <f t="array" ref="AK265">_xlfn.IFS(
HR_Data[[#This Row],[MonthlyIncome]]&lt;3000,"&lt;3K",
HR_Data[[#This Row],[MonthlyIncome]]&lt;6000,"3K-6K",
HR_Data[[#This Row],[MonthlyIncome]]&lt;10000,"6K-10K",
TRUE,"10K+"
)</f>
        <v>10K+</v>
      </c>
      <c r="AL265" t="str" cm="1">
        <f t="array" ref="AL265">_xlfn.IFS(
HR_Data[[#This Row],[YearsAtCompany]]&lt;2,"&lt;2 Years",
HR_Data[[#This Row],[YearsAtCompany]]&lt;5,"2-4 Years",
HR_Data[[#This Row],[YearsAtCompany]]&lt;10,"5-9 Years",
TRUE,"10+ Years"
)</f>
        <v>5-9 Years</v>
      </c>
      <c r="AM265" s="1">
        <f>IF(HR_Data[[#This Row],[Attrition]]="Yes",1,0)</f>
        <v>0</v>
      </c>
    </row>
    <row r="266" spans="1:39" x14ac:dyDescent="0.3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 cm="1">
        <f t="array" ref="AJ266">_xlfn.IFS(
HR_Data[[#This Row],[Age]]&lt;25,"Under 25",
HR_Data[[#This Row],[Age]]&lt;35,"25-34",
HR_Data[[#This Row],[Age]]&lt;45,"35-44",
HR_Data[[#This Row],[Age]]&lt;55,"45-54",
TRUE,"55+"
)</f>
        <v>25-34</v>
      </c>
      <c r="AK266" t="str" cm="1">
        <f t="array" ref="AK266">_xlfn.IFS(
HR_Data[[#This Row],[MonthlyIncome]]&lt;3000,"&lt;3K",
HR_Data[[#This Row],[MonthlyIncome]]&lt;6000,"3K-6K",
HR_Data[[#This Row],[MonthlyIncome]]&lt;10000,"6K-10K",
TRUE,"10K+"
)</f>
        <v>3K-6K</v>
      </c>
      <c r="AL266" t="str" cm="1">
        <f t="array" ref="AL266">_xlfn.IFS(
HR_Data[[#This Row],[YearsAtCompany]]&lt;2,"&lt;2 Years",
HR_Data[[#This Row],[YearsAtCompany]]&lt;5,"2-4 Years",
HR_Data[[#This Row],[YearsAtCompany]]&lt;10,"5-9 Years",
TRUE,"10+ Years"
)</f>
        <v>&lt;2 Years</v>
      </c>
      <c r="AM266" s="1">
        <f>IF(HR_Data[[#This Row],[Attrition]]="Yes",1,0)</f>
        <v>1</v>
      </c>
    </row>
    <row r="267" spans="1:39" x14ac:dyDescent="0.3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 cm="1">
        <f t="array" ref="AJ267">_xlfn.IFS(
HR_Data[[#This Row],[Age]]&lt;25,"Under 25",
HR_Data[[#This Row],[Age]]&lt;35,"25-34",
HR_Data[[#This Row],[Age]]&lt;45,"35-44",
HR_Data[[#This Row],[Age]]&lt;55,"45-54",
TRUE,"55+"
)</f>
        <v>25-34</v>
      </c>
      <c r="AK267" t="str" cm="1">
        <f t="array" ref="AK267">_xlfn.IFS(
HR_Data[[#This Row],[MonthlyIncome]]&lt;3000,"&lt;3K",
HR_Data[[#This Row],[MonthlyIncome]]&lt;6000,"3K-6K",
HR_Data[[#This Row],[MonthlyIncome]]&lt;10000,"6K-10K",
TRUE,"10K+"
)</f>
        <v>6K-10K</v>
      </c>
      <c r="AL267" t="str" cm="1">
        <f t="array" ref="AL267">_xlfn.IFS(
HR_Data[[#This Row],[YearsAtCompany]]&lt;2,"&lt;2 Years",
HR_Data[[#This Row],[YearsAtCompany]]&lt;5,"2-4 Years",
HR_Data[[#This Row],[YearsAtCompany]]&lt;10,"5-9 Years",
TRUE,"10+ Years"
)</f>
        <v>&lt;2 Years</v>
      </c>
      <c r="AM267" s="1">
        <f>IF(HR_Data[[#This Row],[Attrition]]="Yes",1,0)</f>
        <v>0</v>
      </c>
    </row>
    <row r="268" spans="1:39" x14ac:dyDescent="0.3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 cm="1">
        <f t="array" ref="AJ268">_xlfn.IFS(
HR_Data[[#This Row],[Age]]&lt;25,"Under 25",
HR_Data[[#This Row],[Age]]&lt;35,"25-34",
HR_Data[[#This Row],[Age]]&lt;45,"35-44",
HR_Data[[#This Row],[Age]]&lt;55,"45-54",
TRUE,"55+"
)</f>
        <v>25-34</v>
      </c>
      <c r="AK268" t="str" cm="1">
        <f t="array" ref="AK268">_xlfn.IFS(
HR_Data[[#This Row],[MonthlyIncome]]&lt;3000,"&lt;3K",
HR_Data[[#This Row],[MonthlyIncome]]&lt;6000,"3K-6K",
HR_Data[[#This Row],[MonthlyIncome]]&lt;10000,"6K-10K",
TRUE,"10K+"
)</f>
        <v>3K-6K</v>
      </c>
      <c r="AL268" t="str" cm="1">
        <f t="array" ref="AL268">_xlfn.IFS(
HR_Data[[#This Row],[YearsAtCompany]]&lt;2,"&lt;2 Years",
HR_Data[[#This Row],[YearsAtCompany]]&lt;5,"2-4 Years",
HR_Data[[#This Row],[YearsAtCompany]]&lt;10,"5-9 Years",
TRUE,"10+ Years"
)</f>
        <v>5-9 Years</v>
      </c>
      <c r="AM268" s="1">
        <f>IF(HR_Data[[#This Row],[Attrition]]="Yes",1,0)</f>
        <v>0</v>
      </c>
    </row>
    <row r="269" spans="1:39" x14ac:dyDescent="0.3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 cm="1">
        <f t="array" ref="AJ269">_xlfn.IFS(
HR_Data[[#This Row],[Age]]&lt;25,"Under 25",
HR_Data[[#This Row],[Age]]&lt;35,"25-34",
HR_Data[[#This Row],[Age]]&lt;45,"35-44",
HR_Data[[#This Row],[Age]]&lt;55,"45-54",
TRUE,"55+"
)</f>
        <v>25-34</v>
      </c>
      <c r="AK269" t="str" cm="1">
        <f t="array" ref="AK269">_xlfn.IFS(
HR_Data[[#This Row],[MonthlyIncome]]&lt;3000,"&lt;3K",
HR_Data[[#This Row],[MonthlyIncome]]&lt;6000,"3K-6K",
HR_Data[[#This Row],[MonthlyIncome]]&lt;10000,"6K-10K",
TRUE,"10K+"
)</f>
        <v>3K-6K</v>
      </c>
      <c r="AL269" t="str" cm="1">
        <f t="array" ref="AL269">_xlfn.IFS(
HR_Data[[#This Row],[YearsAtCompany]]&lt;2,"&lt;2 Years",
HR_Data[[#This Row],[YearsAtCompany]]&lt;5,"2-4 Years",
HR_Data[[#This Row],[YearsAtCompany]]&lt;10,"5-9 Years",
TRUE,"10+ Years"
)</f>
        <v>5-9 Years</v>
      </c>
      <c r="AM269" s="1">
        <f>IF(HR_Data[[#This Row],[Attrition]]="Yes",1,0)</f>
        <v>0</v>
      </c>
    </row>
    <row r="270" spans="1:39" x14ac:dyDescent="0.3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 cm="1">
        <f t="array" ref="AJ270">_xlfn.IFS(
HR_Data[[#This Row],[Age]]&lt;25,"Under 25",
HR_Data[[#This Row],[Age]]&lt;35,"25-34",
HR_Data[[#This Row],[Age]]&lt;45,"35-44",
HR_Data[[#This Row],[Age]]&lt;55,"45-54",
TRUE,"55+"
)</f>
        <v>45-54</v>
      </c>
      <c r="AK270" t="str" cm="1">
        <f t="array" ref="AK270">_xlfn.IFS(
HR_Data[[#This Row],[MonthlyIncome]]&lt;3000,"&lt;3K",
HR_Data[[#This Row],[MonthlyIncome]]&lt;6000,"3K-6K",
HR_Data[[#This Row],[MonthlyIncome]]&lt;10000,"6K-10K",
TRUE,"10K+"
)</f>
        <v>10K+</v>
      </c>
      <c r="AL270" t="str" cm="1">
        <f t="array" ref="AL270">_xlfn.IFS(
HR_Data[[#This Row],[YearsAtCompany]]&lt;2,"&lt;2 Years",
HR_Data[[#This Row],[YearsAtCompany]]&lt;5,"2-4 Years",
HR_Data[[#This Row],[YearsAtCompany]]&lt;10,"5-9 Years",
TRUE,"10+ Years"
)</f>
        <v>10+ Years</v>
      </c>
      <c r="AM270" s="1">
        <f>IF(HR_Data[[#This Row],[Attrition]]="Yes",1,0)</f>
        <v>0</v>
      </c>
    </row>
    <row r="271" spans="1:39" x14ac:dyDescent="0.3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 cm="1">
        <f t="array" ref="AJ271">_xlfn.IFS(
HR_Data[[#This Row],[Age]]&lt;25,"Under 25",
HR_Data[[#This Row],[Age]]&lt;35,"25-34",
HR_Data[[#This Row],[Age]]&lt;45,"35-44",
HR_Data[[#This Row],[Age]]&lt;55,"45-54",
TRUE,"55+"
)</f>
        <v>35-44</v>
      </c>
      <c r="AK271" t="str" cm="1">
        <f t="array" ref="AK271">_xlfn.IFS(
HR_Data[[#This Row],[MonthlyIncome]]&lt;3000,"&lt;3K",
HR_Data[[#This Row],[MonthlyIncome]]&lt;6000,"3K-6K",
HR_Data[[#This Row],[MonthlyIncome]]&lt;10000,"6K-10K",
TRUE,"10K+"
)</f>
        <v>3K-6K</v>
      </c>
      <c r="AL271" t="str" cm="1">
        <f t="array" ref="AL271">_xlfn.IFS(
HR_Data[[#This Row],[YearsAtCompany]]&lt;2,"&lt;2 Years",
HR_Data[[#This Row],[YearsAtCompany]]&lt;5,"2-4 Years",
HR_Data[[#This Row],[YearsAtCompany]]&lt;10,"5-9 Years",
TRUE,"10+ Years"
)</f>
        <v>10+ Years</v>
      </c>
      <c r="AM271" s="1">
        <f>IF(HR_Data[[#This Row],[Attrition]]="Yes",1,0)</f>
        <v>0</v>
      </c>
    </row>
    <row r="272" spans="1:39" x14ac:dyDescent="0.3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 cm="1">
        <f t="array" ref="AJ272">_xlfn.IFS(
HR_Data[[#This Row],[Age]]&lt;25,"Under 25",
HR_Data[[#This Row],[Age]]&lt;35,"25-34",
HR_Data[[#This Row],[Age]]&lt;45,"35-44",
HR_Data[[#This Row],[Age]]&lt;55,"45-54",
TRUE,"55+"
)</f>
        <v>55+</v>
      </c>
      <c r="AK272" t="str" cm="1">
        <f t="array" ref="AK272">_xlfn.IFS(
HR_Data[[#This Row],[MonthlyIncome]]&lt;3000,"&lt;3K",
HR_Data[[#This Row],[MonthlyIncome]]&lt;6000,"3K-6K",
HR_Data[[#This Row],[MonthlyIncome]]&lt;10000,"6K-10K",
TRUE,"10K+"
)</f>
        <v>10K+</v>
      </c>
      <c r="AL272" t="str" cm="1">
        <f t="array" ref="AL272">_xlfn.IFS(
HR_Data[[#This Row],[YearsAtCompany]]&lt;2,"&lt;2 Years",
HR_Data[[#This Row],[YearsAtCompany]]&lt;5,"2-4 Years",
HR_Data[[#This Row],[YearsAtCompany]]&lt;10,"5-9 Years",
TRUE,"10+ Years"
)</f>
        <v>10+ Years</v>
      </c>
      <c r="AM272" s="1">
        <f>IF(HR_Data[[#This Row],[Attrition]]="Yes",1,0)</f>
        <v>0</v>
      </c>
    </row>
    <row r="273" spans="1:39" x14ac:dyDescent="0.3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 cm="1">
        <f t="array" ref="AJ273">_xlfn.IFS(
HR_Data[[#This Row],[Age]]&lt;25,"Under 25",
HR_Data[[#This Row],[Age]]&lt;35,"25-34",
HR_Data[[#This Row],[Age]]&lt;45,"35-44",
HR_Data[[#This Row],[Age]]&lt;55,"45-54",
TRUE,"55+"
)</f>
        <v>45-54</v>
      </c>
      <c r="AK273" t="str" cm="1">
        <f t="array" ref="AK273">_xlfn.IFS(
HR_Data[[#This Row],[MonthlyIncome]]&lt;3000,"&lt;3K",
HR_Data[[#This Row],[MonthlyIncome]]&lt;6000,"3K-6K",
HR_Data[[#This Row],[MonthlyIncome]]&lt;10000,"6K-10K",
TRUE,"10K+"
)</f>
        <v>10K+</v>
      </c>
      <c r="AL273" t="str" cm="1">
        <f t="array" ref="AL273">_xlfn.IFS(
HR_Data[[#This Row],[YearsAtCompany]]&lt;2,"&lt;2 Years",
HR_Data[[#This Row],[YearsAtCompany]]&lt;5,"2-4 Years",
HR_Data[[#This Row],[YearsAtCompany]]&lt;10,"5-9 Years",
TRUE,"10+ Years"
)</f>
        <v>10+ Years</v>
      </c>
      <c r="AM273" s="1">
        <f>IF(HR_Data[[#This Row],[Attrition]]="Yes",1,0)</f>
        <v>1</v>
      </c>
    </row>
    <row r="274" spans="1:39" x14ac:dyDescent="0.3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 cm="1">
        <f t="array" ref="AJ274">_xlfn.IFS(
HR_Data[[#This Row],[Age]]&lt;25,"Under 25",
HR_Data[[#This Row],[Age]]&lt;35,"25-34",
HR_Data[[#This Row],[Age]]&lt;45,"35-44",
HR_Data[[#This Row],[Age]]&lt;55,"45-54",
TRUE,"55+"
)</f>
        <v>25-34</v>
      </c>
      <c r="AK274" t="str" cm="1">
        <f t="array" ref="AK274">_xlfn.IFS(
HR_Data[[#This Row],[MonthlyIncome]]&lt;3000,"&lt;3K",
HR_Data[[#This Row],[MonthlyIncome]]&lt;6000,"3K-6K",
HR_Data[[#This Row],[MonthlyIncome]]&lt;10000,"6K-10K",
TRUE,"10K+"
)</f>
        <v>&lt;3K</v>
      </c>
      <c r="AL274" t="str" cm="1">
        <f t="array" ref="AL274">_xlfn.IFS(
HR_Data[[#This Row],[YearsAtCompany]]&lt;2,"&lt;2 Years",
HR_Data[[#This Row],[YearsAtCompany]]&lt;5,"2-4 Years",
HR_Data[[#This Row],[YearsAtCompany]]&lt;10,"5-9 Years",
TRUE,"10+ Years"
)</f>
        <v>5-9 Years</v>
      </c>
      <c r="AM274" s="1">
        <f>IF(HR_Data[[#This Row],[Attrition]]="Yes",1,0)</f>
        <v>0</v>
      </c>
    </row>
    <row r="275" spans="1:39" x14ac:dyDescent="0.3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 cm="1">
        <f t="array" ref="AJ275">_xlfn.IFS(
HR_Data[[#This Row],[Age]]&lt;25,"Under 25",
HR_Data[[#This Row],[Age]]&lt;35,"25-34",
HR_Data[[#This Row],[Age]]&lt;45,"35-44",
HR_Data[[#This Row],[Age]]&lt;55,"45-54",
TRUE,"55+"
)</f>
        <v>35-44</v>
      </c>
      <c r="AK275" t="str" cm="1">
        <f t="array" ref="AK275">_xlfn.IFS(
HR_Data[[#This Row],[MonthlyIncome]]&lt;3000,"&lt;3K",
HR_Data[[#This Row],[MonthlyIncome]]&lt;6000,"3K-6K",
HR_Data[[#This Row],[MonthlyIncome]]&lt;10000,"6K-10K",
TRUE,"10K+"
)</f>
        <v>6K-10K</v>
      </c>
      <c r="AL275" t="str" cm="1">
        <f t="array" ref="AL275">_xlfn.IFS(
HR_Data[[#This Row],[YearsAtCompany]]&lt;2,"&lt;2 Years",
HR_Data[[#This Row],[YearsAtCompany]]&lt;5,"2-4 Years",
HR_Data[[#This Row],[YearsAtCompany]]&lt;10,"5-9 Years",
TRUE,"10+ Years"
)</f>
        <v>5-9 Years</v>
      </c>
      <c r="AM275" s="1">
        <f>IF(HR_Data[[#This Row],[Attrition]]="Yes",1,0)</f>
        <v>0</v>
      </c>
    </row>
    <row r="276" spans="1:39" x14ac:dyDescent="0.3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 cm="1">
        <f t="array" ref="AJ276">_xlfn.IFS(
HR_Data[[#This Row],[Age]]&lt;25,"Under 25",
HR_Data[[#This Row],[Age]]&lt;35,"25-34",
HR_Data[[#This Row],[Age]]&lt;45,"35-44",
HR_Data[[#This Row],[Age]]&lt;55,"45-54",
TRUE,"55+"
)</f>
        <v>Under 25</v>
      </c>
      <c r="AK276" t="str" cm="1">
        <f t="array" ref="AK276">_xlfn.IFS(
HR_Data[[#This Row],[MonthlyIncome]]&lt;3000,"&lt;3K",
HR_Data[[#This Row],[MonthlyIncome]]&lt;6000,"3K-6K",
HR_Data[[#This Row],[MonthlyIncome]]&lt;10000,"6K-10K",
TRUE,"10K+"
)</f>
        <v>3K-6K</v>
      </c>
      <c r="AL276" t="str" cm="1">
        <f t="array" ref="AL276">_xlfn.IFS(
HR_Data[[#This Row],[YearsAtCompany]]&lt;2,"&lt;2 Years",
HR_Data[[#This Row],[YearsAtCompany]]&lt;5,"2-4 Years",
HR_Data[[#This Row],[YearsAtCompany]]&lt;10,"5-9 Years",
TRUE,"10+ Years"
)</f>
        <v>2-4 Years</v>
      </c>
      <c r="AM276" s="1">
        <f>IF(HR_Data[[#This Row],[Attrition]]="Yes",1,0)</f>
        <v>0</v>
      </c>
    </row>
    <row r="277" spans="1:39" x14ac:dyDescent="0.3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 cm="1">
        <f t="array" ref="AJ277">_xlfn.IFS(
HR_Data[[#This Row],[Age]]&lt;25,"Under 25",
HR_Data[[#This Row],[Age]]&lt;35,"25-34",
HR_Data[[#This Row],[Age]]&lt;45,"35-44",
HR_Data[[#This Row],[Age]]&lt;55,"45-54",
TRUE,"55+"
)</f>
        <v>35-44</v>
      </c>
      <c r="AK277" t="str" cm="1">
        <f t="array" ref="AK277">_xlfn.IFS(
HR_Data[[#This Row],[MonthlyIncome]]&lt;3000,"&lt;3K",
HR_Data[[#This Row],[MonthlyIncome]]&lt;6000,"3K-6K",
HR_Data[[#This Row],[MonthlyIncome]]&lt;10000,"6K-10K",
TRUE,"10K+"
)</f>
        <v>10K+</v>
      </c>
      <c r="AL277" t="str" cm="1">
        <f t="array" ref="AL277">_xlfn.IFS(
HR_Data[[#This Row],[YearsAtCompany]]&lt;2,"&lt;2 Years",
HR_Data[[#This Row],[YearsAtCompany]]&lt;5,"2-4 Years",
HR_Data[[#This Row],[YearsAtCompany]]&lt;10,"5-9 Years",
TRUE,"10+ Years"
)</f>
        <v>5-9 Years</v>
      </c>
      <c r="AM277" s="1">
        <f>IF(HR_Data[[#This Row],[Attrition]]="Yes",1,0)</f>
        <v>0</v>
      </c>
    </row>
    <row r="278" spans="1:39" x14ac:dyDescent="0.3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 cm="1">
        <f t="array" ref="AJ278">_xlfn.IFS(
HR_Data[[#This Row],[Age]]&lt;25,"Under 25",
HR_Data[[#This Row],[Age]]&lt;35,"25-34",
HR_Data[[#This Row],[Age]]&lt;45,"35-44",
HR_Data[[#This Row],[Age]]&lt;55,"45-54",
TRUE,"55+"
)</f>
        <v>35-44</v>
      </c>
      <c r="AK278" t="str" cm="1">
        <f t="array" ref="AK278">_xlfn.IFS(
HR_Data[[#This Row],[MonthlyIncome]]&lt;3000,"&lt;3K",
HR_Data[[#This Row],[MonthlyIncome]]&lt;6000,"3K-6K",
HR_Data[[#This Row],[MonthlyIncome]]&lt;10000,"6K-10K",
TRUE,"10K+"
)</f>
        <v>10K+</v>
      </c>
      <c r="AL278" t="str" cm="1">
        <f t="array" ref="AL278">_xlfn.IFS(
HR_Data[[#This Row],[YearsAtCompany]]&lt;2,"&lt;2 Years",
HR_Data[[#This Row],[YearsAtCompany]]&lt;5,"2-4 Years",
HR_Data[[#This Row],[YearsAtCompany]]&lt;10,"5-9 Years",
TRUE,"10+ Years"
)</f>
        <v>5-9 Years</v>
      </c>
      <c r="AM278" s="1">
        <f>IF(HR_Data[[#This Row],[Attrition]]="Yes",1,0)</f>
        <v>0</v>
      </c>
    </row>
    <row r="279" spans="1:39" x14ac:dyDescent="0.3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 cm="1">
        <f t="array" ref="AJ279">_xlfn.IFS(
HR_Data[[#This Row],[Age]]&lt;25,"Under 25",
HR_Data[[#This Row],[Age]]&lt;35,"25-34",
HR_Data[[#This Row],[Age]]&lt;45,"35-44",
HR_Data[[#This Row],[Age]]&lt;55,"45-54",
TRUE,"55+"
)</f>
        <v>35-44</v>
      </c>
      <c r="AK279" t="str" cm="1">
        <f t="array" ref="AK279">_xlfn.IFS(
HR_Data[[#This Row],[MonthlyIncome]]&lt;3000,"&lt;3K",
HR_Data[[#This Row],[MonthlyIncome]]&lt;6000,"3K-6K",
HR_Data[[#This Row],[MonthlyIncome]]&lt;10000,"6K-10K",
TRUE,"10K+"
)</f>
        <v>3K-6K</v>
      </c>
      <c r="AL279" t="str" cm="1">
        <f t="array" ref="AL279">_xlfn.IFS(
HR_Data[[#This Row],[YearsAtCompany]]&lt;2,"&lt;2 Years",
HR_Data[[#This Row],[YearsAtCompany]]&lt;5,"2-4 Years",
HR_Data[[#This Row],[YearsAtCompany]]&lt;10,"5-9 Years",
TRUE,"10+ Years"
)</f>
        <v>5-9 Years</v>
      </c>
      <c r="AM279" s="1">
        <f>IF(HR_Data[[#This Row],[Attrition]]="Yes",1,0)</f>
        <v>0</v>
      </c>
    </row>
    <row r="280" spans="1:39" x14ac:dyDescent="0.3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 cm="1">
        <f t="array" ref="AJ280">_xlfn.IFS(
HR_Data[[#This Row],[Age]]&lt;25,"Under 25",
HR_Data[[#This Row],[Age]]&lt;35,"25-34",
HR_Data[[#This Row],[Age]]&lt;45,"35-44",
HR_Data[[#This Row],[Age]]&lt;55,"45-54",
TRUE,"55+"
)</f>
        <v>25-34</v>
      </c>
      <c r="AK280" t="str" cm="1">
        <f t="array" ref="AK280">_xlfn.IFS(
HR_Data[[#This Row],[MonthlyIncome]]&lt;3000,"&lt;3K",
HR_Data[[#This Row],[MonthlyIncome]]&lt;6000,"3K-6K",
HR_Data[[#This Row],[MonthlyIncome]]&lt;10000,"6K-10K",
TRUE,"10K+"
)</f>
        <v>6K-10K</v>
      </c>
      <c r="AL280" t="str" cm="1">
        <f t="array" ref="AL280">_xlfn.IFS(
HR_Data[[#This Row],[YearsAtCompany]]&lt;2,"&lt;2 Years",
HR_Data[[#This Row],[YearsAtCompany]]&lt;5,"2-4 Years",
HR_Data[[#This Row],[YearsAtCompany]]&lt;10,"5-9 Years",
TRUE,"10+ Years"
)</f>
        <v>5-9 Years</v>
      </c>
      <c r="AM280" s="1">
        <f>IF(HR_Data[[#This Row],[Attrition]]="Yes",1,0)</f>
        <v>0</v>
      </c>
    </row>
    <row r="281" spans="1:39" x14ac:dyDescent="0.3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 cm="1">
        <f t="array" ref="AJ281">_xlfn.IFS(
HR_Data[[#This Row],[Age]]&lt;25,"Under 25",
HR_Data[[#This Row],[Age]]&lt;35,"25-34",
HR_Data[[#This Row],[Age]]&lt;45,"35-44",
HR_Data[[#This Row],[Age]]&lt;55,"45-54",
TRUE,"55+"
)</f>
        <v>45-54</v>
      </c>
      <c r="AK281" t="str" cm="1">
        <f t="array" ref="AK281">_xlfn.IFS(
HR_Data[[#This Row],[MonthlyIncome]]&lt;3000,"&lt;3K",
HR_Data[[#This Row],[MonthlyIncome]]&lt;6000,"3K-6K",
HR_Data[[#This Row],[MonthlyIncome]]&lt;10000,"6K-10K",
TRUE,"10K+"
)</f>
        <v>10K+</v>
      </c>
      <c r="AL281" t="str" cm="1">
        <f t="array" ref="AL281">_xlfn.IFS(
HR_Data[[#This Row],[YearsAtCompany]]&lt;2,"&lt;2 Years",
HR_Data[[#This Row],[YearsAtCompany]]&lt;5,"2-4 Years",
HR_Data[[#This Row],[YearsAtCompany]]&lt;10,"5-9 Years",
TRUE,"10+ Years"
)</f>
        <v>10+ Years</v>
      </c>
      <c r="AM281" s="1">
        <f>IF(HR_Data[[#This Row],[Attrition]]="Yes",1,0)</f>
        <v>0</v>
      </c>
    </row>
    <row r="282" spans="1:39" x14ac:dyDescent="0.3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 cm="1">
        <f t="array" ref="AJ282">_xlfn.IFS(
HR_Data[[#This Row],[Age]]&lt;25,"Under 25",
HR_Data[[#This Row],[Age]]&lt;35,"25-34",
HR_Data[[#This Row],[Age]]&lt;45,"35-44",
HR_Data[[#This Row],[Age]]&lt;55,"45-54",
TRUE,"55+"
)</f>
        <v>45-54</v>
      </c>
      <c r="AK282" t="str" cm="1">
        <f t="array" ref="AK282">_xlfn.IFS(
HR_Data[[#This Row],[MonthlyIncome]]&lt;3000,"&lt;3K",
HR_Data[[#This Row],[MonthlyIncome]]&lt;6000,"3K-6K",
HR_Data[[#This Row],[MonthlyIncome]]&lt;10000,"6K-10K",
TRUE,"10K+"
)</f>
        <v>10K+</v>
      </c>
      <c r="AL282" t="str" cm="1">
        <f t="array" ref="AL282">_xlfn.IFS(
HR_Data[[#This Row],[YearsAtCompany]]&lt;2,"&lt;2 Years",
HR_Data[[#This Row],[YearsAtCompany]]&lt;5,"2-4 Years",
HR_Data[[#This Row],[YearsAtCompany]]&lt;10,"5-9 Years",
TRUE,"10+ Years"
)</f>
        <v>5-9 Years</v>
      </c>
      <c r="AM282" s="1">
        <f>IF(HR_Data[[#This Row],[Attrition]]="Yes",1,0)</f>
        <v>0</v>
      </c>
    </row>
    <row r="283" spans="1:39" x14ac:dyDescent="0.3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 cm="1">
        <f t="array" ref="AJ283">_xlfn.IFS(
HR_Data[[#This Row],[Age]]&lt;25,"Under 25",
HR_Data[[#This Row],[Age]]&lt;35,"25-34",
HR_Data[[#This Row],[Age]]&lt;45,"35-44",
HR_Data[[#This Row],[Age]]&lt;55,"45-54",
TRUE,"55+"
)</f>
        <v>35-44</v>
      </c>
      <c r="AK283" t="str" cm="1">
        <f t="array" ref="AK283">_xlfn.IFS(
HR_Data[[#This Row],[MonthlyIncome]]&lt;3000,"&lt;3K",
HR_Data[[#This Row],[MonthlyIncome]]&lt;6000,"3K-6K",
HR_Data[[#This Row],[MonthlyIncome]]&lt;10000,"6K-10K",
TRUE,"10K+"
)</f>
        <v>3K-6K</v>
      </c>
      <c r="AL283" t="str" cm="1">
        <f t="array" ref="AL283">_xlfn.IFS(
HR_Data[[#This Row],[YearsAtCompany]]&lt;2,"&lt;2 Years",
HR_Data[[#This Row],[YearsAtCompany]]&lt;5,"2-4 Years",
HR_Data[[#This Row],[YearsAtCompany]]&lt;10,"5-9 Years",
TRUE,"10+ Years"
)</f>
        <v>10+ Years</v>
      </c>
      <c r="AM283" s="1">
        <f>IF(HR_Data[[#This Row],[Attrition]]="Yes",1,0)</f>
        <v>0</v>
      </c>
    </row>
    <row r="284" spans="1:39" x14ac:dyDescent="0.3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 cm="1">
        <f t="array" ref="AJ284">_xlfn.IFS(
HR_Data[[#This Row],[Age]]&lt;25,"Under 25",
HR_Data[[#This Row],[Age]]&lt;35,"25-34",
HR_Data[[#This Row],[Age]]&lt;45,"35-44",
HR_Data[[#This Row],[Age]]&lt;55,"45-54",
TRUE,"55+"
)</f>
        <v>25-34</v>
      </c>
      <c r="AK284" t="str" cm="1">
        <f t="array" ref="AK284">_xlfn.IFS(
HR_Data[[#This Row],[MonthlyIncome]]&lt;3000,"&lt;3K",
HR_Data[[#This Row],[MonthlyIncome]]&lt;6000,"3K-6K",
HR_Data[[#This Row],[MonthlyIncome]]&lt;10000,"6K-10K",
TRUE,"10K+"
)</f>
        <v>3K-6K</v>
      </c>
      <c r="AL284" t="str" cm="1">
        <f t="array" ref="AL284">_xlfn.IFS(
HR_Data[[#This Row],[YearsAtCompany]]&lt;2,"&lt;2 Years",
HR_Data[[#This Row],[YearsAtCompany]]&lt;5,"2-4 Years",
HR_Data[[#This Row],[YearsAtCompany]]&lt;10,"5-9 Years",
TRUE,"10+ Years"
)</f>
        <v>10+ Years</v>
      </c>
      <c r="AM284" s="1">
        <f>IF(HR_Data[[#This Row],[Attrition]]="Yes",1,0)</f>
        <v>0</v>
      </c>
    </row>
    <row r="285" spans="1:39" x14ac:dyDescent="0.3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 cm="1">
        <f t="array" ref="AJ285">_xlfn.IFS(
HR_Data[[#This Row],[Age]]&lt;25,"Under 25",
HR_Data[[#This Row],[Age]]&lt;35,"25-34",
HR_Data[[#This Row],[Age]]&lt;45,"35-44",
HR_Data[[#This Row],[Age]]&lt;55,"45-54",
TRUE,"55+"
)</f>
        <v>55+</v>
      </c>
      <c r="AK285" t="str" cm="1">
        <f t="array" ref="AK285">_xlfn.IFS(
HR_Data[[#This Row],[MonthlyIncome]]&lt;3000,"&lt;3K",
HR_Data[[#This Row],[MonthlyIncome]]&lt;6000,"3K-6K",
HR_Data[[#This Row],[MonthlyIncome]]&lt;10000,"6K-10K",
TRUE,"10K+"
)</f>
        <v>3K-6K</v>
      </c>
      <c r="AL285" t="str" cm="1">
        <f t="array" ref="AL285">_xlfn.IFS(
HR_Data[[#This Row],[YearsAtCompany]]&lt;2,"&lt;2 Years",
HR_Data[[#This Row],[YearsAtCompany]]&lt;5,"2-4 Years",
HR_Data[[#This Row],[YearsAtCompany]]&lt;10,"5-9 Years",
TRUE,"10+ Years"
)</f>
        <v>10+ Years</v>
      </c>
      <c r="AM285" s="1">
        <f>IF(HR_Data[[#This Row],[Attrition]]="Yes",1,0)</f>
        <v>0</v>
      </c>
    </row>
    <row r="286" spans="1:39" x14ac:dyDescent="0.3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 cm="1">
        <f t="array" ref="AJ286">_xlfn.IFS(
HR_Data[[#This Row],[Age]]&lt;25,"Under 25",
HR_Data[[#This Row],[Age]]&lt;35,"25-34",
HR_Data[[#This Row],[Age]]&lt;45,"35-44",
HR_Data[[#This Row],[Age]]&lt;55,"45-54",
TRUE,"55+"
)</f>
        <v>25-34</v>
      </c>
      <c r="AK286" t="str" cm="1">
        <f t="array" ref="AK286">_xlfn.IFS(
HR_Data[[#This Row],[MonthlyIncome]]&lt;3000,"&lt;3K",
HR_Data[[#This Row],[MonthlyIncome]]&lt;6000,"3K-6K",
HR_Data[[#This Row],[MonthlyIncome]]&lt;10000,"6K-10K",
TRUE,"10K+"
)</f>
        <v>3K-6K</v>
      </c>
      <c r="AL286" t="str" cm="1">
        <f t="array" ref="AL286">_xlfn.IFS(
HR_Data[[#This Row],[YearsAtCompany]]&lt;2,"&lt;2 Years",
HR_Data[[#This Row],[YearsAtCompany]]&lt;5,"2-4 Years",
HR_Data[[#This Row],[YearsAtCompany]]&lt;10,"5-9 Years",
TRUE,"10+ Years"
)</f>
        <v>5-9 Years</v>
      </c>
      <c r="AM286" s="1">
        <f>IF(HR_Data[[#This Row],[Attrition]]="Yes",1,0)</f>
        <v>0</v>
      </c>
    </row>
    <row r="287" spans="1:39" x14ac:dyDescent="0.3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 cm="1">
        <f t="array" ref="AJ287">_xlfn.IFS(
HR_Data[[#This Row],[Age]]&lt;25,"Under 25",
HR_Data[[#This Row],[Age]]&lt;35,"25-34",
HR_Data[[#This Row],[Age]]&lt;45,"35-44",
HR_Data[[#This Row],[Age]]&lt;55,"45-54",
TRUE,"55+"
)</f>
        <v>35-44</v>
      </c>
      <c r="AK287" t="str" cm="1">
        <f t="array" ref="AK287">_xlfn.IFS(
HR_Data[[#This Row],[MonthlyIncome]]&lt;3000,"&lt;3K",
HR_Data[[#This Row],[MonthlyIncome]]&lt;6000,"3K-6K",
HR_Data[[#This Row],[MonthlyIncome]]&lt;10000,"6K-10K",
TRUE,"10K+"
)</f>
        <v>&lt;3K</v>
      </c>
      <c r="AL287" t="str" cm="1">
        <f t="array" ref="AL287">_xlfn.IFS(
HR_Data[[#This Row],[YearsAtCompany]]&lt;2,"&lt;2 Years",
HR_Data[[#This Row],[YearsAtCompany]]&lt;5,"2-4 Years",
HR_Data[[#This Row],[YearsAtCompany]]&lt;10,"5-9 Years",
TRUE,"10+ Years"
)</f>
        <v>10+ Years</v>
      </c>
      <c r="AM287" s="1">
        <f>IF(HR_Data[[#This Row],[Attrition]]="Yes",1,0)</f>
        <v>0</v>
      </c>
    </row>
    <row r="288" spans="1:39" x14ac:dyDescent="0.3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 cm="1">
        <f t="array" ref="AJ288">_xlfn.IFS(
HR_Data[[#This Row],[Age]]&lt;25,"Under 25",
HR_Data[[#This Row],[Age]]&lt;35,"25-34",
HR_Data[[#This Row],[Age]]&lt;45,"35-44",
HR_Data[[#This Row],[Age]]&lt;55,"45-54",
TRUE,"55+"
)</f>
        <v>35-44</v>
      </c>
      <c r="AK288" t="str" cm="1">
        <f t="array" ref="AK288">_xlfn.IFS(
HR_Data[[#This Row],[MonthlyIncome]]&lt;3000,"&lt;3K",
HR_Data[[#This Row],[MonthlyIncome]]&lt;6000,"3K-6K",
HR_Data[[#This Row],[MonthlyIncome]]&lt;10000,"6K-10K",
TRUE,"10K+"
)</f>
        <v>3K-6K</v>
      </c>
      <c r="AL288" t="str" cm="1">
        <f t="array" ref="AL288">_xlfn.IFS(
HR_Data[[#This Row],[YearsAtCompany]]&lt;2,"&lt;2 Years",
HR_Data[[#This Row],[YearsAtCompany]]&lt;5,"2-4 Years",
HR_Data[[#This Row],[YearsAtCompany]]&lt;10,"5-9 Years",
TRUE,"10+ Years"
)</f>
        <v>&lt;2 Years</v>
      </c>
      <c r="AM288" s="1">
        <f>IF(HR_Data[[#This Row],[Attrition]]="Yes",1,0)</f>
        <v>1</v>
      </c>
    </row>
    <row r="289" spans="1:39" x14ac:dyDescent="0.3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 cm="1">
        <f t="array" ref="AJ289">_xlfn.IFS(
HR_Data[[#This Row],[Age]]&lt;25,"Under 25",
HR_Data[[#This Row],[Age]]&lt;35,"25-34",
HR_Data[[#This Row],[Age]]&lt;45,"35-44",
HR_Data[[#This Row],[Age]]&lt;55,"45-54",
TRUE,"55+"
)</f>
        <v>35-44</v>
      </c>
      <c r="AK289" t="str" cm="1">
        <f t="array" ref="AK289">_xlfn.IFS(
HR_Data[[#This Row],[MonthlyIncome]]&lt;3000,"&lt;3K",
HR_Data[[#This Row],[MonthlyIncome]]&lt;6000,"3K-6K",
HR_Data[[#This Row],[MonthlyIncome]]&lt;10000,"6K-10K",
TRUE,"10K+"
)</f>
        <v>3K-6K</v>
      </c>
      <c r="AL289" t="str" cm="1">
        <f t="array" ref="AL289">_xlfn.IFS(
HR_Data[[#This Row],[YearsAtCompany]]&lt;2,"&lt;2 Years",
HR_Data[[#This Row],[YearsAtCompany]]&lt;5,"2-4 Years",
HR_Data[[#This Row],[YearsAtCompany]]&lt;10,"5-9 Years",
TRUE,"10+ Years"
)</f>
        <v>2-4 Years</v>
      </c>
      <c r="AM289" s="1">
        <f>IF(HR_Data[[#This Row],[Attrition]]="Yes",1,0)</f>
        <v>0</v>
      </c>
    </row>
    <row r="290" spans="1:39" x14ac:dyDescent="0.3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 cm="1">
        <f t="array" ref="AJ290">_xlfn.IFS(
HR_Data[[#This Row],[Age]]&lt;25,"Under 25",
HR_Data[[#This Row],[Age]]&lt;35,"25-34",
HR_Data[[#This Row],[Age]]&lt;45,"35-44",
HR_Data[[#This Row],[Age]]&lt;55,"45-54",
TRUE,"55+"
)</f>
        <v>25-34</v>
      </c>
      <c r="AK290" t="str" cm="1">
        <f t="array" ref="AK290">_xlfn.IFS(
HR_Data[[#This Row],[MonthlyIncome]]&lt;3000,"&lt;3K",
HR_Data[[#This Row],[MonthlyIncome]]&lt;6000,"3K-6K",
HR_Data[[#This Row],[MonthlyIncome]]&lt;10000,"6K-10K",
TRUE,"10K+"
)</f>
        <v>&lt;3K</v>
      </c>
      <c r="AL290" t="str" cm="1">
        <f t="array" ref="AL290">_xlfn.IFS(
HR_Data[[#This Row],[YearsAtCompany]]&lt;2,"&lt;2 Years",
HR_Data[[#This Row],[YearsAtCompany]]&lt;5,"2-4 Years",
HR_Data[[#This Row],[YearsAtCompany]]&lt;10,"5-9 Years",
TRUE,"10+ Years"
)</f>
        <v>2-4 Years</v>
      </c>
      <c r="AM290" s="1">
        <f>IF(HR_Data[[#This Row],[Attrition]]="Yes",1,0)</f>
        <v>1</v>
      </c>
    </row>
    <row r="291" spans="1:39" x14ac:dyDescent="0.3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 cm="1">
        <f t="array" ref="AJ291">_xlfn.IFS(
HR_Data[[#This Row],[Age]]&lt;25,"Under 25",
HR_Data[[#This Row],[Age]]&lt;35,"25-34",
HR_Data[[#This Row],[Age]]&lt;45,"35-44",
HR_Data[[#This Row],[Age]]&lt;55,"45-54",
TRUE,"55+"
)</f>
        <v>25-34</v>
      </c>
      <c r="AK291" t="str" cm="1">
        <f t="array" ref="AK291">_xlfn.IFS(
HR_Data[[#This Row],[MonthlyIncome]]&lt;3000,"&lt;3K",
HR_Data[[#This Row],[MonthlyIncome]]&lt;6000,"3K-6K",
HR_Data[[#This Row],[MonthlyIncome]]&lt;10000,"6K-10K",
TRUE,"10K+"
)</f>
        <v>3K-6K</v>
      </c>
      <c r="AL291" t="str" cm="1">
        <f t="array" ref="AL291">_xlfn.IFS(
HR_Data[[#This Row],[YearsAtCompany]]&lt;2,"&lt;2 Years",
HR_Data[[#This Row],[YearsAtCompany]]&lt;5,"2-4 Years",
HR_Data[[#This Row],[YearsAtCompany]]&lt;10,"5-9 Years",
TRUE,"10+ Years"
)</f>
        <v>5-9 Years</v>
      </c>
      <c r="AM291" s="1">
        <f>IF(HR_Data[[#This Row],[Attrition]]="Yes",1,0)</f>
        <v>0</v>
      </c>
    </row>
    <row r="292" spans="1:39" x14ac:dyDescent="0.3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 cm="1">
        <f t="array" ref="AJ292">_xlfn.IFS(
HR_Data[[#This Row],[Age]]&lt;25,"Under 25",
HR_Data[[#This Row],[Age]]&lt;35,"25-34",
HR_Data[[#This Row],[Age]]&lt;45,"35-44",
HR_Data[[#This Row],[Age]]&lt;55,"45-54",
TRUE,"55+"
)</f>
        <v>45-54</v>
      </c>
      <c r="AK292" t="str" cm="1">
        <f t="array" ref="AK292">_xlfn.IFS(
HR_Data[[#This Row],[MonthlyIncome]]&lt;3000,"&lt;3K",
HR_Data[[#This Row],[MonthlyIncome]]&lt;6000,"3K-6K",
HR_Data[[#This Row],[MonthlyIncome]]&lt;10000,"6K-10K",
TRUE,"10K+"
)</f>
        <v>10K+</v>
      </c>
      <c r="AL292" t="str" cm="1">
        <f t="array" ref="AL292">_xlfn.IFS(
HR_Data[[#This Row],[YearsAtCompany]]&lt;2,"&lt;2 Years",
HR_Data[[#This Row],[YearsAtCompany]]&lt;5,"2-4 Years",
HR_Data[[#This Row],[YearsAtCompany]]&lt;10,"5-9 Years",
TRUE,"10+ Years"
)</f>
        <v>2-4 Years</v>
      </c>
      <c r="AM292" s="1">
        <f>IF(HR_Data[[#This Row],[Attrition]]="Yes",1,0)</f>
        <v>0</v>
      </c>
    </row>
    <row r="293" spans="1:39" x14ac:dyDescent="0.3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 cm="1">
        <f t="array" ref="AJ293">_xlfn.IFS(
HR_Data[[#This Row],[Age]]&lt;25,"Under 25",
HR_Data[[#This Row],[Age]]&lt;35,"25-34",
HR_Data[[#This Row],[Age]]&lt;45,"35-44",
HR_Data[[#This Row],[Age]]&lt;55,"45-54",
TRUE,"55+"
)</f>
        <v>35-44</v>
      </c>
      <c r="AK293" t="str" cm="1">
        <f t="array" ref="AK293">_xlfn.IFS(
HR_Data[[#This Row],[MonthlyIncome]]&lt;3000,"&lt;3K",
HR_Data[[#This Row],[MonthlyIncome]]&lt;6000,"3K-6K",
HR_Data[[#This Row],[MonthlyIncome]]&lt;10000,"6K-10K",
TRUE,"10K+"
)</f>
        <v>3K-6K</v>
      </c>
      <c r="AL293" t="str" cm="1">
        <f t="array" ref="AL293">_xlfn.IFS(
HR_Data[[#This Row],[YearsAtCompany]]&lt;2,"&lt;2 Years",
HR_Data[[#This Row],[YearsAtCompany]]&lt;5,"2-4 Years",
HR_Data[[#This Row],[YearsAtCompany]]&lt;10,"5-9 Years",
TRUE,"10+ Years"
)</f>
        <v>5-9 Years</v>
      </c>
      <c r="AM293" s="1">
        <f>IF(HR_Data[[#This Row],[Attrition]]="Yes",1,0)</f>
        <v>0</v>
      </c>
    </row>
    <row r="294" spans="1:39" x14ac:dyDescent="0.3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 cm="1">
        <f t="array" ref="AJ294">_xlfn.IFS(
HR_Data[[#This Row],[Age]]&lt;25,"Under 25",
HR_Data[[#This Row],[Age]]&lt;35,"25-34",
HR_Data[[#This Row],[Age]]&lt;45,"35-44",
HR_Data[[#This Row],[Age]]&lt;55,"45-54",
TRUE,"55+"
)</f>
        <v>25-34</v>
      </c>
      <c r="AK294" t="str" cm="1">
        <f t="array" ref="AK294">_xlfn.IFS(
HR_Data[[#This Row],[MonthlyIncome]]&lt;3000,"&lt;3K",
HR_Data[[#This Row],[MonthlyIncome]]&lt;6000,"3K-6K",
HR_Data[[#This Row],[MonthlyIncome]]&lt;10000,"6K-10K",
TRUE,"10K+"
)</f>
        <v>&lt;3K</v>
      </c>
      <c r="AL294" t="str" cm="1">
        <f t="array" ref="AL294">_xlfn.IFS(
HR_Data[[#This Row],[YearsAtCompany]]&lt;2,"&lt;2 Years",
HR_Data[[#This Row],[YearsAtCompany]]&lt;5,"2-4 Years",
HR_Data[[#This Row],[YearsAtCompany]]&lt;10,"5-9 Years",
TRUE,"10+ Years"
)</f>
        <v>2-4 Years</v>
      </c>
      <c r="AM294" s="1">
        <f>IF(HR_Data[[#This Row],[Attrition]]="Yes",1,0)</f>
        <v>0</v>
      </c>
    </row>
    <row r="295" spans="1:39" x14ac:dyDescent="0.3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 cm="1">
        <f t="array" ref="AJ295">_xlfn.IFS(
HR_Data[[#This Row],[Age]]&lt;25,"Under 25",
HR_Data[[#This Row],[Age]]&lt;35,"25-34",
HR_Data[[#This Row],[Age]]&lt;45,"35-44",
HR_Data[[#This Row],[Age]]&lt;55,"45-54",
TRUE,"55+"
)</f>
        <v>25-34</v>
      </c>
      <c r="AK295" t="str" cm="1">
        <f t="array" ref="AK295">_xlfn.IFS(
HR_Data[[#This Row],[MonthlyIncome]]&lt;3000,"&lt;3K",
HR_Data[[#This Row],[MonthlyIncome]]&lt;6000,"3K-6K",
HR_Data[[#This Row],[MonthlyIncome]]&lt;10000,"6K-10K",
TRUE,"10K+"
)</f>
        <v>3K-6K</v>
      </c>
      <c r="AL295" t="str" cm="1">
        <f t="array" ref="AL295">_xlfn.IFS(
HR_Data[[#This Row],[YearsAtCompany]]&lt;2,"&lt;2 Years",
HR_Data[[#This Row],[YearsAtCompany]]&lt;5,"2-4 Years",
HR_Data[[#This Row],[YearsAtCompany]]&lt;10,"5-9 Years",
TRUE,"10+ Years"
)</f>
        <v>5-9 Years</v>
      </c>
      <c r="AM295" s="1">
        <f>IF(HR_Data[[#This Row],[Attrition]]="Yes",1,0)</f>
        <v>1</v>
      </c>
    </row>
    <row r="296" spans="1:39" x14ac:dyDescent="0.3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 cm="1">
        <f t="array" ref="AJ296">_xlfn.IFS(
HR_Data[[#This Row],[Age]]&lt;25,"Under 25",
HR_Data[[#This Row],[Age]]&lt;35,"25-34",
HR_Data[[#This Row],[Age]]&lt;45,"35-44",
HR_Data[[#This Row],[Age]]&lt;55,"45-54",
TRUE,"55+"
)</f>
        <v>35-44</v>
      </c>
      <c r="AK296" t="str" cm="1">
        <f t="array" ref="AK296">_xlfn.IFS(
HR_Data[[#This Row],[MonthlyIncome]]&lt;3000,"&lt;3K",
HR_Data[[#This Row],[MonthlyIncome]]&lt;6000,"3K-6K",
HR_Data[[#This Row],[MonthlyIncome]]&lt;10000,"6K-10K",
TRUE,"10K+"
)</f>
        <v>&lt;3K</v>
      </c>
      <c r="AL296" t="str" cm="1">
        <f t="array" ref="AL296">_xlfn.IFS(
HR_Data[[#This Row],[YearsAtCompany]]&lt;2,"&lt;2 Years",
HR_Data[[#This Row],[YearsAtCompany]]&lt;5,"2-4 Years",
HR_Data[[#This Row],[YearsAtCompany]]&lt;10,"5-9 Years",
TRUE,"10+ Years"
)</f>
        <v>2-4 Years</v>
      </c>
      <c r="AM296" s="1">
        <f>IF(HR_Data[[#This Row],[Attrition]]="Yes",1,0)</f>
        <v>0</v>
      </c>
    </row>
    <row r="297" spans="1:39" x14ac:dyDescent="0.3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 cm="1">
        <f t="array" ref="AJ297">_xlfn.IFS(
HR_Data[[#This Row],[Age]]&lt;25,"Under 25",
HR_Data[[#This Row],[Age]]&lt;35,"25-34",
HR_Data[[#This Row],[Age]]&lt;45,"35-44",
HR_Data[[#This Row],[Age]]&lt;55,"45-54",
TRUE,"55+"
)</f>
        <v>35-44</v>
      </c>
      <c r="AK297" t="str" cm="1">
        <f t="array" ref="AK297">_xlfn.IFS(
HR_Data[[#This Row],[MonthlyIncome]]&lt;3000,"&lt;3K",
HR_Data[[#This Row],[MonthlyIncome]]&lt;6000,"3K-6K",
HR_Data[[#This Row],[MonthlyIncome]]&lt;10000,"6K-10K",
TRUE,"10K+"
)</f>
        <v>10K+</v>
      </c>
      <c r="AL297" t="str" cm="1">
        <f t="array" ref="AL297">_xlfn.IFS(
HR_Data[[#This Row],[YearsAtCompany]]&lt;2,"&lt;2 Years",
HR_Data[[#This Row],[YearsAtCompany]]&lt;5,"2-4 Years",
HR_Data[[#This Row],[YearsAtCompany]]&lt;10,"5-9 Years",
TRUE,"10+ Years"
)</f>
        <v>10+ Years</v>
      </c>
      <c r="AM297" s="1">
        <f>IF(HR_Data[[#This Row],[Attrition]]="Yes",1,0)</f>
        <v>0</v>
      </c>
    </row>
    <row r="298" spans="1:39" x14ac:dyDescent="0.3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 cm="1">
        <f t="array" ref="AJ298">_xlfn.IFS(
HR_Data[[#This Row],[Age]]&lt;25,"Under 25",
HR_Data[[#This Row],[Age]]&lt;35,"25-34",
HR_Data[[#This Row],[Age]]&lt;45,"35-44",
HR_Data[[#This Row],[Age]]&lt;55,"45-54",
TRUE,"55+"
)</f>
        <v>Under 25</v>
      </c>
      <c r="AK298" t="str" cm="1">
        <f t="array" ref="AK298">_xlfn.IFS(
HR_Data[[#This Row],[MonthlyIncome]]&lt;3000,"&lt;3K",
HR_Data[[#This Row],[MonthlyIncome]]&lt;6000,"3K-6K",
HR_Data[[#This Row],[MonthlyIncome]]&lt;10000,"6K-10K",
TRUE,"10K+"
)</f>
        <v>&lt;3K</v>
      </c>
      <c r="AL298" t="str" cm="1">
        <f t="array" ref="AL298">_xlfn.IFS(
HR_Data[[#This Row],[YearsAtCompany]]&lt;2,"&lt;2 Years",
HR_Data[[#This Row],[YearsAtCompany]]&lt;5,"2-4 Years",
HR_Data[[#This Row],[YearsAtCompany]]&lt;10,"5-9 Years",
TRUE,"10+ Years"
)</f>
        <v>&lt;2 Years</v>
      </c>
      <c r="AM298" s="1">
        <f>IF(HR_Data[[#This Row],[Attrition]]="Yes",1,0)</f>
        <v>1</v>
      </c>
    </row>
    <row r="299" spans="1:39" x14ac:dyDescent="0.3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 cm="1">
        <f t="array" ref="AJ299">_xlfn.IFS(
HR_Data[[#This Row],[Age]]&lt;25,"Under 25",
HR_Data[[#This Row],[Age]]&lt;35,"25-34",
HR_Data[[#This Row],[Age]]&lt;45,"35-44",
HR_Data[[#This Row],[Age]]&lt;55,"45-54",
TRUE,"55+"
)</f>
        <v>35-44</v>
      </c>
      <c r="AK299" t="str" cm="1">
        <f t="array" ref="AK299">_xlfn.IFS(
HR_Data[[#This Row],[MonthlyIncome]]&lt;3000,"&lt;3K",
HR_Data[[#This Row],[MonthlyIncome]]&lt;6000,"3K-6K",
HR_Data[[#This Row],[MonthlyIncome]]&lt;10000,"6K-10K",
TRUE,"10K+"
)</f>
        <v>6K-10K</v>
      </c>
      <c r="AL299" t="str" cm="1">
        <f t="array" ref="AL299">_xlfn.IFS(
HR_Data[[#This Row],[YearsAtCompany]]&lt;2,"&lt;2 Years",
HR_Data[[#This Row],[YearsAtCompany]]&lt;5,"2-4 Years",
HR_Data[[#This Row],[YearsAtCompany]]&lt;10,"5-9 Years",
TRUE,"10+ Years"
)</f>
        <v>10+ Years</v>
      </c>
      <c r="AM299" s="1">
        <f>IF(HR_Data[[#This Row],[Attrition]]="Yes",1,0)</f>
        <v>0</v>
      </c>
    </row>
    <row r="300" spans="1:39" x14ac:dyDescent="0.3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 cm="1">
        <f t="array" ref="AJ300">_xlfn.IFS(
HR_Data[[#This Row],[Age]]&lt;25,"Under 25",
HR_Data[[#This Row],[Age]]&lt;35,"25-34",
HR_Data[[#This Row],[Age]]&lt;45,"35-44",
HR_Data[[#This Row],[Age]]&lt;55,"45-54",
TRUE,"55+"
)</f>
        <v>35-44</v>
      </c>
      <c r="AK300" t="str" cm="1">
        <f t="array" ref="AK300">_xlfn.IFS(
HR_Data[[#This Row],[MonthlyIncome]]&lt;3000,"&lt;3K",
HR_Data[[#This Row],[MonthlyIncome]]&lt;6000,"3K-6K",
HR_Data[[#This Row],[MonthlyIncome]]&lt;10000,"6K-10K",
TRUE,"10K+"
)</f>
        <v>3K-6K</v>
      </c>
      <c r="AL300" t="str" cm="1">
        <f t="array" ref="AL300">_xlfn.IFS(
HR_Data[[#This Row],[YearsAtCompany]]&lt;2,"&lt;2 Years",
HR_Data[[#This Row],[YearsAtCompany]]&lt;5,"2-4 Years",
HR_Data[[#This Row],[YearsAtCompany]]&lt;10,"5-9 Years",
TRUE,"10+ Years"
)</f>
        <v>&lt;2 Years</v>
      </c>
      <c r="AM300" s="1">
        <f>IF(HR_Data[[#This Row],[Attrition]]="Yes",1,0)</f>
        <v>0</v>
      </c>
    </row>
    <row r="301" spans="1:39" x14ac:dyDescent="0.3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 cm="1">
        <f t="array" ref="AJ301">_xlfn.IFS(
HR_Data[[#This Row],[Age]]&lt;25,"Under 25",
HR_Data[[#This Row],[Age]]&lt;35,"25-34",
HR_Data[[#This Row],[Age]]&lt;45,"35-44",
HR_Data[[#This Row],[Age]]&lt;55,"45-54",
TRUE,"55+"
)</f>
        <v>45-54</v>
      </c>
      <c r="AK301" t="str" cm="1">
        <f t="array" ref="AK301">_xlfn.IFS(
HR_Data[[#This Row],[MonthlyIncome]]&lt;3000,"&lt;3K",
HR_Data[[#This Row],[MonthlyIncome]]&lt;6000,"3K-6K",
HR_Data[[#This Row],[MonthlyIncome]]&lt;10000,"6K-10K",
TRUE,"10K+"
)</f>
        <v>3K-6K</v>
      </c>
      <c r="AL301" t="str" cm="1">
        <f t="array" ref="AL301">_xlfn.IFS(
HR_Data[[#This Row],[YearsAtCompany]]&lt;2,"&lt;2 Years",
HR_Data[[#This Row],[YearsAtCompany]]&lt;5,"2-4 Years",
HR_Data[[#This Row],[YearsAtCompany]]&lt;10,"5-9 Years",
TRUE,"10+ Years"
)</f>
        <v>2-4 Years</v>
      </c>
      <c r="AM301" s="1">
        <f>IF(HR_Data[[#This Row],[Attrition]]="Yes",1,0)</f>
        <v>0</v>
      </c>
    </row>
    <row r="302" spans="1:39" x14ac:dyDescent="0.3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 cm="1">
        <f t="array" ref="AJ302">_xlfn.IFS(
HR_Data[[#This Row],[Age]]&lt;25,"Under 25",
HR_Data[[#This Row],[Age]]&lt;35,"25-34",
HR_Data[[#This Row],[Age]]&lt;45,"35-44",
HR_Data[[#This Row],[Age]]&lt;55,"45-54",
TRUE,"55+"
)</f>
        <v>35-44</v>
      </c>
      <c r="AK302" t="str" cm="1">
        <f t="array" ref="AK302">_xlfn.IFS(
HR_Data[[#This Row],[MonthlyIncome]]&lt;3000,"&lt;3K",
HR_Data[[#This Row],[MonthlyIncome]]&lt;6000,"3K-6K",
HR_Data[[#This Row],[MonthlyIncome]]&lt;10000,"6K-10K",
TRUE,"10K+"
)</f>
        <v>10K+</v>
      </c>
      <c r="AL302" t="str" cm="1">
        <f t="array" ref="AL302">_xlfn.IFS(
HR_Data[[#This Row],[YearsAtCompany]]&lt;2,"&lt;2 Years",
HR_Data[[#This Row],[YearsAtCompany]]&lt;5,"2-4 Years",
HR_Data[[#This Row],[YearsAtCompany]]&lt;10,"5-9 Years",
TRUE,"10+ Years"
)</f>
        <v>10+ Years</v>
      </c>
      <c r="AM302" s="1">
        <f>IF(HR_Data[[#This Row],[Attrition]]="Yes",1,0)</f>
        <v>0</v>
      </c>
    </row>
    <row r="303" spans="1:39" x14ac:dyDescent="0.3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 cm="1">
        <f t="array" ref="AJ303">_xlfn.IFS(
HR_Data[[#This Row],[Age]]&lt;25,"Under 25",
HR_Data[[#This Row],[Age]]&lt;35,"25-34",
HR_Data[[#This Row],[Age]]&lt;45,"35-44",
HR_Data[[#This Row],[Age]]&lt;55,"45-54",
TRUE,"55+"
)</f>
        <v>Under 25</v>
      </c>
      <c r="AK303" t="str" cm="1">
        <f t="array" ref="AK303">_xlfn.IFS(
HR_Data[[#This Row],[MonthlyIncome]]&lt;3000,"&lt;3K",
HR_Data[[#This Row],[MonthlyIncome]]&lt;6000,"3K-6K",
HR_Data[[#This Row],[MonthlyIncome]]&lt;10000,"6K-10K",
TRUE,"10K+"
)</f>
        <v>&lt;3K</v>
      </c>
      <c r="AL303" t="str" cm="1">
        <f t="array" ref="AL303">_xlfn.IFS(
HR_Data[[#This Row],[YearsAtCompany]]&lt;2,"&lt;2 Years",
HR_Data[[#This Row],[YearsAtCompany]]&lt;5,"2-4 Years",
HR_Data[[#This Row],[YearsAtCompany]]&lt;10,"5-9 Years",
TRUE,"10+ Years"
)</f>
        <v>&lt;2 Years</v>
      </c>
      <c r="AM303" s="1">
        <f>IF(HR_Data[[#This Row],[Attrition]]="Yes",1,0)</f>
        <v>0</v>
      </c>
    </row>
    <row r="304" spans="1:39" x14ac:dyDescent="0.3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 cm="1">
        <f t="array" ref="AJ304">_xlfn.IFS(
HR_Data[[#This Row],[Age]]&lt;25,"Under 25",
HR_Data[[#This Row],[Age]]&lt;35,"25-34",
HR_Data[[#This Row],[Age]]&lt;45,"35-44",
HR_Data[[#This Row],[Age]]&lt;55,"45-54",
TRUE,"55+"
)</f>
        <v>25-34</v>
      </c>
      <c r="AK304" t="str" cm="1">
        <f t="array" ref="AK304">_xlfn.IFS(
HR_Data[[#This Row],[MonthlyIncome]]&lt;3000,"&lt;3K",
HR_Data[[#This Row],[MonthlyIncome]]&lt;6000,"3K-6K",
HR_Data[[#This Row],[MonthlyIncome]]&lt;10000,"6K-10K",
TRUE,"10K+"
)</f>
        <v>3K-6K</v>
      </c>
      <c r="AL304" t="str" cm="1">
        <f t="array" ref="AL304">_xlfn.IFS(
HR_Data[[#This Row],[YearsAtCompany]]&lt;2,"&lt;2 Years",
HR_Data[[#This Row],[YearsAtCompany]]&lt;5,"2-4 Years",
HR_Data[[#This Row],[YearsAtCompany]]&lt;10,"5-9 Years",
TRUE,"10+ Years"
)</f>
        <v>5-9 Years</v>
      </c>
      <c r="AM304" s="1">
        <f>IF(HR_Data[[#This Row],[Attrition]]="Yes",1,0)</f>
        <v>0</v>
      </c>
    </row>
    <row r="305" spans="1:39" x14ac:dyDescent="0.3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 cm="1">
        <f t="array" ref="AJ305">_xlfn.IFS(
HR_Data[[#This Row],[Age]]&lt;25,"Under 25",
HR_Data[[#This Row],[Age]]&lt;35,"25-34",
HR_Data[[#This Row],[Age]]&lt;45,"35-44",
HR_Data[[#This Row],[Age]]&lt;55,"45-54",
TRUE,"55+"
)</f>
        <v>25-34</v>
      </c>
      <c r="AK305" t="str" cm="1">
        <f t="array" ref="AK305">_xlfn.IFS(
HR_Data[[#This Row],[MonthlyIncome]]&lt;3000,"&lt;3K",
HR_Data[[#This Row],[MonthlyIncome]]&lt;6000,"3K-6K",
HR_Data[[#This Row],[MonthlyIncome]]&lt;10000,"6K-10K",
TRUE,"10K+"
)</f>
        <v>6K-10K</v>
      </c>
      <c r="AL305" t="str" cm="1">
        <f t="array" ref="AL305">_xlfn.IFS(
HR_Data[[#This Row],[YearsAtCompany]]&lt;2,"&lt;2 Years",
HR_Data[[#This Row],[YearsAtCompany]]&lt;5,"2-4 Years",
HR_Data[[#This Row],[YearsAtCompany]]&lt;10,"5-9 Years",
TRUE,"10+ Years"
)</f>
        <v>5-9 Years</v>
      </c>
      <c r="AM305" s="1">
        <f>IF(HR_Data[[#This Row],[Attrition]]="Yes",1,0)</f>
        <v>0</v>
      </c>
    </row>
    <row r="306" spans="1:39" x14ac:dyDescent="0.3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 cm="1">
        <f t="array" ref="AJ306">_xlfn.IFS(
HR_Data[[#This Row],[Age]]&lt;25,"Under 25",
HR_Data[[#This Row],[Age]]&lt;35,"25-34",
HR_Data[[#This Row],[Age]]&lt;45,"35-44",
HR_Data[[#This Row],[Age]]&lt;55,"45-54",
TRUE,"55+"
)</f>
        <v>35-44</v>
      </c>
      <c r="AK306" t="str" cm="1">
        <f t="array" ref="AK306">_xlfn.IFS(
HR_Data[[#This Row],[MonthlyIncome]]&lt;3000,"&lt;3K",
HR_Data[[#This Row],[MonthlyIncome]]&lt;6000,"3K-6K",
HR_Data[[#This Row],[MonthlyIncome]]&lt;10000,"6K-10K",
TRUE,"10K+"
)</f>
        <v>6K-10K</v>
      </c>
      <c r="AL306" t="str" cm="1">
        <f t="array" ref="AL306">_xlfn.IFS(
HR_Data[[#This Row],[YearsAtCompany]]&lt;2,"&lt;2 Years",
HR_Data[[#This Row],[YearsAtCompany]]&lt;5,"2-4 Years",
HR_Data[[#This Row],[YearsAtCompany]]&lt;10,"5-9 Years",
TRUE,"10+ Years"
)</f>
        <v>10+ Years</v>
      </c>
      <c r="AM306" s="1">
        <f>IF(HR_Data[[#This Row],[Attrition]]="Yes",1,0)</f>
        <v>0</v>
      </c>
    </row>
    <row r="307" spans="1:39" x14ac:dyDescent="0.3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 cm="1">
        <f t="array" ref="AJ307">_xlfn.IFS(
HR_Data[[#This Row],[Age]]&lt;25,"Under 25",
HR_Data[[#This Row],[Age]]&lt;35,"25-34",
HR_Data[[#This Row],[Age]]&lt;45,"35-44",
HR_Data[[#This Row],[Age]]&lt;55,"45-54",
TRUE,"55+"
)</f>
        <v>35-44</v>
      </c>
      <c r="AK307" t="str" cm="1">
        <f t="array" ref="AK307">_xlfn.IFS(
HR_Data[[#This Row],[MonthlyIncome]]&lt;3000,"&lt;3K",
HR_Data[[#This Row],[MonthlyIncome]]&lt;6000,"3K-6K",
HR_Data[[#This Row],[MonthlyIncome]]&lt;10000,"6K-10K",
TRUE,"10K+"
)</f>
        <v>3K-6K</v>
      </c>
      <c r="AL307" t="str" cm="1">
        <f t="array" ref="AL307">_xlfn.IFS(
HR_Data[[#This Row],[YearsAtCompany]]&lt;2,"&lt;2 Years",
HR_Data[[#This Row],[YearsAtCompany]]&lt;5,"2-4 Years",
HR_Data[[#This Row],[YearsAtCompany]]&lt;10,"5-9 Years",
TRUE,"10+ Years"
)</f>
        <v>5-9 Years</v>
      </c>
      <c r="AM307" s="1">
        <f>IF(HR_Data[[#This Row],[Attrition]]="Yes",1,0)</f>
        <v>0</v>
      </c>
    </row>
    <row r="308" spans="1:39" x14ac:dyDescent="0.3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 cm="1">
        <f t="array" ref="AJ308">_xlfn.IFS(
HR_Data[[#This Row],[Age]]&lt;25,"Under 25",
HR_Data[[#This Row],[Age]]&lt;35,"25-34",
HR_Data[[#This Row],[Age]]&lt;45,"35-44",
HR_Data[[#This Row],[Age]]&lt;55,"45-54",
TRUE,"55+"
)</f>
        <v>25-34</v>
      </c>
      <c r="AK308" t="str" cm="1">
        <f t="array" ref="AK308">_xlfn.IFS(
HR_Data[[#This Row],[MonthlyIncome]]&lt;3000,"&lt;3K",
HR_Data[[#This Row],[MonthlyIncome]]&lt;6000,"3K-6K",
HR_Data[[#This Row],[MonthlyIncome]]&lt;10000,"6K-10K",
TRUE,"10K+"
)</f>
        <v>3K-6K</v>
      </c>
      <c r="AL308" t="str" cm="1">
        <f t="array" ref="AL308">_xlfn.IFS(
HR_Data[[#This Row],[YearsAtCompany]]&lt;2,"&lt;2 Years",
HR_Data[[#This Row],[YearsAtCompany]]&lt;5,"2-4 Years",
HR_Data[[#This Row],[YearsAtCompany]]&lt;10,"5-9 Years",
TRUE,"10+ Years"
)</f>
        <v>10+ Years</v>
      </c>
      <c r="AM308" s="1">
        <f>IF(HR_Data[[#This Row],[Attrition]]="Yes",1,0)</f>
        <v>0</v>
      </c>
    </row>
    <row r="309" spans="1:39" x14ac:dyDescent="0.3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 cm="1">
        <f t="array" ref="AJ309">_xlfn.IFS(
HR_Data[[#This Row],[Age]]&lt;25,"Under 25",
HR_Data[[#This Row],[Age]]&lt;35,"25-34",
HR_Data[[#This Row],[Age]]&lt;45,"35-44",
HR_Data[[#This Row],[Age]]&lt;55,"45-54",
TRUE,"55+"
)</f>
        <v>35-44</v>
      </c>
      <c r="AK309" t="str" cm="1">
        <f t="array" ref="AK309">_xlfn.IFS(
HR_Data[[#This Row],[MonthlyIncome]]&lt;3000,"&lt;3K",
HR_Data[[#This Row],[MonthlyIncome]]&lt;6000,"3K-6K",
HR_Data[[#This Row],[MonthlyIncome]]&lt;10000,"6K-10K",
TRUE,"10K+"
)</f>
        <v>10K+</v>
      </c>
      <c r="AL309" t="str" cm="1">
        <f t="array" ref="AL309">_xlfn.IFS(
HR_Data[[#This Row],[YearsAtCompany]]&lt;2,"&lt;2 Years",
HR_Data[[#This Row],[YearsAtCompany]]&lt;5,"2-4 Years",
HR_Data[[#This Row],[YearsAtCompany]]&lt;10,"5-9 Years",
TRUE,"10+ Years"
)</f>
        <v>10+ Years</v>
      </c>
      <c r="AM309" s="1">
        <f>IF(HR_Data[[#This Row],[Attrition]]="Yes",1,0)</f>
        <v>0</v>
      </c>
    </row>
    <row r="310" spans="1:39" x14ac:dyDescent="0.3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 cm="1">
        <f t="array" ref="AJ310">_xlfn.IFS(
HR_Data[[#This Row],[Age]]&lt;25,"Under 25",
HR_Data[[#This Row],[Age]]&lt;35,"25-34",
HR_Data[[#This Row],[Age]]&lt;45,"35-44",
HR_Data[[#This Row],[Age]]&lt;55,"45-54",
TRUE,"55+"
)</f>
        <v>55+</v>
      </c>
      <c r="AK310" t="str" cm="1">
        <f t="array" ref="AK310">_xlfn.IFS(
HR_Data[[#This Row],[MonthlyIncome]]&lt;3000,"&lt;3K",
HR_Data[[#This Row],[MonthlyIncome]]&lt;6000,"3K-6K",
HR_Data[[#This Row],[MonthlyIncome]]&lt;10000,"6K-10K",
TRUE,"10K+"
)</f>
        <v>3K-6K</v>
      </c>
      <c r="AL310" t="str" cm="1">
        <f t="array" ref="AL310">_xlfn.IFS(
HR_Data[[#This Row],[YearsAtCompany]]&lt;2,"&lt;2 Years",
HR_Data[[#This Row],[YearsAtCompany]]&lt;5,"2-4 Years",
HR_Data[[#This Row],[YearsAtCompany]]&lt;10,"5-9 Years",
TRUE,"10+ Years"
)</f>
        <v>5-9 Years</v>
      </c>
      <c r="AM310" s="1">
        <f>IF(HR_Data[[#This Row],[Attrition]]="Yes",1,0)</f>
        <v>0</v>
      </c>
    </row>
    <row r="311" spans="1:39" x14ac:dyDescent="0.3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 cm="1">
        <f t="array" ref="AJ311">_xlfn.IFS(
HR_Data[[#This Row],[Age]]&lt;25,"Under 25",
HR_Data[[#This Row],[Age]]&lt;35,"25-34",
HR_Data[[#This Row],[Age]]&lt;45,"35-44",
HR_Data[[#This Row],[Age]]&lt;55,"45-54",
TRUE,"55+"
)</f>
        <v>25-34</v>
      </c>
      <c r="AK311" t="str" cm="1">
        <f t="array" ref="AK311">_xlfn.IFS(
HR_Data[[#This Row],[MonthlyIncome]]&lt;3000,"&lt;3K",
HR_Data[[#This Row],[MonthlyIncome]]&lt;6000,"3K-6K",
HR_Data[[#This Row],[MonthlyIncome]]&lt;10000,"6K-10K",
TRUE,"10K+"
)</f>
        <v>3K-6K</v>
      </c>
      <c r="AL311" t="str" cm="1">
        <f t="array" ref="AL311">_xlfn.IFS(
HR_Data[[#This Row],[YearsAtCompany]]&lt;2,"&lt;2 Years",
HR_Data[[#This Row],[YearsAtCompany]]&lt;5,"2-4 Years",
HR_Data[[#This Row],[YearsAtCompany]]&lt;10,"5-9 Years",
TRUE,"10+ Years"
)</f>
        <v>5-9 Years</v>
      </c>
      <c r="AM311" s="1">
        <f>IF(HR_Data[[#This Row],[Attrition]]="Yes",1,0)</f>
        <v>0</v>
      </c>
    </row>
    <row r="312" spans="1:39" x14ac:dyDescent="0.3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 cm="1">
        <f t="array" ref="AJ312">_xlfn.IFS(
HR_Data[[#This Row],[Age]]&lt;25,"Under 25",
HR_Data[[#This Row],[Age]]&lt;35,"25-34",
HR_Data[[#This Row],[Age]]&lt;45,"35-44",
HR_Data[[#This Row],[Age]]&lt;55,"45-54",
TRUE,"55+"
)</f>
        <v>25-34</v>
      </c>
      <c r="AK312" t="str" cm="1">
        <f t="array" ref="AK312">_xlfn.IFS(
HR_Data[[#This Row],[MonthlyIncome]]&lt;3000,"&lt;3K",
HR_Data[[#This Row],[MonthlyIncome]]&lt;6000,"3K-6K",
HR_Data[[#This Row],[MonthlyIncome]]&lt;10000,"6K-10K",
TRUE,"10K+"
)</f>
        <v>6K-10K</v>
      </c>
      <c r="AL312" t="str" cm="1">
        <f t="array" ref="AL312">_xlfn.IFS(
HR_Data[[#This Row],[YearsAtCompany]]&lt;2,"&lt;2 Years",
HR_Data[[#This Row],[YearsAtCompany]]&lt;5,"2-4 Years",
HR_Data[[#This Row],[YearsAtCompany]]&lt;10,"5-9 Years",
TRUE,"10+ Years"
)</f>
        <v>2-4 Years</v>
      </c>
      <c r="AM312" s="1">
        <f>IF(HR_Data[[#This Row],[Attrition]]="Yes",1,0)</f>
        <v>0</v>
      </c>
    </row>
    <row r="313" spans="1:39" x14ac:dyDescent="0.3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 cm="1">
        <f t="array" ref="AJ313">_xlfn.IFS(
HR_Data[[#This Row],[Age]]&lt;25,"Under 25",
HR_Data[[#This Row],[Age]]&lt;35,"25-34",
HR_Data[[#This Row],[Age]]&lt;45,"35-44",
HR_Data[[#This Row],[Age]]&lt;55,"45-54",
TRUE,"55+"
)</f>
        <v>45-54</v>
      </c>
      <c r="AK313" t="str" cm="1">
        <f t="array" ref="AK313">_xlfn.IFS(
HR_Data[[#This Row],[MonthlyIncome]]&lt;3000,"&lt;3K",
HR_Data[[#This Row],[MonthlyIncome]]&lt;6000,"3K-6K",
HR_Data[[#This Row],[MonthlyIncome]]&lt;10000,"6K-10K",
TRUE,"10K+"
)</f>
        <v>3K-6K</v>
      </c>
      <c r="AL313" t="str" cm="1">
        <f t="array" ref="AL313">_xlfn.IFS(
HR_Data[[#This Row],[YearsAtCompany]]&lt;2,"&lt;2 Years",
HR_Data[[#This Row],[YearsAtCompany]]&lt;5,"2-4 Years",
HR_Data[[#This Row],[YearsAtCompany]]&lt;10,"5-9 Years",
TRUE,"10+ Years"
)</f>
        <v>10+ Years</v>
      </c>
      <c r="AM313" s="1">
        <f>IF(HR_Data[[#This Row],[Attrition]]="Yes",1,0)</f>
        <v>0</v>
      </c>
    </row>
    <row r="314" spans="1:39" x14ac:dyDescent="0.3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 cm="1">
        <f t="array" ref="AJ314">_xlfn.IFS(
HR_Data[[#This Row],[Age]]&lt;25,"Under 25",
HR_Data[[#This Row],[Age]]&lt;35,"25-34",
HR_Data[[#This Row],[Age]]&lt;45,"35-44",
HR_Data[[#This Row],[Age]]&lt;55,"45-54",
TRUE,"55+"
)</f>
        <v>25-34</v>
      </c>
      <c r="AK314" t="str" cm="1">
        <f t="array" ref="AK314">_xlfn.IFS(
HR_Data[[#This Row],[MonthlyIncome]]&lt;3000,"&lt;3K",
HR_Data[[#This Row],[MonthlyIncome]]&lt;6000,"3K-6K",
HR_Data[[#This Row],[MonthlyIncome]]&lt;10000,"6K-10K",
TRUE,"10K+"
)</f>
        <v>&lt;3K</v>
      </c>
      <c r="AL314" t="str" cm="1">
        <f t="array" ref="AL314">_xlfn.IFS(
HR_Data[[#This Row],[YearsAtCompany]]&lt;2,"&lt;2 Years",
HR_Data[[#This Row],[YearsAtCompany]]&lt;5,"2-4 Years",
HR_Data[[#This Row],[YearsAtCompany]]&lt;10,"5-9 Years",
TRUE,"10+ Years"
)</f>
        <v>2-4 Years</v>
      </c>
      <c r="AM314" s="1">
        <f>IF(HR_Data[[#This Row],[Attrition]]="Yes",1,0)</f>
        <v>0</v>
      </c>
    </row>
    <row r="315" spans="1:39" x14ac:dyDescent="0.3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 cm="1">
        <f t="array" ref="AJ315">_xlfn.IFS(
HR_Data[[#This Row],[Age]]&lt;25,"Under 25",
HR_Data[[#This Row],[Age]]&lt;35,"25-34",
HR_Data[[#This Row],[Age]]&lt;45,"35-44",
HR_Data[[#This Row],[Age]]&lt;55,"45-54",
TRUE,"55+"
)</f>
        <v>25-34</v>
      </c>
      <c r="AK315" t="str" cm="1">
        <f t="array" ref="AK315">_xlfn.IFS(
HR_Data[[#This Row],[MonthlyIncome]]&lt;3000,"&lt;3K",
HR_Data[[#This Row],[MonthlyIncome]]&lt;6000,"3K-6K",
HR_Data[[#This Row],[MonthlyIncome]]&lt;10000,"6K-10K",
TRUE,"10K+"
)</f>
        <v>10K+</v>
      </c>
      <c r="AL315" t="str" cm="1">
        <f t="array" ref="AL315">_xlfn.IFS(
HR_Data[[#This Row],[YearsAtCompany]]&lt;2,"&lt;2 Years",
HR_Data[[#This Row],[YearsAtCompany]]&lt;5,"2-4 Years",
HR_Data[[#This Row],[YearsAtCompany]]&lt;10,"5-9 Years",
TRUE,"10+ Years"
)</f>
        <v>10+ Years</v>
      </c>
      <c r="AM315" s="1">
        <f>IF(HR_Data[[#This Row],[Attrition]]="Yes",1,0)</f>
        <v>0</v>
      </c>
    </row>
    <row r="316" spans="1:39" x14ac:dyDescent="0.3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 cm="1">
        <f t="array" ref="AJ316">_xlfn.IFS(
HR_Data[[#This Row],[Age]]&lt;25,"Under 25",
HR_Data[[#This Row],[Age]]&lt;35,"25-34",
HR_Data[[#This Row],[Age]]&lt;45,"35-44",
HR_Data[[#This Row],[Age]]&lt;55,"45-54",
TRUE,"55+"
)</f>
        <v>35-44</v>
      </c>
      <c r="AK316" t="str" cm="1">
        <f t="array" ref="AK316">_xlfn.IFS(
HR_Data[[#This Row],[MonthlyIncome]]&lt;3000,"&lt;3K",
HR_Data[[#This Row],[MonthlyIncome]]&lt;6000,"3K-6K",
HR_Data[[#This Row],[MonthlyIncome]]&lt;10000,"6K-10K",
TRUE,"10K+"
)</f>
        <v>10K+</v>
      </c>
      <c r="AL316" t="str" cm="1">
        <f t="array" ref="AL316">_xlfn.IFS(
HR_Data[[#This Row],[YearsAtCompany]]&lt;2,"&lt;2 Years",
HR_Data[[#This Row],[YearsAtCompany]]&lt;5,"2-4 Years",
HR_Data[[#This Row],[YearsAtCompany]]&lt;10,"5-9 Years",
TRUE,"10+ Years"
)</f>
        <v>10+ Years</v>
      </c>
      <c r="AM316" s="1">
        <f>IF(HR_Data[[#This Row],[Attrition]]="Yes",1,0)</f>
        <v>0</v>
      </c>
    </row>
    <row r="317" spans="1:39" x14ac:dyDescent="0.3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 cm="1">
        <f t="array" ref="AJ317">_xlfn.IFS(
HR_Data[[#This Row],[Age]]&lt;25,"Under 25",
HR_Data[[#This Row],[Age]]&lt;35,"25-34",
HR_Data[[#This Row],[Age]]&lt;45,"35-44",
HR_Data[[#This Row],[Age]]&lt;55,"45-54",
TRUE,"55+"
)</f>
        <v>35-44</v>
      </c>
      <c r="AK317" t="str" cm="1">
        <f t="array" ref="AK317">_xlfn.IFS(
HR_Data[[#This Row],[MonthlyIncome]]&lt;3000,"&lt;3K",
HR_Data[[#This Row],[MonthlyIncome]]&lt;6000,"3K-6K",
HR_Data[[#This Row],[MonthlyIncome]]&lt;10000,"6K-10K",
TRUE,"10K+"
)</f>
        <v>&lt;3K</v>
      </c>
      <c r="AL317" t="str" cm="1">
        <f t="array" ref="AL317">_xlfn.IFS(
HR_Data[[#This Row],[YearsAtCompany]]&lt;2,"&lt;2 Years",
HR_Data[[#This Row],[YearsAtCompany]]&lt;5,"2-4 Years",
HR_Data[[#This Row],[YearsAtCompany]]&lt;10,"5-9 Years",
TRUE,"10+ Years"
)</f>
        <v>5-9 Years</v>
      </c>
      <c r="AM317" s="1">
        <f>IF(HR_Data[[#This Row],[Attrition]]="Yes",1,0)</f>
        <v>0</v>
      </c>
    </row>
    <row r="318" spans="1:39" x14ac:dyDescent="0.3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 cm="1">
        <f t="array" ref="AJ318">_xlfn.IFS(
HR_Data[[#This Row],[Age]]&lt;25,"Under 25",
HR_Data[[#This Row],[Age]]&lt;35,"25-34",
HR_Data[[#This Row],[Age]]&lt;45,"35-44",
HR_Data[[#This Row],[Age]]&lt;55,"45-54",
TRUE,"55+"
)</f>
        <v>45-54</v>
      </c>
      <c r="AK318" t="str" cm="1">
        <f t="array" ref="AK318">_xlfn.IFS(
HR_Data[[#This Row],[MonthlyIncome]]&lt;3000,"&lt;3K",
HR_Data[[#This Row],[MonthlyIncome]]&lt;6000,"3K-6K",
HR_Data[[#This Row],[MonthlyIncome]]&lt;10000,"6K-10K",
TRUE,"10K+"
)</f>
        <v>10K+</v>
      </c>
      <c r="AL318" t="str" cm="1">
        <f t="array" ref="AL318">_xlfn.IFS(
HR_Data[[#This Row],[YearsAtCompany]]&lt;2,"&lt;2 Years",
HR_Data[[#This Row],[YearsAtCompany]]&lt;5,"2-4 Years",
HR_Data[[#This Row],[YearsAtCompany]]&lt;10,"5-9 Years",
TRUE,"10+ Years"
)</f>
        <v>5-9 Years</v>
      </c>
      <c r="AM318" s="1">
        <f>IF(HR_Data[[#This Row],[Attrition]]="Yes",1,0)</f>
        <v>0</v>
      </c>
    </row>
    <row r="319" spans="1:39" x14ac:dyDescent="0.3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 cm="1">
        <f t="array" ref="AJ319">_xlfn.IFS(
HR_Data[[#This Row],[Age]]&lt;25,"Under 25",
HR_Data[[#This Row],[Age]]&lt;35,"25-34",
HR_Data[[#This Row],[Age]]&lt;45,"35-44",
HR_Data[[#This Row],[Age]]&lt;55,"45-54",
TRUE,"55+"
)</f>
        <v>45-54</v>
      </c>
      <c r="AK319" t="str" cm="1">
        <f t="array" ref="AK319">_xlfn.IFS(
HR_Data[[#This Row],[MonthlyIncome]]&lt;3000,"&lt;3K",
HR_Data[[#This Row],[MonthlyIncome]]&lt;6000,"3K-6K",
HR_Data[[#This Row],[MonthlyIncome]]&lt;10000,"6K-10K",
TRUE,"10K+"
)</f>
        <v>3K-6K</v>
      </c>
      <c r="AL319" t="str" cm="1">
        <f t="array" ref="AL319">_xlfn.IFS(
HR_Data[[#This Row],[YearsAtCompany]]&lt;2,"&lt;2 Years",
HR_Data[[#This Row],[YearsAtCompany]]&lt;5,"2-4 Years",
HR_Data[[#This Row],[YearsAtCompany]]&lt;10,"5-9 Years",
TRUE,"10+ Years"
)</f>
        <v>5-9 Years</v>
      </c>
      <c r="AM319" s="1">
        <f>IF(HR_Data[[#This Row],[Attrition]]="Yes",1,0)</f>
        <v>1</v>
      </c>
    </row>
    <row r="320" spans="1:39" x14ac:dyDescent="0.3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 cm="1">
        <f t="array" ref="AJ320">_xlfn.IFS(
HR_Data[[#This Row],[Age]]&lt;25,"Under 25",
HR_Data[[#This Row],[Age]]&lt;35,"25-34",
HR_Data[[#This Row],[Age]]&lt;45,"35-44",
HR_Data[[#This Row],[Age]]&lt;55,"45-54",
TRUE,"55+"
)</f>
        <v>25-34</v>
      </c>
      <c r="AK320" t="str" cm="1">
        <f t="array" ref="AK320">_xlfn.IFS(
HR_Data[[#This Row],[MonthlyIncome]]&lt;3000,"&lt;3K",
HR_Data[[#This Row],[MonthlyIncome]]&lt;6000,"3K-6K",
HR_Data[[#This Row],[MonthlyIncome]]&lt;10000,"6K-10K",
TRUE,"10K+"
)</f>
        <v>&lt;3K</v>
      </c>
      <c r="AL320" t="str" cm="1">
        <f t="array" ref="AL320">_xlfn.IFS(
HR_Data[[#This Row],[YearsAtCompany]]&lt;2,"&lt;2 Years",
HR_Data[[#This Row],[YearsAtCompany]]&lt;5,"2-4 Years",
HR_Data[[#This Row],[YearsAtCompany]]&lt;10,"5-9 Years",
TRUE,"10+ Years"
)</f>
        <v>2-4 Years</v>
      </c>
      <c r="AM320" s="1">
        <f>IF(HR_Data[[#This Row],[Attrition]]="Yes",1,0)</f>
        <v>0</v>
      </c>
    </row>
    <row r="321" spans="1:39" x14ac:dyDescent="0.3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 cm="1">
        <f t="array" ref="AJ321">_xlfn.IFS(
HR_Data[[#This Row],[Age]]&lt;25,"Under 25",
HR_Data[[#This Row],[Age]]&lt;35,"25-34",
HR_Data[[#This Row],[Age]]&lt;45,"35-44",
HR_Data[[#This Row],[Age]]&lt;55,"45-54",
TRUE,"55+"
)</f>
        <v>25-34</v>
      </c>
      <c r="AK321" t="str" cm="1">
        <f t="array" ref="AK321">_xlfn.IFS(
HR_Data[[#This Row],[MonthlyIncome]]&lt;3000,"&lt;3K",
HR_Data[[#This Row],[MonthlyIncome]]&lt;6000,"3K-6K",
HR_Data[[#This Row],[MonthlyIncome]]&lt;10000,"6K-10K",
TRUE,"10K+"
)</f>
        <v>3K-6K</v>
      </c>
      <c r="AL321" t="str" cm="1">
        <f t="array" ref="AL321">_xlfn.IFS(
HR_Data[[#This Row],[YearsAtCompany]]&lt;2,"&lt;2 Years",
HR_Data[[#This Row],[YearsAtCompany]]&lt;5,"2-4 Years",
HR_Data[[#This Row],[YearsAtCompany]]&lt;10,"5-9 Years",
TRUE,"10+ Years"
)</f>
        <v>10+ Years</v>
      </c>
      <c r="AM321" s="1">
        <f>IF(HR_Data[[#This Row],[Attrition]]="Yes",1,0)</f>
        <v>0</v>
      </c>
    </row>
    <row r="322" spans="1:39" x14ac:dyDescent="0.3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 cm="1">
        <f t="array" ref="AJ322">_xlfn.IFS(
HR_Data[[#This Row],[Age]]&lt;25,"Under 25",
HR_Data[[#This Row],[Age]]&lt;35,"25-34",
HR_Data[[#This Row],[Age]]&lt;45,"35-44",
HR_Data[[#This Row],[Age]]&lt;55,"45-54",
TRUE,"55+"
)</f>
        <v>25-34</v>
      </c>
      <c r="AK322" t="str" cm="1">
        <f t="array" ref="AK322">_xlfn.IFS(
HR_Data[[#This Row],[MonthlyIncome]]&lt;3000,"&lt;3K",
HR_Data[[#This Row],[MonthlyIncome]]&lt;6000,"3K-6K",
HR_Data[[#This Row],[MonthlyIncome]]&lt;10000,"6K-10K",
TRUE,"10K+"
)</f>
        <v>3K-6K</v>
      </c>
      <c r="AL322" t="str" cm="1">
        <f t="array" ref="AL322">_xlfn.IFS(
HR_Data[[#This Row],[YearsAtCompany]]&lt;2,"&lt;2 Years",
HR_Data[[#This Row],[YearsAtCompany]]&lt;5,"2-4 Years",
HR_Data[[#This Row],[YearsAtCompany]]&lt;10,"5-9 Years",
TRUE,"10+ Years"
)</f>
        <v>5-9 Years</v>
      </c>
      <c r="AM322" s="1">
        <f>IF(HR_Data[[#This Row],[Attrition]]="Yes",1,0)</f>
        <v>0</v>
      </c>
    </row>
    <row r="323" spans="1:39" x14ac:dyDescent="0.3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 cm="1">
        <f t="array" ref="AJ323">_xlfn.IFS(
HR_Data[[#This Row],[Age]]&lt;25,"Under 25",
HR_Data[[#This Row],[Age]]&lt;35,"25-34",
HR_Data[[#This Row],[Age]]&lt;45,"35-44",
HR_Data[[#This Row],[Age]]&lt;55,"45-54",
TRUE,"55+"
)</f>
        <v>25-34</v>
      </c>
      <c r="AK323" t="str" cm="1">
        <f t="array" ref="AK323">_xlfn.IFS(
HR_Data[[#This Row],[MonthlyIncome]]&lt;3000,"&lt;3K",
HR_Data[[#This Row],[MonthlyIncome]]&lt;6000,"3K-6K",
HR_Data[[#This Row],[MonthlyIncome]]&lt;10000,"6K-10K",
TRUE,"10K+"
)</f>
        <v>6K-10K</v>
      </c>
      <c r="AL323" t="str" cm="1">
        <f t="array" ref="AL323">_xlfn.IFS(
HR_Data[[#This Row],[YearsAtCompany]]&lt;2,"&lt;2 Years",
HR_Data[[#This Row],[YearsAtCompany]]&lt;5,"2-4 Years",
HR_Data[[#This Row],[YearsAtCompany]]&lt;10,"5-9 Years",
TRUE,"10+ Years"
)</f>
        <v>5-9 Years</v>
      </c>
      <c r="AM323" s="1">
        <f>IF(HR_Data[[#This Row],[Attrition]]="Yes",1,0)</f>
        <v>0</v>
      </c>
    </row>
    <row r="324" spans="1:39" x14ac:dyDescent="0.3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 cm="1">
        <f t="array" ref="AJ324">_xlfn.IFS(
HR_Data[[#This Row],[Age]]&lt;25,"Under 25",
HR_Data[[#This Row],[Age]]&lt;35,"25-34",
HR_Data[[#This Row],[Age]]&lt;45,"35-44",
HR_Data[[#This Row],[Age]]&lt;55,"45-54",
TRUE,"55+"
)</f>
        <v>25-34</v>
      </c>
      <c r="AK324" t="str" cm="1">
        <f t="array" ref="AK324">_xlfn.IFS(
HR_Data[[#This Row],[MonthlyIncome]]&lt;3000,"&lt;3K",
HR_Data[[#This Row],[MonthlyIncome]]&lt;6000,"3K-6K",
HR_Data[[#This Row],[MonthlyIncome]]&lt;10000,"6K-10K",
TRUE,"10K+"
)</f>
        <v>3K-6K</v>
      </c>
      <c r="AL324" t="str" cm="1">
        <f t="array" ref="AL324">_xlfn.IFS(
HR_Data[[#This Row],[YearsAtCompany]]&lt;2,"&lt;2 Years",
HR_Data[[#This Row],[YearsAtCompany]]&lt;5,"2-4 Years",
HR_Data[[#This Row],[YearsAtCompany]]&lt;10,"5-9 Years",
TRUE,"10+ Years"
)</f>
        <v>5-9 Years</v>
      </c>
      <c r="AM324" s="1">
        <f>IF(HR_Data[[#This Row],[Attrition]]="Yes",1,0)</f>
        <v>0</v>
      </c>
    </row>
    <row r="325" spans="1:39" x14ac:dyDescent="0.3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 cm="1">
        <f t="array" ref="AJ325">_xlfn.IFS(
HR_Data[[#This Row],[Age]]&lt;25,"Under 25",
HR_Data[[#This Row],[Age]]&lt;35,"25-34",
HR_Data[[#This Row],[Age]]&lt;45,"35-44",
HR_Data[[#This Row],[Age]]&lt;55,"45-54",
TRUE,"55+"
)</f>
        <v>25-34</v>
      </c>
      <c r="AK325" t="str" cm="1">
        <f t="array" ref="AK325">_xlfn.IFS(
HR_Data[[#This Row],[MonthlyIncome]]&lt;3000,"&lt;3K",
HR_Data[[#This Row],[MonthlyIncome]]&lt;6000,"3K-6K",
HR_Data[[#This Row],[MonthlyIncome]]&lt;10000,"6K-10K",
TRUE,"10K+"
)</f>
        <v>3K-6K</v>
      </c>
      <c r="AL325" t="str" cm="1">
        <f t="array" ref="AL325">_xlfn.IFS(
HR_Data[[#This Row],[YearsAtCompany]]&lt;2,"&lt;2 Years",
HR_Data[[#This Row],[YearsAtCompany]]&lt;5,"2-4 Years",
HR_Data[[#This Row],[YearsAtCompany]]&lt;10,"5-9 Years",
TRUE,"10+ Years"
)</f>
        <v>2-4 Years</v>
      </c>
      <c r="AM325" s="1">
        <f>IF(HR_Data[[#This Row],[Attrition]]="Yes",1,0)</f>
        <v>1</v>
      </c>
    </row>
    <row r="326" spans="1:39" x14ac:dyDescent="0.3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 cm="1">
        <f t="array" ref="AJ326">_xlfn.IFS(
HR_Data[[#This Row],[Age]]&lt;25,"Under 25",
HR_Data[[#This Row],[Age]]&lt;35,"25-34",
HR_Data[[#This Row],[Age]]&lt;45,"35-44",
HR_Data[[#This Row],[Age]]&lt;55,"45-54",
TRUE,"55+"
)</f>
        <v>25-34</v>
      </c>
      <c r="AK326" t="str" cm="1">
        <f t="array" ref="AK326">_xlfn.IFS(
HR_Data[[#This Row],[MonthlyIncome]]&lt;3000,"&lt;3K",
HR_Data[[#This Row],[MonthlyIncome]]&lt;6000,"3K-6K",
HR_Data[[#This Row],[MonthlyIncome]]&lt;10000,"6K-10K",
TRUE,"10K+"
)</f>
        <v>3K-6K</v>
      </c>
      <c r="AL326" t="str" cm="1">
        <f t="array" ref="AL326">_xlfn.IFS(
HR_Data[[#This Row],[YearsAtCompany]]&lt;2,"&lt;2 Years",
HR_Data[[#This Row],[YearsAtCompany]]&lt;5,"2-4 Years",
HR_Data[[#This Row],[YearsAtCompany]]&lt;10,"5-9 Years",
TRUE,"10+ Years"
)</f>
        <v>10+ Years</v>
      </c>
      <c r="AM326" s="1">
        <f>IF(HR_Data[[#This Row],[Attrition]]="Yes",1,0)</f>
        <v>0</v>
      </c>
    </row>
    <row r="327" spans="1:39" x14ac:dyDescent="0.3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 cm="1">
        <f t="array" ref="AJ327">_xlfn.IFS(
HR_Data[[#This Row],[Age]]&lt;25,"Under 25",
HR_Data[[#This Row],[Age]]&lt;35,"25-34",
HR_Data[[#This Row],[Age]]&lt;45,"35-44",
HR_Data[[#This Row],[Age]]&lt;55,"45-54",
TRUE,"55+"
)</f>
        <v>25-34</v>
      </c>
      <c r="AK327" t="str" cm="1">
        <f t="array" ref="AK327">_xlfn.IFS(
HR_Data[[#This Row],[MonthlyIncome]]&lt;3000,"&lt;3K",
HR_Data[[#This Row],[MonthlyIncome]]&lt;6000,"3K-6K",
HR_Data[[#This Row],[MonthlyIncome]]&lt;10000,"6K-10K",
TRUE,"10K+"
)</f>
        <v>6K-10K</v>
      </c>
      <c r="AL327" t="str" cm="1">
        <f t="array" ref="AL327">_xlfn.IFS(
HR_Data[[#This Row],[YearsAtCompany]]&lt;2,"&lt;2 Years",
HR_Data[[#This Row],[YearsAtCompany]]&lt;5,"2-4 Years",
HR_Data[[#This Row],[YearsAtCompany]]&lt;10,"5-9 Years",
TRUE,"10+ Years"
)</f>
        <v>10+ Years</v>
      </c>
      <c r="AM327" s="1">
        <f>IF(HR_Data[[#This Row],[Attrition]]="Yes",1,0)</f>
        <v>0</v>
      </c>
    </row>
    <row r="328" spans="1:39" x14ac:dyDescent="0.3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 cm="1">
        <f t="array" ref="AJ328">_xlfn.IFS(
HR_Data[[#This Row],[Age]]&lt;25,"Under 25",
HR_Data[[#This Row],[Age]]&lt;35,"25-34",
HR_Data[[#This Row],[Age]]&lt;45,"35-44",
HR_Data[[#This Row],[Age]]&lt;55,"45-54",
TRUE,"55+"
)</f>
        <v>35-44</v>
      </c>
      <c r="AK328" t="str" cm="1">
        <f t="array" ref="AK328">_xlfn.IFS(
HR_Data[[#This Row],[MonthlyIncome]]&lt;3000,"&lt;3K",
HR_Data[[#This Row],[MonthlyIncome]]&lt;6000,"3K-6K",
HR_Data[[#This Row],[MonthlyIncome]]&lt;10000,"6K-10K",
TRUE,"10K+"
)</f>
        <v>10K+</v>
      </c>
      <c r="AL328" t="str" cm="1">
        <f t="array" ref="AL328">_xlfn.IFS(
HR_Data[[#This Row],[YearsAtCompany]]&lt;2,"&lt;2 Years",
HR_Data[[#This Row],[YearsAtCompany]]&lt;5,"2-4 Years",
HR_Data[[#This Row],[YearsAtCompany]]&lt;10,"5-9 Years",
TRUE,"10+ Years"
)</f>
        <v>10+ Years</v>
      </c>
      <c r="AM328" s="1">
        <f>IF(HR_Data[[#This Row],[Attrition]]="Yes",1,0)</f>
        <v>0</v>
      </c>
    </row>
    <row r="329" spans="1:39" x14ac:dyDescent="0.3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 cm="1">
        <f t="array" ref="AJ329">_xlfn.IFS(
HR_Data[[#This Row],[Age]]&lt;25,"Under 25",
HR_Data[[#This Row],[Age]]&lt;35,"25-34",
HR_Data[[#This Row],[Age]]&lt;45,"35-44",
HR_Data[[#This Row],[Age]]&lt;55,"45-54",
TRUE,"55+"
)</f>
        <v>35-44</v>
      </c>
      <c r="AK329" t="str" cm="1">
        <f t="array" ref="AK329">_xlfn.IFS(
HR_Data[[#This Row],[MonthlyIncome]]&lt;3000,"&lt;3K",
HR_Data[[#This Row],[MonthlyIncome]]&lt;6000,"3K-6K",
HR_Data[[#This Row],[MonthlyIncome]]&lt;10000,"6K-10K",
TRUE,"10K+"
)</f>
        <v>3K-6K</v>
      </c>
      <c r="AL329" t="str" cm="1">
        <f t="array" ref="AL329">_xlfn.IFS(
HR_Data[[#This Row],[YearsAtCompany]]&lt;2,"&lt;2 Years",
HR_Data[[#This Row],[YearsAtCompany]]&lt;5,"2-4 Years",
HR_Data[[#This Row],[YearsAtCompany]]&lt;10,"5-9 Years",
TRUE,"10+ Years"
)</f>
        <v>&lt;2 Years</v>
      </c>
      <c r="AM329" s="1">
        <f>IF(HR_Data[[#This Row],[Attrition]]="Yes",1,0)</f>
        <v>1</v>
      </c>
    </row>
    <row r="330" spans="1:39" x14ac:dyDescent="0.3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 cm="1">
        <f t="array" ref="AJ330">_xlfn.IFS(
HR_Data[[#This Row],[Age]]&lt;25,"Under 25",
HR_Data[[#This Row],[Age]]&lt;35,"25-34",
HR_Data[[#This Row],[Age]]&lt;45,"35-44",
HR_Data[[#This Row],[Age]]&lt;55,"45-54",
TRUE,"55+"
)</f>
        <v>25-34</v>
      </c>
      <c r="AK330" t="str" cm="1">
        <f t="array" ref="AK330">_xlfn.IFS(
HR_Data[[#This Row],[MonthlyIncome]]&lt;3000,"&lt;3K",
HR_Data[[#This Row],[MonthlyIncome]]&lt;6000,"3K-6K",
HR_Data[[#This Row],[MonthlyIncome]]&lt;10000,"6K-10K",
TRUE,"10K+"
)</f>
        <v>3K-6K</v>
      </c>
      <c r="AL330" t="str" cm="1">
        <f t="array" ref="AL330">_xlfn.IFS(
HR_Data[[#This Row],[YearsAtCompany]]&lt;2,"&lt;2 Years",
HR_Data[[#This Row],[YearsAtCompany]]&lt;5,"2-4 Years",
HR_Data[[#This Row],[YearsAtCompany]]&lt;10,"5-9 Years",
TRUE,"10+ Years"
)</f>
        <v>5-9 Years</v>
      </c>
      <c r="AM330" s="1">
        <f>IF(HR_Data[[#This Row],[Attrition]]="Yes",1,0)</f>
        <v>0</v>
      </c>
    </row>
    <row r="331" spans="1:39" x14ac:dyDescent="0.3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 cm="1">
        <f t="array" ref="AJ331">_xlfn.IFS(
HR_Data[[#This Row],[Age]]&lt;25,"Under 25",
HR_Data[[#This Row],[Age]]&lt;35,"25-34",
HR_Data[[#This Row],[Age]]&lt;45,"35-44",
HR_Data[[#This Row],[Age]]&lt;55,"45-54",
TRUE,"55+"
)</f>
        <v>45-54</v>
      </c>
      <c r="AK331" t="str" cm="1">
        <f t="array" ref="AK331">_xlfn.IFS(
HR_Data[[#This Row],[MonthlyIncome]]&lt;3000,"&lt;3K",
HR_Data[[#This Row],[MonthlyIncome]]&lt;6000,"3K-6K",
HR_Data[[#This Row],[MonthlyIncome]]&lt;10000,"6K-10K",
TRUE,"10K+"
)</f>
        <v>10K+</v>
      </c>
      <c r="AL331" t="str" cm="1">
        <f t="array" ref="AL331">_xlfn.IFS(
HR_Data[[#This Row],[YearsAtCompany]]&lt;2,"&lt;2 Years",
HR_Data[[#This Row],[YearsAtCompany]]&lt;5,"2-4 Years",
HR_Data[[#This Row],[YearsAtCompany]]&lt;10,"5-9 Years",
TRUE,"10+ Years"
)</f>
        <v>2-4 Years</v>
      </c>
      <c r="AM331" s="1">
        <f>IF(HR_Data[[#This Row],[Attrition]]="Yes",1,0)</f>
        <v>0</v>
      </c>
    </row>
    <row r="332" spans="1:39" x14ac:dyDescent="0.3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 cm="1">
        <f t="array" ref="AJ332">_xlfn.IFS(
HR_Data[[#This Row],[Age]]&lt;25,"Under 25",
HR_Data[[#This Row],[Age]]&lt;35,"25-34",
HR_Data[[#This Row],[Age]]&lt;45,"35-44",
HR_Data[[#This Row],[Age]]&lt;55,"45-54",
TRUE,"55+"
)</f>
        <v>35-44</v>
      </c>
      <c r="AK332" t="str" cm="1">
        <f t="array" ref="AK332">_xlfn.IFS(
HR_Data[[#This Row],[MonthlyIncome]]&lt;3000,"&lt;3K",
HR_Data[[#This Row],[MonthlyIncome]]&lt;6000,"3K-6K",
HR_Data[[#This Row],[MonthlyIncome]]&lt;10000,"6K-10K",
TRUE,"10K+"
)</f>
        <v>3K-6K</v>
      </c>
      <c r="AL332" t="str" cm="1">
        <f t="array" ref="AL332">_xlfn.IFS(
HR_Data[[#This Row],[YearsAtCompany]]&lt;2,"&lt;2 Years",
HR_Data[[#This Row],[YearsAtCompany]]&lt;5,"2-4 Years",
HR_Data[[#This Row],[YearsAtCompany]]&lt;10,"5-9 Years",
TRUE,"10+ Years"
)</f>
        <v>5-9 Years</v>
      </c>
      <c r="AM332" s="1">
        <f>IF(HR_Data[[#This Row],[Attrition]]="Yes",1,0)</f>
        <v>0</v>
      </c>
    </row>
    <row r="333" spans="1:39" x14ac:dyDescent="0.3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 cm="1">
        <f t="array" ref="AJ333">_xlfn.IFS(
HR_Data[[#This Row],[Age]]&lt;25,"Under 25",
HR_Data[[#This Row],[Age]]&lt;35,"25-34",
HR_Data[[#This Row],[Age]]&lt;45,"35-44",
HR_Data[[#This Row],[Age]]&lt;55,"45-54",
TRUE,"55+"
)</f>
        <v>25-34</v>
      </c>
      <c r="AK333" t="str" cm="1">
        <f t="array" ref="AK333">_xlfn.IFS(
HR_Data[[#This Row],[MonthlyIncome]]&lt;3000,"&lt;3K",
HR_Data[[#This Row],[MonthlyIncome]]&lt;6000,"3K-6K",
HR_Data[[#This Row],[MonthlyIncome]]&lt;10000,"6K-10K",
TRUE,"10K+"
)</f>
        <v>6K-10K</v>
      </c>
      <c r="AL333" t="str" cm="1">
        <f t="array" ref="AL333">_xlfn.IFS(
HR_Data[[#This Row],[YearsAtCompany]]&lt;2,"&lt;2 Years",
HR_Data[[#This Row],[YearsAtCompany]]&lt;5,"2-4 Years",
HR_Data[[#This Row],[YearsAtCompany]]&lt;10,"5-9 Years",
TRUE,"10+ Years"
)</f>
        <v>5-9 Years</v>
      </c>
      <c r="AM333" s="1">
        <f>IF(HR_Data[[#This Row],[Attrition]]="Yes",1,0)</f>
        <v>0</v>
      </c>
    </row>
    <row r="334" spans="1:39" x14ac:dyDescent="0.3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 cm="1">
        <f t="array" ref="AJ334">_xlfn.IFS(
HR_Data[[#This Row],[Age]]&lt;25,"Under 25",
HR_Data[[#This Row],[Age]]&lt;35,"25-34",
HR_Data[[#This Row],[Age]]&lt;45,"35-44",
HR_Data[[#This Row],[Age]]&lt;55,"45-54",
TRUE,"55+"
)</f>
        <v>45-54</v>
      </c>
      <c r="AK334" t="str" cm="1">
        <f t="array" ref="AK334">_xlfn.IFS(
HR_Data[[#This Row],[MonthlyIncome]]&lt;3000,"&lt;3K",
HR_Data[[#This Row],[MonthlyIncome]]&lt;6000,"3K-6K",
HR_Data[[#This Row],[MonthlyIncome]]&lt;10000,"6K-10K",
TRUE,"10K+"
)</f>
        <v>3K-6K</v>
      </c>
      <c r="AL334" t="str" cm="1">
        <f t="array" ref="AL334">_xlfn.IFS(
HR_Data[[#This Row],[YearsAtCompany]]&lt;2,"&lt;2 Years",
HR_Data[[#This Row],[YearsAtCompany]]&lt;5,"2-4 Years",
HR_Data[[#This Row],[YearsAtCompany]]&lt;10,"5-9 Years",
TRUE,"10+ Years"
)</f>
        <v>2-4 Years</v>
      </c>
      <c r="AM334" s="1">
        <f>IF(HR_Data[[#This Row],[Attrition]]="Yes",1,0)</f>
        <v>0</v>
      </c>
    </row>
    <row r="335" spans="1:39" x14ac:dyDescent="0.3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 cm="1">
        <f t="array" ref="AJ335">_xlfn.IFS(
HR_Data[[#This Row],[Age]]&lt;25,"Under 25",
HR_Data[[#This Row],[Age]]&lt;35,"25-34",
HR_Data[[#This Row],[Age]]&lt;45,"35-44",
HR_Data[[#This Row],[Age]]&lt;55,"45-54",
TRUE,"55+"
)</f>
        <v>35-44</v>
      </c>
      <c r="AK335" t="str" cm="1">
        <f t="array" ref="AK335">_xlfn.IFS(
HR_Data[[#This Row],[MonthlyIncome]]&lt;3000,"&lt;3K",
HR_Data[[#This Row],[MonthlyIncome]]&lt;6000,"3K-6K",
HR_Data[[#This Row],[MonthlyIncome]]&lt;10000,"6K-10K",
TRUE,"10K+"
)</f>
        <v>6K-10K</v>
      </c>
      <c r="AL335" t="str" cm="1">
        <f t="array" ref="AL335">_xlfn.IFS(
HR_Data[[#This Row],[YearsAtCompany]]&lt;2,"&lt;2 Years",
HR_Data[[#This Row],[YearsAtCompany]]&lt;5,"2-4 Years",
HR_Data[[#This Row],[YearsAtCompany]]&lt;10,"5-9 Years",
TRUE,"10+ Years"
)</f>
        <v>&lt;2 Years</v>
      </c>
      <c r="AM335" s="1">
        <f>IF(HR_Data[[#This Row],[Attrition]]="Yes",1,0)</f>
        <v>0</v>
      </c>
    </row>
    <row r="336" spans="1:39" x14ac:dyDescent="0.3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 cm="1">
        <f t="array" ref="AJ336">_xlfn.IFS(
HR_Data[[#This Row],[Age]]&lt;25,"Under 25",
HR_Data[[#This Row],[Age]]&lt;35,"25-34",
HR_Data[[#This Row],[Age]]&lt;45,"35-44",
HR_Data[[#This Row],[Age]]&lt;55,"45-54",
TRUE,"55+"
)</f>
        <v>45-54</v>
      </c>
      <c r="AK336" t="str" cm="1">
        <f t="array" ref="AK336">_xlfn.IFS(
HR_Data[[#This Row],[MonthlyIncome]]&lt;3000,"&lt;3K",
HR_Data[[#This Row],[MonthlyIncome]]&lt;6000,"3K-6K",
HR_Data[[#This Row],[MonthlyIncome]]&lt;10000,"6K-10K",
TRUE,"10K+"
)</f>
        <v>3K-6K</v>
      </c>
      <c r="AL336" t="str" cm="1">
        <f t="array" ref="AL336">_xlfn.IFS(
HR_Data[[#This Row],[YearsAtCompany]]&lt;2,"&lt;2 Years",
HR_Data[[#This Row],[YearsAtCompany]]&lt;5,"2-4 Years",
HR_Data[[#This Row],[YearsAtCompany]]&lt;10,"5-9 Years",
TRUE,"10+ Years"
)</f>
        <v>10+ Years</v>
      </c>
      <c r="AM336" s="1">
        <f>IF(HR_Data[[#This Row],[Attrition]]="Yes",1,0)</f>
        <v>0</v>
      </c>
    </row>
    <row r="337" spans="1:39" x14ac:dyDescent="0.3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 cm="1">
        <f t="array" ref="AJ337">_xlfn.IFS(
HR_Data[[#This Row],[Age]]&lt;25,"Under 25",
HR_Data[[#This Row],[Age]]&lt;35,"25-34",
HR_Data[[#This Row],[Age]]&lt;45,"35-44",
HR_Data[[#This Row],[Age]]&lt;55,"45-54",
TRUE,"55+"
)</f>
        <v>35-44</v>
      </c>
      <c r="AK337" t="str" cm="1">
        <f t="array" ref="AK337">_xlfn.IFS(
HR_Data[[#This Row],[MonthlyIncome]]&lt;3000,"&lt;3K",
HR_Data[[#This Row],[MonthlyIncome]]&lt;6000,"3K-6K",
HR_Data[[#This Row],[MonthlyIncome]]&lt;10000,"6K-10K",
TRUE,"10K+"
)</f>
        <v>6K-10K</v>
      </c>
      <c r="AL337" t="str" cm="1">
        <f t="array" ref="AL337">_xlfn.IFS(
HR_Data[[#This Row],[YearsAtCompany]]&lt;2,"&lt;2 Years",
HR_Data[[#This Row],[YearsAtCompany]]&lt;5,"2-4 Years",
HR_Data[[#This Row],[YearsAtCompany]]&lt;10,"5-9 Years",
TRUE,"10+ Years"
)</f>
        <v>2-4 Years</v>
      </c>
      <c r="AM337" s="1">
        <f>IF(HR_Data[[#This Row],[Attrition]]="Yes",1,0)</f>
        <v>0</v>
      </c>
    </row>
    <row r="338" spans="1:39" x14ac:dyDescent="0.3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 cm="1">
        <f t="array" ref="AJ338">_xlfn.IFS(
HR_Data[[#This Row],[Age]]&lt;25,"Under 25",
HR_Data[[#This Row],[Age]]&lt;35,"25-34",
HR_Data[[#This Row],[Age]]&lt;45,"35-44",
HR_Data[[#This Row],[Age]]&lt;55,"45-54",
TRUE,"55+"
)</f>
        <v>25-34</v>
      </c>
      <c r="AK338" t="str" cm="1">
        <f t="array" ref="AK338">_xlfn.IFS(
HR_Data[[#This Row],[MonthlyIncome]]&lt;3000,"&lt;3K",
HR_Data[[#This Row],[MonthlyIncome]]&lt;6000,"3K-6K",
HR_Data[[#This Row],[MonthlyIncome]]&lt;10000,"6K-10K",
TRUE,"10K+"
)</f>
        <v>&lt;3K</v>
      </c>
      <c r="AL338" t="str" cm="1">
        <f t="array" ref="AL338">_xlfn.IFS(
HR_Data[[#This Row],[YearsAtCompany]]&lt;2,"&lt;2 Years",
HR_Data[[#This Row],[YearsAtCompany]]&lt;5,"2-4 Years",
HR_Data[[#This Row],[YearsAtCompany]]&lt;10,"5-9 Years",
TRUE,"10+ Years"
)</f>
        <v>5-9 Years</v>
      </c>
      <c r="AM338" s="1">
        <f>IF(HR_Data[[#This Row],[Attrition]]="Yes",1,0)</f>
        <v>1</v>
      </c>
    </row>
    <row r="339" spans="1:39" x14ac:dyDescent="0.3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 cm="1">
        <f t="array" ref="AJ339">_xlfn.IFS(
HR_Data[[#This Row],[Age]]&lt;25,"Under 25",
HR_Data[[#This Row],[Age]]&lt;35,"25-34",
HR_Data[[#This Row],[Age]]&lt;45,"35-44",
HR_Data[[#This Row],[Age]]&lt;55,"45-54",
TRUE,"55+"
)</f>
        <v>25-34</v>
      </c>
      <c r="AK339" t="str" cm="1">
        <f t="array" ref="AK339">_xlfn.IFS(
HR_Data[[#This Row],[MonthlyIncome]]&lt;3000,"&lt;3K",
HR_Data[[#This Row],[MonthlyIncome]]&lt;6000,"3K-6K",
HR_Data[[#This Row],[MonthlyIncome]]&lt;10000,"6K-10K",
TRUE,"10K+"
)</f>
        <v>3K-6K</v>
      </c>
      <c r="AL339" t="str" cm="1">
        <f t="array" ref="AL339">_xlfn.IFS(
HR_Data[[#This Row],[YearsAtCompany]]&lt;2,"&lt;2 Years",
HR_Data[[#This Row],[YearsAtCompany]]&lt;5,"2-4 Years",
HR_Data[[#This Row],[YearsAtCompany]]&lt;10,"5-9 Years",
TRUE,"10+ Years"
)</f>
        <v>2-4 Years</v>
      </c>
      <c r="AM339" s="1">
        <f>IF(HR_Data[[#This Row],[Attrition]]="Yes",1,0)</f>
        <v>0</v>
      </c>
    </row>
    <row r="340" spans="1:39" x14ac:dyDescent="0.3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 cm="1">
        <f t="array" ref="AJ340">_xlfn.IFS(
HR_Data[[#This Row],[Age]]&lt;25,"Under 25",
HR_Data[[#This Row],[Age]]&lt;35,"25-34",
HR_Data[[#This Row],[Age]]&lt;45,"35-44",
HR_Data[[#This Row],[Age]]&lt;55,"45-54",
TRUE,"55+"
)</f>
        <v>25-34</v>
      </c>
      <c r="AK340" t="str" cm="1">
        <f t="array" ref="AK340">_xlfn.IFS(
HR_Data[[#This Row],[MonthlyIncome]]&lt;3000,"&lt;3K",
HR_Data[[#This Row],[MonthlyIncome]]&lt;6000,"3K-6K",
HR_Data[[#This Row],[MonthlyIncome]]&lt;10000,"6K-10K",
TRUE,"10K+"
)</f>
        <v>6K-10K</v>
      </c>
      <c r="AL340" t="str" cm="1">
        <f t="array" ref="AL340">_xlfn.IFS(
HR_Data[[#This Row],[YearsAtCompany]]&lt;2,"&lt;2 Years",
HR_Data[[#This Row],[YearsAtCompany]]&lt;5,"2-4 Years",
HR_Data[[#This Row],[YearsAtCompany]]&lt;10,"5-9 Years",
TRUE,"10+ Years"
)</f>
        <v>10+ Years</v>
      </c>
      <c r="AM340" s="1">
        <f>IF(HR_Data[[#This Row],[Attrition]]="Yes",1,0)</f>
        <v>0</v>
      </c>
    </row>
    <row r="341" spans="1:39" x14ac:dyDescent="0.3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 cm="1">
        <f t="array" ref="AJ341">_xlfn.IFS(
HR_Data[[#This Row],[Age]]&lt;25,"Under 25",
HR_Data[[#This Row],[Age]]&lt;35,"25-34",
HR_Data[[#This Row],[Age]]&lt;45,"35-44",
HR_Data[[#This Row],[Age]]&lt;55,"45-54",
TRUE,"55+"
)</f>
        <v>25-34</v>
      </c>
      <c r="AK341" t="str" cm="1">
        <f t="array" ref="AK341">_xlfn.IFS(
HR_Data[[#This Row],[MonthlyIncome]]&lt;3000,"&lt;3K",
HR_Data[[#This Row],[MonthlyIncome]]&lt;6000,"3K-6K",
HR_Data[[#This Row],[MonthlyIncome]]&lt;10000,"6K-10K",
TRUE,"10K+"
)</f>
        <v>6K-10K</v>
      </c>
      <c r="AL341" t="str" cm="1">
        <f t="array" ref="AL341">_xlfn.IFS(
HR_Data[[#This Row],[YearsAtCompany]]&lt;2,"&lt;2 Years",
HR_Data[[#This Row],[YearsAtCompany]]&lt;5,"2-4 Years",
HR_Data[[#This Row],[YearsAtCompany]]&lt;10,"5-9 Years",
TRUE,"10+ Years"
)</f>
        <v>5-9 Years</v>
      </c>
      <c r="AM341" s="1">
        <f>IF(HR_Data[[#This Row],[Attrition]]="Yes",1,0)</f>
        <v>0</v>
      </c>
    </row>
    <row r="342" spans="1:39" x14ac:dyDescent="0.3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 cm="1">
        <f t="array" ref="AJ342">_xlfn.IFS(
HR_Data[[#This Row],[Age]]&lt;25,"Under 25",
HR_Data[[#This Row],[Age]]&lt;35,"25-34",
HR_Data[[#This Row],[Age]]&lt;45,"35-44",
HR_Data[[#This Row],[Age]]&lt;55,"45-54",
TRUE,"55+"
)</f>
        <v>35-44</v>
      </c>
      <c r="AK342" t="str" cm="1">
        <f t="array" ref="AK342">_xlfn.IFS(
HR_Data[[#This Row],[MonthlyIncome]]&lt;3000,"&lt;3K",
HR_Data[[#This Row],[MonthlyIncome]]&lt;6000,"3K-6K",
HR_Data[[#This Row],[MonthlyIncome]]&lt;10000,"6K-10K",
TRUE,"10K+"
)</f>
        <v>6K-10K</v>
      </c>
      <c r="AL342" t="str" cm="1">
        <f t="array" ref="AL342">_xlfn.IFS(
HR_Data[[#This Row],[YearsAtCompany]]&lt;2,"&lt;2 Years",
HR_Data[[#This Row],[YearsAtCompany]]&lt;5,"2-4 Years",
HR_Data[[#This Row],[YearsAtCompany]]&lt;10,"5-9 Years",
TRUE,"10+ Years"
)</f>
        <v>5-9 Years</v>
      </c>
      <c r="AM342" s="1">
        <f>IF(HR_Data[[#This Row],[Attrition]]="Yes",1,0)</f>
        <v>0</v>
      </c>
    </row>
    <row r="343" spans="1:39" x14ac:dyDescent="0.3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 cm="1">
        <f t="array" ref="AJ343">_xlfn.IFS(
HR_Data[[#This Row],[Age]]&lt;25,"Under 25",
HR_Data[[#This Row],[Age]]&lt;35,"25-34",
HR_Data[[#This Row],[Age]]&lt;45,"35-44",
HR_Data[[#This Row],[Age]]&lt;55,"45-54",
TRUE,"55+"
)</f>
        <v>35-44</v>
      </c>
      <c r="AK343" t="str" cm="1">
        <f t="array" ref="AK343">_xlfn.IFS(
HR_Data[[#This Row],[MonthlyIncome]]&lt;3000,"&lt;3K",
HR_Data[[#This Row],[MonthlyIncome]]&lt;6000,"3K-6K",
HR_Data[[#This Row],[MonthlyIncome]]&lt;10000,"6K-10K",
TRUE,"10K+"
)</f>
        <v>10K+</v>
      </c>
      <c r="AL343" t="str" cm="1">
        <f t="array" ref="AL343">_xlfn.IFS(
HR_Data[[#This Row],[YearsAtCompany]]&lt;2,"&lt;2 Years",
HR_Data[[#This Row],[YearsAtCompany]]&lt;5,"2-4 Years",
HR_Data[[#This Row],[YearsAtCompany]]&lt;10,"5-9 Years",
TRUE,"10+ Years"
)</f>
        <v>10+ Years</v>
      </c>
      <c r="AM343" s="1">
        <f>IF(HR_Data[[#This Row],[Attrition]]="Yes",1,0)</f>
        <v>0</v>
      </c>
    </row>
    <row r="344" spans="1:39" x14ac:dyDescent="0.3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 cm="1">
        <f t="array" ref="AJ344">_xlfn.IFS(
HR_Data[[#This Row],[Age]]&lt;25,"Under 25",
HR_Data[[#This Row],[Age]]&lt;35,"25-34",
HR_Data[[#This Row],[Age]]&lt;45,"35-44",
HR_Data[[#This Row],[Age]]&lt;55,"45-54",
TRUE,"55+"
)</f>
        <v>25-34</v>
      </c>
      <c r="AK344" t="str" cm="1">
        <f t="array" ref="AK344">_xlfn.IFS(
HR_Data[[#This Row],[MonthlyIncome]]&lt;3000,"&lt;3K",
HR_Data[[#This Row],[MonthlyIncome]]&lt;6000,"3K-6K",
HR_Data[[#This Row],[MonthlyIncome]]&lt;10000,"6K-10K",
TRUE,"10K+"
)</f>
        <v>6K-10K</v>
      </c>
      <c r="AL344" t="str" cm="1">
        <f t="array" ref="AL344">_xlfn.IFS(
HR_Data[[#This Row],[YearsAtCompany]]&lt;2,"&lt;2 Years",
HR_Data[[#This Row],[YearsAtCompany]]&lt;5,"2-4 Years",
HR_Data[[#This Row],[YearsAtCompany]]&lt;10,"5-9 Years",
TRUE,"10+ Years"
)</f>
        <v>10+ Years</v>
      </c>
      <c r="AM344" s="1">
        <f>IF(HR_Data[[#This Row],[Attrition]]="Yes",1,0)</f>
        <v>0</v>
      </c>
    </row>
    <row r="345" spans="1:39" x14ac:dyDescent="0.3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 cm="1">
        <f t="array" ref="AJ345">_xlfn.IFS(
HR_Data[[#This Row],[Age]]&lt;25,"Under 25",
HR_Data[[#This Row],[Age]]&lt;35,"25-34",
HR_Data[[#This Row],[Age]]&lt;45,"35-44",
HR_Data[[#This Row],[Age]]&lt;55,"45-54",
TRUE,"55+"
)</f>
        <v>25-34</v>
      </c>
      <c r="AK345" t="str" cm="1">
        <f t="array" ref="AK345">_xlfn.IFS(
HR_Data[[#This Row],[MonthlyIncome]]&lt;3000,"&lt;3K",
HR_Data[[#This Row],[MonthlyIncome]]&lt;6000,"3K-6K",
HR_Data[[#This Row],[MonthlyIncome]]&lt;10000,"6K-10K",
TRUE,"10K+"
)</f>
        <v>6K-10K</v>
      </c>
      <c r="AL345" t="str" cm="1">
        <f t="array" ref="AL345">_xlfn.IFS(
HR_Data[[#This Row],[YearsAtCompany]]&lt;2,"&lt;2 Years",
HR_Data[[#This Row],[YearsAtCompany]]&lt;5,"2-4 Years",
HR_Data[[#This Row],[YearsAtCompany]]&lt;10,"5-9 Years",
TRUE,"10+ Years"
)</f>
        <v>5-9 Years</v>
      </c>
      <c r="AM345" s="1">
        <f>IF(HR_Data[[#This Row],[Attrition]]="Yes",1,0)</f>
        <v>0</v>
      </c>
    </row>
    <row r="346" spans="1:39" x14ac:dyDescent="0.3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 cm="1">
        <f t="array" ref="AJ346">_xlfn.IFS(
HR_Data[[#This Row],[Age]]&lt;25,"Under 25",
HR_Data[[#This Row],[Age]]&lt;35,"25-34",
HR_Data[[#This Row],[Age]]&lt;45,"35-44",
HR_Data[[#This Row],[Age]]&lt;55,"45-54",
TRUE,"55+"
)</f>
        <v>35-44</v>
      </c>
      <c r="AK346" t="str" cm="1">
        <f t="array" ref="AK346">_xlfn.IFS(
HR_Data[[#This Row],[MonthlyIncome]]&lt;3000,"&lt;3K",
HR_Data[[#This Row],[MonthlyIncome]]&lt;6000,"3K-6K",
HR_Data[[#This Row],[MonthlyIncome]]&lt;10000,"6K-10K",
TRUE,"10K+"
)</f>
        <v>6K-10K</v>
      </c>
      <c r="AL346" t="str" cm="1">
        <f t="array" ref="AL346">_xlfn.IFS(
HR_Data[[#This Row],[YearsAtCompany]]&lt;2,"&lt;2 Years",
HR_Data[[#This Row],[YearsAtCompany]]&lt;5,"2-4 Years",
HR_Data[[#This Row],[YearsAtCompany]]&lt;10,"5-9 Years",
TRUE,"10+ Years"
)</f>
        <v>10+ Years</v>
      </c>
      <c r="AM346" s="1">
        <f>IF(HR_Data[[#This Row],[Attrition]]="Yes",1,0)</f>
        <v>0</v>
      </c>
    </row>
    <row r="347" spans="1:39" x14ac:dyDescent="0.3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 cm="1">
        <f t="array" ref="AJ347">_xlfn.IFS(
HR_Data[[#This Row],[Age]]&lt;25,"Under 25",
HR_Data[[#This Row],[Age]]&lt;35,"25-34",
HR_Data[[#This Row],[Age]]&lt;45,"35-44",
HR_Data[[#This Row],[Age]]&lt;55,"45-54",
TRUE,"55+"
)</f>
        <v>Under 25</v>
      </c>
      <c r="AK347" t="str" cm="1">
        <f t="array" ref="AK347">_xlfn.IFS(
HR_Data[[#This Row],[MonthlyIncome]]&lt;3000,"&lt;3K",
HR_Data[[#This Row],[MonthlyIncome]]&lt;6000,"3K-6K",
HR_Data[[#This Row],[MonthlyIncome]]&lt;10000,"6K-10K",
TRUE,"10K+"
)</f>
        <v>&lt;3K</v>
      </c>
      <c r="AL347" t="str" cm="1">
        <f t="array" ref="AL347">_xlfn.IFS(
HR_Data[[#This Row],[YearsAtCompany]]&lt;2,"&lt;2 Years",
HR_Data[[#This Row],[YearsAtCompany]]&lt;5,"2-4 Years",
HR_Data[[#This Row],[YearsAtCompany]]&lt;10,"5-9 Years",
TRUE,"10+ Years"
)</f>
        <v>2-4 Years</v>
      </c>
      <c r="AM347" s="1">
        <f>IF(HR_Data[[#This Row],[Attrition]]="Yes",1,0)</f>
        <v>0</v>
      </c>
    </row>
    <row r="348" spans="1:39" x14ac:dyDescent="0.3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 cm="1">
        <f t="array" ref="AJ348">_xlfn.IFS(
HR_Data[[#This Row],[Age]]&lt;25,"Under 25",
HR_Data[[#This Row],[Age]]&lt;35,"25-34",
HR_Data[[#This Row],[Age]]&lt;45,"35-44",
HR_Data[[#This Row],[Age]]&lt;55,"45-54",
TRUE,"55+"
)</f>
        <v>35-44</v>
      </c>
      <c r="AK348" t="str" cm="1">
        <f t="array" ref="AK348">_xlfn.IFS(
HR_Data[[#This Row],[MonthlyIncome]]&lt;3000,"&lt;3K",
HR_Data[[#This Row],[MonthlyIncome]]&lt;6000,"3K-6K",
HR_Data[[#This Row],[MonthlyIncome]]&lt;10000,"6K-10K",
TRUE,"10K+"
)</f>
        <v>6K-10K</v>
      </c>
      <c r="AL348" t="str" cm="1">
        <f t="array" ref="AL348">_xlfn.IFS(
HR_Data[[#This Row],[YearsAtCompany]]&lt;2,"&lt;2 Years",
HR_Data[[#This Row],[YearsAtCompany]]&lt;5,"2-4 Years",
HR_Data[[#This Row],[YearsAtCompany]]&lt;10,"5-9 Years",
TRUE,"10+ Years"
)</f>
        <v>5-9 Years</v>
      </c>
      <c r="AM348" s="1">
        <f>IF(HR_Data[[#This Row],[Attrition]]="Yes",1,0)</f>
        <v>0</v>
      </c>
    </row>
    <row r="349" spans="1:39" x14ac:dyDescent="0.3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 cm="1">
        <f t="array" ref="AJ349">_xlfn.IFS(
HR_Data[[#This Row],[Age]]&lt;25,"Under 25",
HR_Data[[#This Row],[Age]]&lt;35,"25-34",
HR_Data[[#This Row],[Age]]&lt;45,"35-44",
HR_Data[[#This Row],[Age]]&lt;55,"45-54",
TRUE,"55+"
)</f>
        <v>45-54</v>
      </c>
      <c r="AK349" t="str" cm="1">
        <f t="array" ref="AK349">_xlfn.IFS(
HR_Data[[#This Row],[MonthlyIncome]]&lt;3000,"&lt;3K",
HR_Data[[#This Row],[MonthlyIncome]]&lt;6000,"3K-6K",
HR_Data[[#This Row],[MonthlyIncome]]&lt;10000,"6K-10K",
TRUE,"10K+"
)</f>
        <v>&lt;3K</v>
      </c>
      <c r="AL349" t="str" cm="1">
        <f t="array" ref="AL349">_xlfn.IFS(
HR_Data[[#This Row],[YearsAtCompany]]&lt;2,"&lt;2 Years",
HR_Data[[#This Row],[YearsAtCompany]]&lt;5,"2-4 Years",
HR_Data[[#This Row],[YearsAtCompany]]&lt;10,"5-9 Years",
TRUE,"10+ Years"
)</f>
        <v>&lt;2 Years</v>
      </c>
      <c r="AM349" s="1">
        <f>IF(HR_Data[[#This Row],[Attrition]]="Yes",1,0)</f>
        <v>0</v>
      </c>
    </row>
    <row r="350" spans="1:39" x14ac:dyDescent="0.3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 cm="1">
        <f t="array" ref="AJ350">_xlfn.IFS(
HR_Data[[#This Row],[Age]]&lt;25,"Under 25",
HR_Data[[#This Row],[Age]]&lt;35,"25-34",
HR_Data[[#This Row],[Age]]&lt;45,"35-44",
HR_Data[[#This Row],[Age]]&lt;55,"45-54",
TRUE,"55+"
)</f>
        <v>35-44</v>
      </c>
      <c r="AK350" t="str" cm="1">
        <f t="array" ref="AK350">_xlfn.IFS(
HR_Data[[#This Row],[MonthlyIncome]]&lt;3000,"&lt;3K",
HR_Data[[#This Row],[MonthlyIncome]]&lt;6000,"3K-6K",
HR_Data[[#This Row],[MonthlyIncome]]&lt;10000,"6K-10K",
TRUE,"10K+"
)</f>
        <v>10K+</v>
      </c>
      <c r="AL350" t="str" cm="1">
        <f t="array" ref="AL350">_xlfn.IFS(
HR_Data[[#This Row],[YearsAtCompany]]&lt;2,"&lt;2 Years",
HR_Data[[#This Row],[YearsAtCompany]]&lt;5,"2-4 Years",
HR_Data[[#This Row],[YearsAtCompany]]&lt;10,"5-9 Years",
TRUE,"10+ Years"
)</f>
        <v>&lt;2 Years</v>
      </c>
      <c r="AM350" s="1">
        <f>IF(HR_Data[[#This Row],[Attrition]]="Yes",1,0)</f>
        <v>0</v>
      </c>
    </row>
    <row r="351" spans="1:39" x14ac:dyDescent="0.3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 cm="1">
        <f t="array" ref="AJ351">_xlfn.IFS(
HR_Data[[#This Row],[Age]]&lt;25,"Under 25",
HR_Data[[#This Row],[Age]]&lt;35,"25-34",
HR_Data[[#This Row],[Age]]&lt;45,"35-44",
HR_Data[[#This Row],[Age]]&lt;55,"45-54",
TRUE,"55+"
)</f>
        <v>25-34</v>
      </c>
      <c r="AK351" t="str" cm="1">
        <f t="array" ref="AK351">_xlfn.IFS(
HR_Data[[#This Row],[MonthlyIncome]]&lt;3000,"&lt;3K",
HR_Data[[#This Row],[MonthlyIncome]]&lt;6000,"3K-6K",
HR_Data[[#This Row],[MonthlyIncome]]&lt;10000,"6K-10K",
TRUE,"10K+"
)</f>
        <v>3K-6K</v>
      </c>
      <c r="AL351" t="str" cm="1">
        <f t="array" ref="AL351">_xlfn.IFS(
HR_Data[[#This Row],[YearsAtCompany]]&lt;2,"&lt;2 Years",
HR_Data[[#This Row],[YearsAtCompany]]&lt;5,"2-4 Years",
HR_Data[[#This Row],[YearsAtCompany]]&lt;10,"5-9 Years",
TRUE,"10+ Years"
)</f>
        <v>2-4 Years</v>
      </c>
      <c r="AM351" s="1">
        <f>IF(HR_Data[[#This Row],[Attrition]]="Yes",1,0)</f>
        <v>0</v>
      </c>
    </row>
    <row r="352" spans="1:39" x14ac:dyDescent="0.3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 cm="1">
        <f t="array" ref="AJ352">_xlfn.IFS(
HR_Data[[#This Row],[Age]]&lt;25,"Under 25",
HR_Data[[#This Row],[Age]]&lt;35,"25-34",
HR_Data[[#This Row],[Age]]&lt;45,"35-44",
HR_Data[[#This Row],[Age]]&lt;55,"45-54",
TRUE,"55+"
)</f>
        <v>35-44</v>
      </c>
      <c r="AK352" t="str" cm="1">
        <f t="array" ref="AK352">_xlfn.IFS(
HR_Data[[#This Row],[MonthlyIncome]]&lt;3000,"&lt;3K",
HR_Data[[#This Row],[MonthlyIncome]]&lt;6000,"3K-6K",
HR_Data[[#This Row],[MonthlyIncome]]&lt;10000,"6K-10K",
TRUE,"10K+"
)</f>
        <v>&lt;3K</v>
      </c>
      <c r="AL352" t="str" cm="1">
        <f t="array" ref="AL352">_xlfn.IFS(
HR_Data[[#This Row],[YearsAtCompany]]&lt;2,"&lt;2 Years",
HR_Data[[#This Row],[YearsAtCompany]]&lt;5,"2-4 Years",
HR_Data[[#This Row],[YearsAtCompany]]&lt;10,"5-9 Years",
TRUE,"10+ Years"
)</f>
        <v>2-4 Years</v>
      </c>
      <c r="AM352" s="1">
        <f>IF(HR_Data[[#This Row],[Attrition]]="Yes",1,0)</f>
        <v>0</v>
      </c>
    </row>
    <row r="353" spans="1:39" x14ac:dyDescent="0.3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 cm="1">
        <f t="array" ref="AJ353">_xlfn.IFS(
HR_Data[[#This Row],[Age]]&lt;25,"Under 25",
HR_Data[[#This Row],[Age]]&lt;35,"25-34",
HR_Data[[#This Row],[Age]]&lt;45,"35-44",
HR_Data[[#This Row],[Age]]&lt;55,"45-54",
TRUE,"55+"
)</f>
        <v>25-34</v>
      </c>
      <c r="AK353" t="str" cm="1">
        <f t="array" ref="AK353">_xlfn.IFS(
HR_Data[[#This Row],[MonthlyIncome]]&lt;3000,"&lt;3K",
HR_Data[[#This Row],[MonthlyIncome]]&lt;6000,"3K-6K",
HR_Data[[#This Row],[MonthlyIncome]]&lt;10000,"6K-10K",
TRUE,"10K+"
)</f>
        <v>&lt;3K</v>
      </c>
      <c r="AL353" t="str" cm="1">
        <f t="array" ref="AL353">_xlfn.IFS(
HR_Data[[#This Row],[YearsAtCompany]]&lt;2,"&lt;2 Years",
HR_Data[[#This Row],[YearsAtCompany]]&lt;5,"2-4 Years",
HR_Data[[#This Row],[YearsAtCompany]]&lt;10,"5-9 Years",
TRUE,"10+ Years"
)</f>
        <v>5-9 Years</v>
      </c>
      <c r="AM353" s="1">
        <f>IF(HR_Data[[#This Row],[Attrition]]="Yes",1,0)</f>
        <v>0</v>
      </c>
    </row>
    <row r="354" spans="1:39" x14ac:dyDescent="0.3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 cm="1">
        <f t="array" ref="AJ354">_xlfn.IFS(
HR_Data[[#This Row],[Age]]&lt;25,"Under 25",
HR_Data[[#This Row],[Age]]&lt;35,"25-34",
HR_Data[[#This Row],[Age]]&lt;45,"35-44",
HR_Data[[#This Row],[Age]]&lt;55,"45-54",
TRUE,"55+"
)</f>
        <v>45-54</v>
      </c>
      <c r="AK354" t="str" cm="1">
        <f t="array" ref="AK354">_xlfn.IFS(
HR_Data[[#This Row],[MonthlyIncome]]&lt;3000,"&lt;3K",
HR_Data[[#This Row],[MonthlyIncome]]&lt;6000,"3K-6K",
HR_Data[[#This Row],[MonthlyIncome]]&lt;10000,"6K-10K",
TRUE,"10K+"
)</f>
        <v>10K+</v>
      </c>
      <c r="AL354" t="str" cm="1">
        <f t="array" ref="AL354">_xlfn.IFS(
HR_Data[[#This Row],[YearsAtCompany]]&lt;2,"&lt;2 Years",
HR_Data[[#This Row],[YearsAtCompany]]&lt;5,"2-4 Years",
HR_Data[[#This Row],[YearsAtCompany]]&lt;10,"5-9 Years",
TRUE,"10+ Years"
)</f>
        <v>&lt;2 Years</v>
      </c>
      <c r="AM354" s="1">
        <f>IF(HR_Data[[#This Row],[Attrition]]="Yes",1,0)</f>
        <v>0</v>
      </c>
    </row>
    <row r="355" spans="1:39" x14ac:dyDescent="0.3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 cm="1">
        <f t="array" ref="AJ355">_xlfn.IFS(
HR_Data[[#This Row],[Age]]&lt;25,"Under 25",
HR_Data[[#This Row],[Age]]&lt;35,"25-34",
HR_Data[[#This Row],[Age]]&lt;45,"35-44",
HR_Data[[#This Row],[Age]]&lt;55,"45-54",
TRUE,"55+"
)</f>
        <v>35-44</v>
      </c>
      <c r="AK355" t="str" cm="1">
        <f t="array" ref="AK355">_xlfn.IFS(
HR_Data[[#This Row],[MonthlyIncome]]&lt;3000,"&lt;3K",
HR_Data[[#This Row],[MonthlyIncome]]&lt;6000,"3K-6K",
HR_Data[[#This Row],[MonthlyIncome]]&lt;10000,"6K-10K",
TRUE,"10K+"
)</f>
        <v>3K-6K</v>
      </c>
      <c r="AL355" t="str" cm="1">
        <f t="array" ref="AL355">_xlfn.IFS(
HR_Data[[#This Row],[YearsAtCompany]]&lt;2,"&lt;2 Years",
HR_Data[[#This Row],[YearsAtCompany]]&lt;5,"2-4 Years",
HR_Data[[#This Row],[YearsAtCompany]]&lt;10,"5-9 Years",
TRUE,"10+ Years"
)</f>
        <v>5-9 Years</v>
      </c>
      <c r="AM355" s="1">
        <f>IF(HR_Data[[#This Row],[Attrition]]="Yes",1,0)</f>
        <v>0</v>
      </c>
    </row>
    <row r="356" spans="1:39" x14ac:dyDescent="0.3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 cm="1">
        <f t="array" ref="AJ356">_xlfn.IFS(
HR_Data[[#This Row],[Age]]&lt;25,"Under 25",
HR_Data[[#This Row],[Age]]&lt;35,"25-34",
HR_Data[[#This Row],[Age]]&lt;45,"35-44",
HR_Data[[#This Row],[Age]]&lt;55,"45-54",
TRUE,"55+"
)</f>
        <v>25-34</v>
      </c>
      <c r="AK356" t="str" cm="1">
        <f t="array" ref="AK356">_xlfn.IFS(
HR_Data[[#This Row],[MonthlyIncome]]&lt;3000,"&lt;3K",
HR_Data[[#This Row],[MonthlyIncome]]&lt;6000,"3K-6K",
HR_Data[[#This Row],[MonthlyIncome]]&lt;10000,"6K-10K",
TRUE,"10K+"
)</f>
        <v>3K-6K</v>
      </c>
      <c r="AL356" t="str" cm="1">
        <f t="array" ref="AL356">_xlfn.IFS(
HR_Data[[#This Row],[YearsAtCompany]]&lt;2,"&lt;2 Years",
HR_Data[[#This Row],[YearsAtCompany]]&lt;5,"2-4 Years",
HR_Data[[#This Row],[YearsAtCompany]]&lt;10,"5-9 Years",
TRUE,"10+ Years"
)</f>
        <v>2-4 Years</v>
      </c>
      <c r="AM356" s="1">
        <f>IF(HR_Data[[#This Row],[Attrition]]="Yes",1,0)</f>
        <v>0</v>
      </c>
    </row>
    <row r="357" spans="1:39" x14ac:dyDescent="0.3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 cm="1">
        <f t="array" ref="AJ357">_xlfn.IFS(
HR_Data[[#This Row],[Age]]&lt;25,"Under 25",
HR_Data[[#This Row],[Age]]&lt;35,"25-34",
HR_Data[[#This Row],[Age]]&lt;45,"35-44",
HR_Data[[#This Row],[Age]]&lt;55,"45-54",
TRUE,"55+"
)</f>
        <v>25-34</v>
      </c>
      <c r="AK357" t="str" cm="1">
        <f t="array" ref="AK357">_xlfn.IFS(
HR_Data[[#This Row],[MonthlyIncome]]&lt;3000,"&lt;3K",
HR_Data[[#This Row],[MonthlyIncome]]&lt;6000,"3K-6K",
HR_Data[[#This Row],[MonthlyIncome]]&lt;10000,"6K-10K",
TRUE,"10K+"
)</f>
        <v>3K-6K</v>
      </c>
      <c r="AL357" t="str" cm="1">
        <f t="array" ref="AL357">_xlfn.IFS(
HR_Data[[#This Row],[YearsAtCompany]]&lt;2,"&lt;2 Years",
HR_Data[[#This Row],[YearsAtCompany]]&lt;5,"2-4 Years",
HR_Data[[#This Row],[YearsAtCompany]]&lt;10,"5-9 Years",
TRUE,"10+ Years"
)</f>
        <v>5-9 Years</v>
      </c>
      <c r="AM357" s="1">
        <f>IF(HR_Data[[#This Row],[Attrition]]="Yes",1,0)</f>
        <v>0</v>
      </c>
    </row>
    <row r="358" spans="1:39" x14ac:dyDescent="0.3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 cm="1">
        <f t="array" ref="AJ358">_xlfn.IFS(
HR_Data[[#This Row],[Age]]&lt;25,"Under 25",
HR_Data[[#This Row],[Age]]&lt;35,"25-34",
HR_Data[[#This Row],[Age]]&lt;45,"35-44",
HR_Data[[#This Row],[Age]]&lt;55,"45-54",
TRUE,"55+"
)</f>
        <v>35-44</v>
      </c>
      <c r="AK358" t="str" cm="1">
        <f t="array" ref="AK358">_xlfn.IFS(
HR_Data[[#This Row],[MonthlyIncome]]&lt;3000,"&lt;3K",
HR_Data[[#This Row],[MonthlyIncome]]&lt;6000,"3K-6K",
HR_Data[[#This Row],[MonthlyIncome]]&lt;10000,"6K-10K",
TRUE,"10K+"
)</f>
        <v>6K-10K</v>
      </c>
      <c r="AL358" t="str" cm="1">
        <f t="array" ref="AL358">_xlfn.IFS(
HR_Data[[#This Row],[YearsAtCompany]]&lt;2,"&lt;2 Years",
HR_Data[[#This Row],[YearsAtCompany]]&lt;5,"2-4 Years",
HR_Data[[#This Row],[YearsAtCompany]]&lt;10,"5-9 Years",
TRUE,"10+ Years"
)</f>
        <v>&lt;2 Years</v>
      </c>
      <c r="AM358" s="1">
        <f>IF(HR_Data[[#This Row],[Attrition]]="Yes",1,0)</f>
        <v>0</v>
      </c>
    </row>
    <row r="359" spans="1:39" x14ac:dyDescent="0.3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 cm="1">
        <f t="array" ref="AJ359">_xlfn.IFS(
HR_Data[[#This Row],[Age]]&lt;25,"Under 25",
HR_Data[[#This Row],[Age]]&lt;35,"25-34",
HR_Data[[#This Row],[Age]]&lt;45,"35-44",
HR_Data[[#This Row],[Age]]&lt;55,"45-54",
TRUE,"55+"
)</f>
        <v>Under 25</v>
      </c>
      <c r="AK359" t="str" cm="1">
        <f t="array" ref="AK359">_xlfn.IFS(
HR_Data[[#This Row],[MonthlyIncome]]&lt;3000,"&lt;3K",
HR_Data[[#This Row],[MonthlyIncome]]&lt;6000,"3K-6K",
HR_Data[[#This Row],[MonthlyIncome]]&lt;10000,"6K-10K",
TRUE,"10K+"
)</f>
        <v>&lt;3K</v>
      </c>
      <c r="AL359" t="str" cm="1">
        <f t="array" ref="AL359">_xlfn.IFS(
HR_Data[[#This Row],[YearsAtCompany]]&lt;2,"&lt;2 Years",
HR_Data[[#This Row],[YearsAtCompany]]&lt;5,"2-4 Years",
HR_Data[[#This Row],[YearsAtCompany]]&lt;10,"5-9 Years",
TRUE,"10+ Years"
)</f>
        <v>2-4 Years</v>
      </c>
      <c r="AM359" s="1">
        <f>IF(HR_Data[[#This Row],[Attrition]]="Yes",1,0)</f>
        <v>1</v>
      </c>
    </row>
    <row r="360" spans="1:39" x14ac:dyDescent="0.3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 cm="1">
        <f t="array" ref="AJ360">_xlfn.IFS(
HR_Data[[#This Row],[Age]]&lt;25,"Under 25",
HR_Data[[#This Row],[Age]]&lt;35,"25-34",
HR_Data[[#This Row],[Age]]&lt;45,"35-44",
HR_Data[[#This Row],[Age]]&lt;55,"45-54",
TRUE,"55+"
)</f>
        <v>35-44</v>
      </c>
      <c r="AK360" t="str" cm="1">
        <f t="array" ref="AK360">_xlfn.IFS(
HR_Data[[#This Row],[MonthlyIncome]]&lt;3000,"&lt;3K",
HR_Data[[#This Row],[MonthlyIncome]]&lt;6000,"3K-6K",
HR_Data[[#This Row],[MonthlyIncome]]&lt;10000,"6K-10K",
TRUE,"10K+"
)</f>
        <v>6K-10K</v>
      </c>
      <c r="AL360" t="str" cm="1">
        <f t="array" ref="AL360">_xlfn.IFS(
HR_Data[[#This Row],[YearsAtCompany]]&lt;2,"&lt;2 Years",
HR_Data[[#This Row],[YearsAtCompany]]&lt;5,"2-4 Years",
HR_Data[[#This Row],[YearsAtCompany]]&lt;10,"5-9 Years",
TRUE,"10+ Years"
)</f>
        <v>&lt;2 Years</v>
      </c>
      <c r="AM360" s="1">
        <f>IF(HR_Data[[#This Row],[Attrition]]="Yes",1,0)</f>
        <v>0</v>
      </c>
    </row>
    <row r="361" spans="1:39" x14ac:dyDescent="0.3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 cm="1">
        <f t="array" ref="AJ361">_xlfn.IFS(
HR_Data[[#This Row],[Age]]&lt;25,"Under 25",
HR_Data[[#This Row],[Age]]&lt;35,"25-34",
HR_Data[[#This Row],[Age]]&lt;45,"35-44",
HR_Data[[#This Row],[Age]]&lt;55,"45-54",
TRUE,"55+"
)</f>
        <v>35-44</v>
      </c>
      <c r="AK361" t="str" cm="1">
        <f t="array" ref="AK361">_xlfn.IFS(
HR_Data[[#This Row],[MonthlyIncome]]&lt;3000,"&lt;3K",
HR_Data[[#This Row],[MonthlyIncome]]&lt;6000,"3K-6K",
HR_Data[[#This Row],[MonthlyIncome]]&lt;10000,"6K-10K",
TRUE,"10K+"
)</f>
        <v>6K-10K</v>
      </c>
      <c r="AL361" t="str" cm="1">
        <f t="array" ref="AL361">_xlfn.IFS(
HR_Data[[#This Row],[YearsAtCompany]]&lt;2,"&lt;2 Years",
HR_Data[[#This Row],[YearsAtCompany]]&lt;5,"2-4 Years",
HR_Data[[#This Row],[YearsAtCompany]]&lt;10,"5-9 Years",
TRUE,"10+ Years"
)</f>
        <v>10+ Years</v>
      </c>
      <c r="AM361" s="1">
        <f>IF(HR_Data[[#This Row],[Attrition]]="Yes",1,0)</f>
        <v>0</v>
      </c>
    </row>
    <row r="362" spans="1:39" x14ac:dyDescent="0.3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 cm="1">
        <f t="array" ref="AJ362">_xlfn.IFS(
HR_Data[[#This Row],[Age]]&lt;25,"Under 25",
HR_Data[[#This Row],[Age]]&lt;35,"25-34",
HR_Data[[#This Row],[Age]]&lt;45,"35-44",
HR_Data[[#This Row],[Age]]&lt;55,"45-54",
TRUE,"55+"
)</f>
        <v>55+</v>
      </c>
      <c r="AK362" t="str" cm="1">
        <f t="array" ref="AK362">_xlfn.IFS(
HR_Data[[#This Row],[MonthlyIncome]]&lt;3000,"&lt;3K",
HR_Data[[#This Row],[MonthlyIncome]]&lt;6000,"3K-6K",
HR_Data[[#This Row],[MonthlyIncome]]&lt;10000,"6K-10K",
TRUE,"10K+"
)</f>
        <v>6K-10K</v>
      </c>
      <c r="AL362" t="str" cm="1">
        <f t="array" ref="AL362">_xlfn.IFS(
HR_Data[[#This Row],[YearsAtCompany]]&lt;2,"&lt;2 Years",
HR_Data[[#This Row],[YearsAtCompany]]&lt;5,"2-4 Years",
HR_Data[[#This Row],[YearsAtCompany]]&lt;10,"5-9 Years",
TRUE,"10+ Years"
)</f>
        <v>2-4 Years</v>
      </c>
      <c r="AM362" s="1">
        <f>IF(HR_Data[[#This Row],[Attrition]]="Yes",1,0)</f>
        <v>0</v>
      </c>
    </row>
    <row r="363" spans="1:39" x14ac:dyDescent="0.3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 cm="1">
        <f t="array" ref="AJ363">_xlfn.IFS(
HR_Data[[#This Row],[Age]]&lt;25,"Under 25",
HR_Data[[#This Row],[Age]]&lt;35,"25-34",
HR_Data[[#This Row],[Age]]&lt;45,"35-44",
HR_Data[[#This Row],[Age]]&lt;55,"45-54",
TRUE,"55+"
)</f>
        <v>35-44</v>
      </c>
      <c r="AK363" t="str" cm="1">
        <f t="array" ref="AK363">_xlfn.IFS(
HR_Data[[#This Row],[MonthlyIncome]]&lt;3000,"&lt;3K",
HR_Data[[#This Row],[MonthlyIncome]]&lt;6000,"3K-6K",
HR_Data[[#This Row],[MonthlyIncome]]&lt;10000,"6K-10K",
TRUE,"10K+"
)</f>
        <v>&lt;3K</v>
      </c>
      <c r="AL363" t="str" cm="1">
        <f t="array" ref="AL363">_xlfn.IFS(
HR_Data[[#This Row],[YearsAtCompany]]&lt;2,"&lt;2 Years",
HR_Data[[#This Row],[YearsAtCompany]]&lt;5,"2-4 Years",
HR_Data[[#This Row],[YearsAtCompany]]&lt;10,"5-9 Years",
TRUE,"10+ Years"
)</f>
        <v>5-9 Years</v>
      </c>
      <c r="AM363" s="1">
        <f>IF(HR_Data[[#This Row],[Attrition]]="Yes",1,0)</f>
        <v>0</v>
      </c>
    </row>
    <row r="364" spans="1:39" x14ac:dyDescent="0.3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 cm="1">
        <f t="array" ref="AJ364">_xlfn.IFS(
HR_Data[[#This Row],[Age]]&lt;25,"Under 25",
HR_Data[[#This Row],[Age]]&lt;35,"25-34",
HR_Data[[#This Row],[Age]]&lt;45,"35-44",
HR_Data[[#This Row],[Age]]&lt;55,"45-54",
TRUE,"55+"
)</f>
        <v>Under 25</v>
      </c>
      <c r="AK364" t="str" cm="1">
        <f t="array" ref="AK364">_xlfn.IFS(
HR_Data[[#This Row],[MonthlyIncome]]&lt;3000,"&lt;3K",
HR_Data[[#This Row],[MonthlyIncome]]&lt;6000,"3K-6K",
HR_Data[[#This Row],[MonthlyIncome]]&lt;10000,"6K-10K",
TRUE,"10K+"
)</f>
        <v>&lt;3K</v>
      </c>
      <c r="AL364" t="str" cm="1">
        <f t="array" ref="AL364">_xlfn.IFS(
HR_Data[[#This Row],[YearsAtCompany]]&lt;2,"&lt;2 Years",
HR_Data[[#This Row],[YearsAtCompany]]&lt;5,"2-4 Years",
HR_Data[[#This Row],[YearsAtCompany]]&lt;10,"5-9 Years",
TRUE,"10+ Years"
)</f>
        <v>2-4 Years</v>
      </c>
      <c r="AM364" s="1">
        <f>IF(HR_Data[[#This Row],[Attrition]]="Yes",1,0)</f>
        <v>0</v>
      </c>
    </row>
    <row r="365" spans="1:39" x14ac:dyDescent="0.3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 cm="1">
        <f t="array" ref="AJ365">_xlfn.IFS(
HR_Data[[#This Row],[Age]]&lt;25,"Under 25",
HR_Data[[#This Row],[Age]]&lt;35,"25-34",
HR_Data[[#This Row],[Age]]&lt;45,"35-44",
HR_Data[[#This Row],[Age]]&lt;55,"45-54",
TRUE,"55+"
)</f>
        <v>25-34</v>
      </c>
      <c r="AK365" t="str" cm="1">
        <f t="array" ref="AK365">_xlfn.IFS(
HR_Data[[#This Row],[MonthlyIncome]]&lt;3000,"&lt;3K",
HR_Data[[#This Row],[MonthlyIncome]]&lt;6000,"3K-6K",
HR_Data[[#This Row],[MonthlyIncome]]&lt;10000,"6K-10K",
TRUE,"10K+"
)</f>
        <v>&lt;3K</v>
      </c>
      <c r="AL365" t="str" cm="1">
        <f t="array" ref="AL365">_xlfn.IFS(
HR_Data[[#This Row],[YearsAtCompany]]&lt;2,"&lt;2 Years",
HR_Data[[#This Row],[YearsAtCompany]]&lt;5,"2-4 Years",
HR_Data[[#This Row],[YearsAtCompany]]&lt;10,"5-9 Years",
TRUE,"10+ Years"
)</f>
        <v>&lt;2 Years</v>
      </c>
      <c r="AM365" s="1">
        <f>IF(HR_Data[[#This Row],[Attrition]]="Yes",1,0)</f>
        <v>1</v>
      </c>
    </row>
    <row r="366" spans="1:39" x14ac:dyDescent="0.3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 cm="1">
        <f t="array" ref="AJ366">_xlfn.IFS(
HR_Data[[#This Row],[Age]]&lt;25,"Under 25",
HR_Data[[#This Row],[Age]]&lt;35,"25-34",
HR_Data[[#This Row],[Age]]&lt;45,"35-44",
HR_Data[[#This Row],[Age]]&lt;55,"45-54",
TRUE,"55+"
)</f>
        <v>35-44</v>
      </c>
      <c r="AK366" t="str" cm="1">
        <f t="array" ref="AK366">_xlfn.IFS(
HR_Data[[#This Row],[MonthlyIncome]]&lt;3000,"&lt;3K",
HR_Data[[#This Row],[MonthlyIncome]]&lt;6000,"3K-6K",
HR_Data[[#This Row],[MonthlyIncome]]&lt;10000,"6K-10K",
TRUE,"10K+"
)</f>
        <v>3K-6K</v>
      </c>
      <c r="AL366" t="str" cm="1">
        <f t="array" ref="AL366">_xlfn.IFS(
HR_Data[[#This Row],[YearsAtCompany]]&lt;2,"&lt;2 Years",
HR_Data[[#This Row],[YearsAtCompany]]&lt;5,"2-4 Years",
HR_Data[[#This Row],[YearsAtCompany]]&lt;10,"5-9 Years",
TRUE,"10+ Years"
)</f>
        <v>5-9 Years</v>
      </c>
      <c r="AM366" s="1">
        <f>IF(HR_Data[[#This Row],[Attrition]]="Yes",1,0)</f>
        <v>0</v>
      </c>
    </row>
    <row r="367" spans="1:39" x14ac:dyDescent="0.3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 cm="1">
        <f t="array" ref="AJ367">_xlfn.IFS(
HR_Data[[#This Row],[Age]]&lt;25,"Under 25",
HR_Data[[#This Row],[Age]]&lt;35,"25-34",
HR_Data[[#This Row],[Age]]&lt;45,"35-44",
HR_Data[[#This Row],[Age]]&lt;55,"45-54",
TRUE,"55+"
)</f>
        <v>45-54</v>
      </c>
      <c r="AK367" t="str" cm="1">
        <f t="array" ref="AK367">_xlfn.IFS(
HR_Data[[#This Row],[MonthlyIncome]]&lt;3000,"&lt;3K",
HR_Data[[#This Row],[MonthlyIncome]]&lt;6000,"3K-6K",
HR_Data[[#This Row],[MonthlyIncome]]&lt;10000,"6K-10K",
TRUE,"10K+"
)</f>
        <v>3K-6K</v>
      </c>
      <c r="AL367" t="str" cm="1">
        <f t="array" ref="AL367">_xlfn.IFS(
HR_Data[[#This Row],[YearsAtCompany]]&lt;2,"&lt;2 Years",
HR_Data[[#This Row],[YearsAtCompany]]&lt;5,"2-4 Years",
HR_Data[[#This Row],[YearsAtCompany]]&lt;10,"5-9 Years",
TRUE,"10+ Years"
)</f>
        <v>&lt;2 Years</v>
      </c>
      <c r="AM367" s="1">
        <f>IF(HR_Data[[#This Row],[Attrition]]="Yes",1,0)</f>
        <v>0</v>
      </c>
    </row>
    <row r="368" spans="1:39" x14ac:dyDescent="0.3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 cm="1">
        <f t="array" ref="AJ368">_xlfn.IFS(
HR_Data[[#This Row],[Age]]&lt;25,"Under 25",
HR_Data[[#This Row],[Age]]&lt;35,"25-34",
HR_Data[[#This Row],[Age]]&lt;45,"35-44",
HR_Data[[#This Row],[Age]]&lt;55,"45-54",
TRUE,"55+"
)</f>
        <v>35-44</v>
      </c>
      <c r="AK368" t="str" cm="1">
        <f t="array" ref="AK368">_xlfn.IFS(
HR_Data[[#This Row],[MonthlyIncome]]&lt;3000,"&lt;3K",
HR_Data[[#This Row],[MonthlyIncome]]&lt;6000,"3K-6K",
HR_Data[[#This Row],[MonthlyIncome]]&lt;10000,"6K-10K",
TRUE,"10K+"
)</f>
        <v>6K-10K</v>
      </c>
      <c r="AL368" t="str" cm="1">
        <f t="array" ref="AL368">_xlfn.IFS(
HR_Data[[#This Row],[YearsAtCompany]]&lt;2,"&lt;2 Years",
HR_Data[[#This Row],[YearsAtCompany]]&lt;5,"2-4 Years",
HR_Data[[#This Row],[YearsAtCompany]]&lt;10,"5-9 Years",
TRUE,"10+ Years"
)</f>
        <v>5-9 Years</v>
      </c>
      <c r="AM368" s="1">
        <f>IF(HR_Data[[#This Row],[Attrition]]="Yes",1,0)</f>
        <v>1</v>
      </c>
    </row>
    <row r="369" spans="1:39" x14ac:dyDescent="0.3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 cm="1">
        <f t="array" ref="AJ369">_xlfn.IFS(
HR_Data[[#This Row],[Age]]&lt;25,"Under 25",
HR_Data[[#This Row],[Age]]&lt;35,"25-34",
HR_Data[[#This Row],[Age]]&lt;45,"35-44",
HR_Data[[#This Row],[Age]]&lt;55,"45-54",
TRUE,"55+"
)</f>
        <v>45-54</v>
      </c>
      <c r="AK369" t="str" cm="1">
        <f t="array" ref="AK369">_xlfn.IFS(
HR_Data[[#This Row],[MonthlyIncome]]&lt;3000,"&lt;3K",
HR_Data[[#This Row],[MonthlyIncome]]&lt;6000,"3K-6K",
HR_Data[[#This Row],[MonthlyIncome]]&lt;10000,"6K-10K",
TRUE,"10K+"
)</f>
        <v>10K+</v>
      </c>
      <c r="AL369" t="str" cm="1">
        <f t="array" ref="AL369">_xlfn.IFS(
HR_Data[[#This Row],[YearsAtCompany]]&lt;2,"&lt;2 Years",
HR_Data[[#This Row],[YearsAtCompany]]&lt;5,"2-4 Years",
HR_Data[[#This Row],[YearsAtCompany]]&lt;10,"5-9 Years",
TRUE,"10+ Years"
)</f>
        <v>2-4 Years</v>
      </c>
      <c r="AM369" s="1">
        <f>IF(HR_Data[[#This Row],[Attrition]]="Yes",1,0)</f>
        <v>0</v>
      </c>
    </row>
    <row r="370" spans="1:39" x14ac:dyDescent="0.3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 cm="1">
        <f t="array" ref="AJ370">_xlfn.IFS(
HR_Data[[#This Row],[Age]]&lt;25,"Under 25",
HR_Data[[#This Row],[Age]]&lt;35,"25-34",
HR_Data[[#This Row],[Age]]&lt;45,"35-44",
HR_Data[[#This Row],[Age]]&lt;55,"45-54",
TRUE,"55+"
)</f>
        <v>35-44</v>
      </c>
      <c r="AK370" t="str" cm="1">
        <f t="array" ref="AK370">_xlfn.IFS(
HR_Data[[#This Row],[MonthlyIncome]]&lt;3000,"&lt;3K",
HR_Data[[#This Row],[MonthlyIncome]]&lt;6000,"3K-6K",
HR_Data[[#This Row],[MonthlyIncome]]&lt;10000,"6K-10K",
TRUE,"10K+"
)</f>
        <v>6K-10K</v>
      </c>
      <c r="AL370" t="str" cm="1">
        <f t="array" ref="AL370">_xlfn.IFS(
HR_Data[[#This Row],[YearsAtCompany]]&lt;2,"&lt;2 Years",
HR_Data[[#This Row],[YearsAtCompany]]&lt;5,"2-4 Years",
HR_Data[[#This Row],[YearsAtCompany]]&lt;10,"5-9 Years",
TRUE,"10+ Years"
)</f>
        <v>5-9 Years</v>
      </c>
      <c r="AM370" s="1">
        <f>IF(HR_Data[[#This Row],[Attrition]]="Yes",1,0)</f>
        <v>1</v>
      </c>
    </row>
    <row r="371" spans="1:39" x14ac:dyDescent="0.3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 cm="1">
        <f t="array" ref="AJ371">_xlfn.IFS(
HR_Data[[#This Row],[Age]]&lt;25,"Under 25",
HR_Data[[#This Row],[Age]]&lt;35,"25-34",
HR_Data[[#This Row],[Age]]&lt;45,"35-44",
HR_Data[[#This Row],[Age]]&lt;55,"45-54",
TRUE,"55+"
)</f>
        <v>25-34</v>
      </c>
      <c r="AK371" t="str" cm="1">
        <f t="array" ref="AK371">_xlfn.IFS(
HR_Data[[#This Row],[MonthlyIncome]]&lt;3000,"&lt;3K",
HR_Data[[#This Row],[MonthlyIncome]]&lt;6000,"3K-6K",
HR_Data[[#This Row],[MonthlyIncome]]&lt;10000,"6K-10K",
TRUE,"10K+"
)</f>
        <v>&lt;3K</v>
      </c>
      <c r="AL371" t="str" cm="1">
        <f t="array" ref="AL371">_xlfn.IFS(
HR_Data[[#This Row],[YearsAtCompany]]&lt;2,"&lt;2 Years",
HR_Data[[#This Row],[YearsAtCompany]]&lt;5,"2-4 Years",
HR_Data[[#This Row],[YearsAtCompany]]&lt;10,"5-9 Years",
TRUE,"10+ Years"
)</f>
        <v>2-4 Years</v>
      </c>
      <c r="AM371" s="1">
        <f>IF(HR_Data[[#This Row],[Attrition]]="Yes",1,0)</f>
        <v>0</v>
      </c>
    </row>
    <row r="372" spans="1:39" x14ac:dyDescent="0.3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 cm="1">
        <f t="array" ref="AJ372">_xlfn.IFS(
HR_Data[[#This Row],[Age]]&lt;25,"Under 25",
HR_Data[[#This Row],[Age]]&lt;35,"25-34",
HR_Data[[#This Row],[Age]]&lt;45,"35-44",
HR_Data[[#This Row],[Age]]&lt;55,"45-54",
TRUE,"55+"
)</f>
        <v>Under 25</v>
      </c>
      <c r="AK372" t="str" cm="1">
        <f t="array" ref="AK372">_xlfn.IFS(
HR_Data[[#This Row],[MonthlyIncome]]&lt;3000,"&lt;3K",
HR_Data[[#This Row],[MonthlyIncome]]&lt;6000,"3K-6K",
HR_Data[[#This Row],[MonthlyIncome]]&lt;10000,"6K-10K",
TRUE,"10K+"
)</f>
        <v>&lt;3K</v>
      </c>
      <c r="AL372" t="str" cm="1">
        <f t="array" ref="AL372">_xlfn.IFS(
HR_Data[[#This Row],[YearsAtCompany]]&lt;2,"&lt;2 Years",
HR_Data[[#This Row],[YearsAtCompany]]&lt;5,"2-4 Years",
HR_Data[[#This Row],[YearsAtCompany]]&lt;10,"5-9 Years",
TRUE,"10+ Years"
)</f>
        <v>&lt;2 Years</v>
      </c>
      <c r="AM372" s="1">
        <f>IF(HR_Data[[#This Row],[Attrition]]="Yes",1,0)</f>
        <v>1</v>
      </c>
    </row>
    <row r="373" spans="1:39" x14ac:dyDescent="0.3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 cm="1">
        <f t="array" ref="AJ373">_xlfn.IFS(
HR_Data[[#This Row],[Age]]&lt;25,"Under 25",
HR_Data[[#This Row],[Age]]&lt;35,"25-34",
HR_Data[[#This Row],[Age]]&lt;45,"35-44",
HR_Data[[#This Row],[Age]]&lt;55,"45-54",
TRUE,"55+"
)</f>
        <v>25-34</v>
      </c>
      <c r="AK373" t="str" cm="1">
        <f t="array" ref="AK373">_xlfn.IFS(
HR_Data[[#This Row],[MonthlyIncome]]&lt;3000,"&lt;3K",
HR_Data[[#This Row],[MonthlyIncome]]&lt;6000,"3K-6K",
HR_Data[[#This Row],[MonthlyIncome]]&lt;10000,"6K-10K",
TRUE,"10K+"
)</f>
        <v>&lt;3K</v>
      </c>
      <c r="AL373" t="str" cm="1">
        <f t="array" ref="AL373">_xlfn.IFS(
HR_Data[[#This Row],[YearsAtCompany]]&lt;2,"&lt;2 Years",
HR_Data[[#This Row],[YearsAtCompany]]&lt;5,"2-4 Years",
HR_Data[[#This Row],[YearsAtCompany]]&lt;10,"5-9 Years",
TRUE,"10+ Years"
)</f>
        <v>2-4 Years</v>
      </c>
      <c r="AM373" s="1">
        <f>IF(HR_Data[[#This Row],[Attrition]]="Yes",1,0)</f>
        <v>0</v>
      </c>
    </row>
    <row r="374" spans="1:39" x14ac:dyDescent="0.3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 cm="1">
        <f t="array" ref="AJ374">_xlfn.IFS(
HR_Data[[#This Row],[Age]]&lt;25,"Under 25",
HR_Data[[#This Row],[Age]]&lt;35,"25-34",
HR_Data[[#This Row],[Age]]&lt;45,"35-44",
HR_Data[[#This Row],[Age]]&lt;55,"45-54",
TRUE,"55+"
)</f>
        <v>35-44</v>
      </c>
      <c r="AK374" t="str" cm="1">
        <f t="array" ref="AK374">_xlfn.IFS(
HR_Data[[#This Row],[MonthlyIncome]]&lt;3000,"&lt;3K",
HR_Data[[#This Row],[MonthlyIncome]]&lt;6000,"3K-6K",
HR_Data[[#This Row],[MonthlyIncome]]&lt;10000,"6K-10K",
TRUE,"10K+"
)</f>
        <v>6K-10K</v>
      </c>
      <c r="AL374" t="str" cm="1">
        <f t="array" ref="AL374">_xlfn.IFS(
HR_Data[[#This Row],[YearsAtCompany]]&lt;2,"&lt;2 Years",
HR_Data[[#This Row],[YearsAtCompany]]&lt;5,"2-4 Years",
HR_Data[[#This Row],[YearsAtCompany]]&lt;10,"5-9 Years",
TRUE,"10+ Years"
)</f>
        <v>&lt;2 Years</v>
      </c>
      <c r="AM374" s="1">
        <f>IF(HR_Data[[#This Row],[Attrition]]="Yes",1,0)</f>
        <v>0</v>
      </c>
    </row>
    <row r="375" spans="1:39" x14ac:dyDescent="0.3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 cm="1">
        <f t="array" ref="AJ375">_xlfn.IFS(
HR_Data[[#This Row],[Age]]&lt;25,"Under 25",
HR_Data[[#This Row],[Age]]&lt;35,"25-34",
HR_Data[[#This Row],[Age]]&lt;45,"35-44",
HR_Data[[#This Row],[Age]]&lt;55,"45-54",
TRUE,"55+"
)</f>
        <v>25-34</v>
      </c>
      <c r="AK375" t="str" cm="1">
        <f t="array" ref="AK375">_xlfn.IFS(
HR_Data[[#This Row],[MonthlyIncome]]&lt;3000,"&lt;3K",
HR_Data[[#This Row],[MonthlyIncome]]&lt;6000,"3K-6K",
HR_Data[[#This Row],[MonthlyIncome]]&lt;10000,"6K-10K",
TRUE,"10K+"
)</f>
        <v>3K-6K</v>
      </c>
      <c r="AL375" t="str" cm="1">
        <f t="array" ref="AL375">_xlfn.IFS(
HR_Data[[#This Row],[YearsAtCompany]]&lt;2,"&lt;2 Years",
HR_Data[[#This Row],[YearsAtCompany]]&lt;5,"2-4 Years",
HR_Data[[#This Row],[YearsAtCompany]]&lt;10,"5-9 Years",
TRUE,"10+ Years"
)</f>
        <v>5-9 Years</v>
      </c>
      <c r="AM375" s="1">
        <f>IF(HR_Data[[#This Row],[Attrition]]="Yes",1,0)</f>
        <v>0</v>
      </c>
    </row>
    <row r="376" spans="1:39" x14ac:dyDescent="0.3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 cm="1">
        <f t="array" ref="AJ376">_xlfn.IFS(
HR_Data[[#This Row],[Age]]&lt;25,"Under 25",
HR_Data[[#This Row],[Age]]&lt;35,"25-34",
HR_Data[[#This Row],[Age]]&lt;45,"35-44",
HR_Data[[#This Row],[Age]]&lt;55,"45-54",
TRUE,"55+"
)</f>
        <v>25-34</v>
      </c>
      <c r="AK376" t="str" cm="1">
        <f t="array" ref="AK376">_xlfn.IFS(
HR_Data[[#This Row],[MonthlyIncome]]&lt;3000,"&lt;3K",
HR_Data[[#This Row],[MonthlyIncome]]&lt;6000,"3K-6K",
HR_Data[[#This Row],[MonthlyIncome]]&lt;10000,"6K-10K",
TRUE,"10K+"
)</f>
        <v>3K-6K</v>
      </c>
      <c r="AL376" t="str" cm="1">
        <f t="array" ref="AL376">_xlfn.IFS(
HR_Data[[#This Row],[YearsAtCompany]]&lt;2,"&lt;2 Years",
HR_Data[[#This Row],[YearsAtCompany]]&lt;5,"2-4 Years",
HR_Data[[#This Row],[YearsAtCompany]]&lt;10,"5-9 Years",
TRUE,"10+ Years"
)</f>
        <v>5-9 Years</v>
      </c>
      <c r="AM376" s="1">
        <f>IF(HR_Data[[#This Row],[Attrition]]="Yes",1,0)</f>
        <v>0</v>
      </c>
    </row>
    <row r="377" spans="1:39" x14ac:dyDescent="0.3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 cm="1">
        <f t="array" ref="AJ377">_xlfn.IFS(
HR_Data[[#This Row],[Age]]&lt;25,"Under 25",
HR_Data[[#This Row],[Age]]&lt;35,"25-34",
HR_Data[[#This Row],[Age]]&lt;45,"35-44",
HR_Data[[#This Row],[Age]]&lt;55,"45-54",
TRUE,"55+"
)</f>
        <v>45-54</v>
      </c>
      <c r="AK377" t="str" cm="1">
        <f t="array" ref="AK377">_xlfn.IFS(
HR_Data[[#This Row],[MonthlyIncome]]&lt;3000,"&lt;3K",
HR_Data[[#This Row],[MonthlyIncome]]&lt;6000,"3K-6K",
HR_Data[[#This Row],[MonthlyIncome]]&lt;10000,"6K-10K",
TRUE,"10K+"
)</f>
        <v>10K+</v>
      </c>
      <c r="AL377" t="str" cm="1">
        <f t="array" ref="AL377">_xlfn.IFS(
HR_Data[[#This Row],[YearsAtCompany]]&lt;2,"&lt;2 Years",
HR_Data[[#This Row],[YearsAtCompany]]&lt;5,"2-4 Years",
HR_Data[[#This Row],[YearsAtCompany]]&lt;10,"5-9 Years",
TRUE,"10+ Years"
)</f>
        <v>5-9 Years</v>
      </c>
      <c r="AM377" s="1">
        <f>IF(HR_Data[[#This Row],[Attrition]]="Yes",1,0)</f>
        <v>0</v>
      </c>
    </row>
    <row r="378" spans="1:39" x14ac:dyDescent="0.3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 cm="1">
        <f t="array" ref="AJ378">_xlfn.IFS(
HR_Data[[#This Row],[Age]]&lt;25,"Under 25",
HR_Data[[#This Row],[Age]]&lt;35,"25-34",
HR_Data[[#This Row],[Age]]&lt;45,"35-44",
HR_Data[[#This Row],[Age]]&lt;55,"45-54",
TRUE,"55+"
)</f>
        <v>45-54</v>
      </c>
      <c r="AK378" t="str" cm="1">
        <f t="array" ref="AK378">_xlfn.IFS(
HR_Data[[#This Row],[MonthlyIncome]]&lt;3000,"&lt;3K",
HR_Data[[#This Row],[MonthlyIncome]]&lt;6000,"3K-6K",
HR_Data[[#This Row],[MonthlyIncome]]&lt;10000,"6K-10K",
TRUE,"10K+"
)</f>
        <v>3K-6K</v>
      </c>
      <c r="AL378" t="str" cm="1">
        <f t="array" ref="AL378">_xlfn.IFS(
HR_Data[[#This Row],[YearsAtCompany]]&lt;2,"&lt;2 Years",
HR_Data[[#This Row],[YearsAtCompany]]&lt;5,"2-4 Years",
HR_Data[[#This Row],[YearsAtCompany]]&lt;10,"5-9 Years",
TRUE,"10+ Years"
)</f>
        <v>5-9 Years</v>
      </c>
      <c r="AM378" s="1">
        <f>IF(HR_Data[[#This Row],[Attrition]]="Yes",1,0)</f>
        <v>0</v>
      </c>
    </row>
    <row r="379" spans="1:39" x14ac:dyDescent="0.3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 cm="1">
        <f t="array" ref="AJ379">_xlfn.IFS(
HR_Data[[#This Row],[Age]]&lt;25,"Under 25",
HR_Data[[#This Row],[Age]]&lt;35,"25-34",
HR_Data[[#This Row],[Age]]&lt;45,"35-44",
HR_Data[[#This Row],[Age]]&lt;55,"45-54",
TRUE,"55+"
)</f>
        <v>35-44</v>
      </c>
      <c r="AK379" t="str" cm="1">
        <f t="array" ref="AK379">_xlfn.IFS(
HR_Data[[#This Row],[MonthlyIncome]]&lt;3000,"&lt;3K",
HR_Data[[#This Row],[MonthlyIncome]]&lt;6000,"3K-6K",
HR_Data[[#This Row],[MonthlyIncome]]&lt;10000,"6K-10K",
TRUE,"10K+"
)</f>
        <v>&lt;3K</v>
      </c>
      <c r="AL379" t="str" cm="1">
        <f t="array" ref="AL379">_xlfn.IFS(
HR_Data[[#This Row],[YearsAtCompany]]&lt;2,"&lt;2 Years",
HR_Data[[#This Row],[YearsAtCompany]]&lt;5,"2-4 Years",
HR_Data[[#This Row],[YearsAtCompany]]&lt;10,"5-9 Years",
TRUE,"10+ Years"
)</f>
        <v>2-4 Years</v>
      </c>
      <c r="AM379" s="1">
        <f>IF(HR_Data[[#This Row],[Attrition]]="Yes",1,0)</f>
        <v>0</v>
      </c>
    </row>
    <row r="380" spans="1:39" x14ac:dyDescent="0.3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 cm="1">
        <f t="array" ref="AJ380">_xlfn.IFS(
HR_Data[[#This Row],[Age]]&lt;25,"Under 25",
HR_Data[[#This Row],[Age]]&lt;35,"25-34",
HR_Data[[#This Row],[Age]]&lt;45,"35-44",
HR_Data[[#This Row],[Age]]&lt;55,"45-54",
TRUE,"55+"
)</f>
        <v>25-34</v>
      </c>
      <c r="AK380" t="str" cm="1">
        <f t="array" ref="AK380">_xlfn.IFS(
HR_Data[[#This Row],[MonthlyIncome]]&lt;3000,"&lt;3K",
HR_Data[[#This Row],[MonthlyIncome]]&lt;6000,"3K-6K",
HR_Data[[#This Row],[MonthlyIncome]]&lt;10000,"6K-10K",
TRUE,"10K+"
)</f>
        <v>3K-6K</v>
      </c>
      <c r="AL380" t="str" cm="1">
        <f t="array" ref="AL380">_xlfn.IFS(
HR_Data[[#This Row],[YearsAtCompany]]&lt;2,"&lt;2 Years",
HR_Data[[#This Row],[YearsAtCompany]]&lt;5,"2-4 Years",
HR_Data[[#This Row],[YearsAtCompany]]&lt;10,"5-9 Years",
TRUE,"10+ Years"
)</f>
        <v>5-9 Years</v>
      </c>
      <c r="AM380" s="1">
        <f>IF(HR_Data[[#This Row],[Attrition]]="Yes",1,0)</f>
        <v>1</v>
      </c>
    </row>
    <row r="381" spans="1:39" x14ac:dyDescent="0.3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 cm="1">
        <f t="array" ref="AJ381">_xlfn.IFS(
HR_Data[[#This Row],[Age]]&lt;25,"Under 25",
HR_Data[[#This Row],[Age]]&lt;35,"25-34",
HR_Data[[#This Row],[Age]]&lt;45,"35-44",
HR_Data[[#This Row],[Age]]&lt;55,"45-54",
TRUE,"55+"
)</f>
        <v>55+</v>
      </c>
      <c r="AK381" t="str" cm="1">
        <f t="array" ref="AK381">_xlfn.IFS(
HR_Data[[#This Row],[MonthlyIncome]]&lt;3000,"&lt;3K",
HR_Data[[#This Row],[MonthlyIncome]]&lt;6000,"3K-6K",
HR_Data[[#This Row],[MonthlyIncome]]&lt;10000,"6K-10K",
TRUE,"10K+"
)</f>
        <v>10K+</v>
      </c>
      <c r="AL381" t="str" cm="1">
        <f t="array" ref="AL381">_xlfn.IFS(
HR_Data[[#This Row],[YearsAtCompany]]&lt;2,"&lt;2 Years",
HR_Data[[#This Row],[YearsAtCompany]]&lt;5,"2-4 Years",
HR_Data[[#This Row],[YearsAtCompany]]&lt;10,"5-9 Years",
TRUE,"10+ Years"
)</f>
        <v>5-9 Years</v>
      </c>
      <c r="AM381" s="1">
        <f>IF(HR_Data[[#This Row],[Attrition]]="Yes",1,0)</f>
        <v>0</v>
      </c>
    </row>
    <row r="382" spans="1:39" x14ac:dyDescent="0.3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 cm="1">
        <f t="array" ref="AJ382">_xlfn.IFS(
HR_Data[[#This Row],[Age]]&lt;25,"Under 25",
HR_Data[[#This Row],[Age]]&lt;35,"25-34",
HR_Data[[#This Row],[Age]]&lt;45,"35-44",
HR_Data[[#This Row],[Age]]&lt;55,"45-54",
TRUE,"55+"
)</f>
        <v>Under 25</v>
      </c>
      <c r="AK382" t="str" cm="1">
        <f t="array" ref="AK382">_xlfn.IFS(
HR_Data[[#This Row],[MonthlyIncome]]&lt;3000,"&lt;3K",
HR_Data[[#This Row],[MonthlyIncome]]&lt;6000,"3K-6K",
HR_Data[[#This Row],[MonthlyIncome]]&lt;10000,"6K-10K",
TRUE,"10K+"
)</f>
        <v>3K-6K</v>
      </c>
      <c r="AL382" t="str" cm="1">
        <f t="array" ref="AL382">_xlfn.IFS(
HR_Data[[#This Row],[YearsAtCompany]]&lt;2,"&lt;2 Years",
HR_Data[[#This Row],[YearsAtCompany]]&lt;5,"2-4 Years",
HR_Data[[#This Row],[YearsAtCompany]]&lt;10,"5-9 Years",
TRUE,"10+ Years"
)</f>
        <v>5-9 Years</v>
      </c>
      <c r="AM382" s="1">
        <f>IF(HR_Data[[#This Row],[Attrition]]="Yes",1,0)</f>
        <v>0</v>
      </c>
    </row>
    <row r="383" spans="1:39" x14ac:dyDescent="0.3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 cm="1">
        <f t="array" ref="AJ383">_xlfn.IFS(
HR_Data[[#This Row],[Age]]&lt;25,"Under 25",
HR_Data[[#This Row],[Age]]&lt;35,"25-34",
HR_Data[[#This Row],[Age]]&lt;45,"35-44",
HR_Data[[#This Row],[Age]]&lt;55,"45-54",
TRUE,"55+"
)</f>
        <v>25-34</v>
      </c>
      <c r="AK383" t="str" cm="1">
        <f t="array" ref="AK383">_xlfn.IFS(
HR_Data[[#This Row],[MonthlyIncome]]&lt;3000,"&lt;3K",
HR_Data[[#This Row],[MonthlyIncome]]&lt;6000,"3K-6K",
HR_Data[[#This Row],[MonthlyIncome]]&lt;10000,"6K-10K",
TRUE,"10K+"
)</f>
        <v>&lt;3K</v>
      </c>
      <c r="AL383" t="str" cm="1">
        <f t="array" ref="AL383">_xlfn.IFS(
HR_Data[[#This Row],[YearsAtCompany]]&lt;2,"&lt;2 Years",
HR_Data[[#This Row],[YearsAtCompany]]&lt;5,"2-4 Years",
HR_Data[[#This Row],[YearsAtCompany]]&lt;10,"5-9 Years",
TRUE,"10+ Years"
)</f>
        <v>&lt;2 Years</v>
      </c>
      <c r="AM383" s="1">
        <f>IF(HR_Data[[#This Row],[Attrition]]="Yes",1,0)</f>
        <v>0</v>
      </c>
    </row>
    <row r="384" spans="1:39" x14ac:dyDescent="0.3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 cm="1">
        <f t="array" ref="AJ384">_xlfn.IFS(
HR_Data[[#This Row],[Age]]&lt;25,"Under 25",
HR_Data[[#This Row],[Age]]&lt;35,"25-34",
HR_Data[[#This Row],[Age]]&lt;45,"35-44",
HR_Data[[#This Row],[Age]]&lt;55,"45-54",
TRUE,"55+"
)</f>
        <v>25-34</v>
      </c>
      <c r="AK384" t="str" cm="1">
        <f t="array" ref="AK384">_xlfn.IFS(
HR_Data[[#This Row],[MonthlyIncome]]&lt;3000,"&lt;3K",
HR_Data[[#This Row],[MonthlyIncome]]&lt;6000,"3K-6K",
HR_Data[[#This Row],[MonthlyIncome]]&lt;10000,"6K-10K",
TRUE,"10K+"
)</f>
        <v>3K-6K</v>
      </c>
      <c r="AL384" t="str" cm="1">
        <f t="array" ref="AL384">_xlfn.IFS(
HR_Data[[#This Row],[YearsAtCompany]]&lt;2,"&lt;2 Years",
HR_Data[[#This Row],[YearsAtCompany]]&lt;5,"2-4 Years",
HR_Data[[#This Row],[YearsAtCompany]]&lt;10,"5-9 Years",
TRUE,"10+ Years"
)</f>
        <v>5-9 Years</v>
      </c>
      <c r="AM384" s="1">
        <f>IF(HR_Data[[#This Row],[Attrition]]="Yes",1,0)</f>
        <v>1</v>
      </c>
    </row>
    <row r="385" spans="1:39" x14ac:dyDescent="0.3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 cm="1">
        <f t="array" ref="AJ385">_xlfn.IFS(
HR_Data[[#This Row],[Age]]&lt;25,"Under 25",
HR_Data[[#This Row],[Age]]&lt;35,"25-34",
HR_Data[[#This Row],[Age]]&lt;45,"35-44",
HR_Data[[#This Row],[Age]]&lt;55,"45-54",
TRUE,"55+"
)</f>
        <v>Under 25</v>
      </c>
      <c r="AK385" t="str" cm="1">
        <f t="array" ref="AK385">_xlfn.IFS(
HR_Data[[#This Row],[MonthlyIncome]]&lt;3000,"&lt;3K",
HR_Data[[#This Row],[MonthlyIncome]]&lt;6000,"3K-6K",
HR_Data[[#This Row],[MonthlyIncome]]&lt;10000,"6K-10K",
TRUE,"10K+"
)</f>
        <v>&lt;3K</v>
      </c>
      <c r="AL385" t="str" cm="1">
        <f t="array" ref="AL385">_xlfn.IFS(
HR_Data[[#This Row],[YearsAtCompany]]&lt;2,"&lt;2 Years",
HR_Data[[#This Row],[YearsAtCompany]]&lt;5,"2-4 Years",
HR_Data[[#This Row],[YearsAtCompany]]&lt;10,"5-9 Years",
TRUE,"10+ Years"
)</f>
        <v>2-4 Years</v>
      </c>
      <c r="AM385" s="1">
        <f>IF(HR_Data[[#This Row],[Attrition]]="Yes",1,0)</f>
        <v>0</v>
      </c>
    </row>
    <row r="386" spans="1:39" x14ac:dyDescent="0.3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 cm="1">
        <f t="array" ref="AJ386">_xlfn.IFS(
HR_Data[[#This Row],[Age]]&lt;25,"Under 25",
HR_Data[[#This Row],[Age]]&lt;35,"25-34",
HR_Data[[#This Row],[Age]]&lt;45,"35-44",
HR_Data[[#This Row],[Age]]&lt;55,"45-54",
TRUE,"55+"
)</f>
        <v>35-44</v>
      </c>
      <c r="AK386" t="str" cm="1">
        <f t="array" ref="AK386">_xlfn.IFS(
HR_Data[[#This Row],[MonthlyIncome]]&lt;3000,"&lt;3K",
HR_Data[[#This Row],[MonthlyIncome]]&lt;6000,"3K-6K",
HR_Data[[#This Row],[MonthlyIncome]]&lt;10000,"6K-10K",
TRUE,"10K+"
)</f>
        <v>6K-10K</v>
      </c>
      <c r="AL386" t="str" cm="1">
        <f t="array" ref="AL386">_xlfn.IFS(
HR_Data[[#This Row],[YearsAtCompany]]&lt;2,"&lt;2 Years",
HR_Data[[#This Row],[YearsAtCompany]]&lt;5,"2-4 Years",
HR_Data[[#This Row],[YearsAtCompany]]&lt;10,"5-9 Years",
TRUE,"10+ Years"
)</f>
        <v>10+ Years</v>
      </c>
      <c r="AM386" s="1">
        <f>IF(HR_Data[[#This Row],[Attrition]]="Yes",1,0)</f>
        <v>0</v>
      </c>
    </row>
    <row r="387" spans="1:39" x14ac:dyDescent="0.3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 cm="1">
        <f t="array" ref="AJ387">_xlfn.IFS(
HR_Data[[#This Row],[Age]]&lt;25,"Under 25",
HR_Data[[#This Row],[Age]]&lt;35,"25-34",
HR_Data[[#This Row],[Age]]&lt;45,"35-44",
HR_Data[[#This Row],[Age]]&lt;55,"45-54",
TRUE,"55+"
)</f>
        <v>25-34</v>
      </c>
      <c r="AK387" t="str" cm="1">
        <f t="array" ref="AK387">_xlfn.IFS(
HR_Data[[#This Row],[MonthlyIncome]]&lt;3000,"&lt;3K",
HR_Data[[#This Row],[MonthlyIncome]]&lt;6000,"3K-6K",
HR_Data[[#This Row],[MonthlyIncome]]&lt;10000,"6K-10K",
TRUE,"10K+"
)</f>
        <v>&lt;3K</v>
      </c>
      <c r="AL387" t="str" cm="1">
        <f t="array" ref="AL387">_xlfn.IFS(
HR_Data[[#This Row],[YearsAtCompany]]&lt;2,"&lt;2 Years",
HR_Data[[#This Row],[YearsAtCompany]]&lt;5,"2-4 Years",
HR_Data[[#This Row],[YearsAtCompany]]&lt;10,"5-9 Years",
TRUE,"10+ Years"
)</f>
        <v>&lt;2 Years</v>
      </c>
      <c r="AM387" s="1">
        <f>IF(HR_Data[[#This Row],[Attrition]]="Yes",1,0)</f>
        <v>1</v>
      </c>
    </row>
    <row r="388" spans="1:39" x14ac:dyDescent="0.3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 cm="1">
        <f t="array" ref="AJ388">_xlfn.IFS(
HR_Data[[#This Row],[Age]]&lt;25,"Under 25",
HR_Data[[#This Row],[Age]]&lt;35,"25-34",
HR_Data[[#This Row],[Age]]&lt;45,"35-44",
HR_Data[[#This Row],[Age]]&lt;55,"45-54",
TRUE,"55+"
)</f>
        <v>35-44</v>
      </c>
      <c r="AK388" t="str" cm="1">
        <f t="array" ref="AK388">_xlfn.IFS(
HR_Data[[#This Row],[MonthlyIncome]]&lt;3000,"&lt;3K",
HR_Data[[#This Row],[MonthlyIncome]]&lt;6000,"3K-6K",
HR_Data[[#This Row],[MonthlyIncome]]&lt;10000,"6K-10K",
TRUE,"10K+"
)</f>
        <v>3K-6K</v>
      </c>
      <c r="AL388" t="str" cm="1">
        <f t="array" ref="AL388">_xlfn.IFS(
HR_Data[[#This Row],[YearsAtCompany]]&lt;2,"&lt;2 Years",
HR_Data[[#This Row],[YearsAtCompany]]&lt;5,"2-4 Years",
HR_Data[[#This Row],[YearsAtCompany]]&lt;10,"5-9 Years",
TRUE,"10+ Years"
)</f>
        <v>10+ Years</v>
      </c>
      <c r="AM388" s="1">
        <f>IF(HR_Data[[#This Row],[Attrition]]="Yes",1,0)</f>
        <v>0</v>
      </c>
    </row>
    <row r="389" spans="1:39" x14ac:dyDescent="0.3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 cm="1">
        <f t="array" ref="AJ389">_xlfn.IFS(
HR_Data[[#This Row],[Age]]&lt;25,"Under 25",
HR_Data[[#This Row],[Age]]&lt;35,"25-34",
HR_Data[[#This Row],[Age]]&lt;45,"35-44",
HR_Data[[#This Row],[Age]]&lt;55,"45-54",
TRUE,"55+"
)</f>
        <v>35-44</v>
      </c>
      <c r="AK389" t="str" cm="1">
        <f t="array" ref="AK389">_xlfn.IFS(
HR_Data[[#This Row],[MonthlyIncome]]&lt;3000,"&lt;3K",
HR_Data[[#This Row],[MonthlyIncome]]&lt;6000,"3K-6K",
HR_Data[[#This Row],[MonthlyIncome]]&lt;10000,"6K-10K",
TRUE,"10K+"
)</f>
        <v>3K-6K</v>
      </c>
      <c r="AL389" t="str" cm="1">
        <f t="array" ref="AL389">_xlfn.IFS(
HR_Data[[#This Row],[YearsAtCompany]]&lt;2,"&lt;2 Years",
HR_Data[[#This Row],[YearsAtCompany]]&lt;5,"2-4 Years",
HR_Data[[#This Row],[YearsAtCompany]]&lt;10,"5-9 Years",
TRUE,"10+ Years"
)</f>
        <v>5-9 Years</v>
      </c>
      <c r="AM389" s="1">
        <f>IF(HR_Data[[#This Row],[Attrition]]="Yes",1,0)</f>
        <v>0</v>
      </c>
    </row>
    <row r="390" spans="1:39" x14ac:dyDescent="0.3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 cm="1">
        <f t="array" ref="AJ390">_xlfn.IFS(
HR_Data[[#This Row],[Age]]&lt;25,"Under 25",
HR_Data[[#This Row],[Age]]&lt;35,"25-34",
HR_Data[[#This Row],[Age]]&lt;45,"35-44",
HR_Data[[#This Row],[Age]]&lt;55,"45-54",
TRUE,"55+"
)</f>
        <v>35-44</v>
      </c>
      <c r="AK390" t="str" cm="1">
        <f t="array" ref="AK390">_xlfn.IFS(
HR_Data[[#This Row],[MonthlyIncome]]&lt;3000,"&lt;3K",
HR_Data[[#This Row],[MonthlyIncome]]&lt;6000,"3K-6K",
HR_Data[[#This Row],[MonthlyIncome]]&lt;10000,"6K-10K",
TRUE,"10K+"
)</f>
        <v>&lt;3K</v>
      </c>
      <c r="AL390" t="str" cm="1">
        <f t="array" ref="AL390">_xlfn.IFS(
HR_Data[[#This Row],[YearsAtCompany]]&lt;2,"&lt;2 Years",
HR_Data[[#This Row],[YearsAtCompany]]&lt;5,"2-4 Years",
HR_Data[[#This Row],[YearsAtCompany]]&lt;10,"5-9 Years",
TRUE,"10+ Years"
)</f>
        <v>5-9 Years</v>
      </c>
      <c r="AM390" s="1">
        <f>IF(HR_Data[[#This Row],[Attrition]]="Yes",1,0)</f>
        <v>0</v>
      </c>
    </row>
    <row r="391" spans="1:39" x14ac:dyDescent="0.3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 cm="1">
        <f t="array" ref="AJ391">_xlfn.IFS(
HR_Data[[#This Row],[Age]]&lt;25,"Under 25",
HR_Data[[#This Row],[Age]]&lt;35,"25-34",
HR_Data[[#This Row],[Age]]&lt;45,"35-44",
HR_Data[[#This Row],[Age]]&lt;55,"45-54",
TRUE,"55+"
)</f>
        <v>35-44</v>
      </c>
      <c r="AK391" t="str" cm="1">
        <f t="array" ref="AK391">_xlfn.IFS(
HR_Data[[#This Row],[MonthlyIncome]]&lt;3000,"&lt;3K",
HR_Data[[#This Row],[MonthlyIncome]]&lt;6000,"3K-6K",
HR_Data[[#This Row],[MonthlyIncome]]&lt;10000,"6K-10K",
TRUE,"10K+"
)</f>
        <v>3K-6K</v>
      </c>
      <c r="AL391" t="str" cm="1">
        <f t="array" ref="AL391">_xlfn.IFS(
HR_Data[[#This Row],[YearsAtCompany]]&lt;2,"&lt;2 Years",
HR_Data[[#This Row],[YearsAtCompany]]&lt;5,"2-4 Years",
HR_Data[[#This Row],[YearsAtCompany]]&lt;10,"5-9 Years",
TRUE,"10+ Years"
)</f>
        <v>&lt;2 Years</v>
      </c>
      <c r="AM391" s="1">
        <f>IF(HR_Data[[#This Row],[Attrition]]="Yes",1,0)</f>
        <v>0</v>
      </c>
    </row>
    <row r="392" spans="1:39" x14ac:dyDescent="0.3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 cm="1">
        <f t="array" ref="AJ392">_xlfn.IFS(
HR_Data[[#This Row],[Age]]&lt;25,"Under 25",
HR_Data[[#This Row],[Age]]&lt;35,"25-34",
HR_Data[[#This Row],[Age]]&lt;45,"35-44",
HR_Data[[#This Row],[Age]]&lt;55,"45-54",
TRUE,"55+"
)</f>
        <v>35-44</v>
      </c>
      <c r="AK392" t="str" cm="1">
        <f t="array" ref="AK392">_xlfn.IFS(
HR_Data[[#This Row],[MonthlyIncome]]&lt;3000,"&lt;3K",
HR_Data[[#This Row],[MonthlyIncome]]&lt;6000,"3K-6K",
HR_Data[[#This Row],[MonthlyIncome]]&lt;10000,"6K-10K",
TRUE,"10K+"
)</f>
        <v>10K+</v>
      </c>
      <c r="AL392" t="str" cm="1">
        <f t="array" ref="AL392">_xlfn.IFS(
HR_Data[[#This Row],[YearsAtCompany]]&lt;2,"&lt;2 Years",
HR_Data[[#This Row],[YearsAtCompany]]&lt;5,"2-4 Years",
HR_Data[[#This Row],[YearsAtCompany]]&lt;10,"5-9 Years",
TRUE,"10+ Years"
)</f>
        <v>10+ Years</v>
      </c>
      <c r="AM392" s="1">
        <f>IF(HR_Data[[#This Row],[Attrition]]="Yes",1,0)</f>
        <v>0</v>
      </c>
    </row>
    <row r="393" spans="1:39" x14ac:dyDescent="0.3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 cm="1">
        <f t="array" ref="AJ393">_xlfn.IFS(
HR_Data[[#This Row],[Age]]&lt;25,"Under 25",
HR_Data[[#This Row],[Age]]&lt;35,"25-34",
HR_Data[[#This Row],[Age]]&lt;45,"35-44",
HR_Data[[#This Row],[Age]]&lt;55,"45-54",
TRUE,"55+"
)</f>
        <v>35-44</v>
      </c>
      <c r="AK393" t="str" cm="1">
        <f t="array" ref="AK393">_xlfn.IFS(
HR_Data[[#This Row],[MonthlyIncome]]&lt;3000,"&lt;3K",
HR_Data[[#This Row],[MonthlyIncome]]&lt;6000,"3K-6K",
HR_Data[[#This Row],[MonthlyIncome]]&lt;10000,"6K-10K",
TRUE,"10K+"
)</f>
        <v>3K-6K</v>
      </c>
      <c r="AL393" t="str" cm="1">
        <f t="array" ref="AL393">_xlfn.IFS(
HR_Data[[#This Row],[YearsAtCompany]]&lt;2,"&lt;2 Years",
HR_Data[[#This Row],[YearsAtCompany]]&lt;5,"2-4 Years",
HR_Data[[#This Row],[YearsAtCompany]]&lt;10,"5-9 Years",
TRUE,"10+ Years"
)</f>
        <v>&lt;2 Years</v>
      </c>
      <c r="AM393" s="1">
        <f>IF(HR_Data[[#This Row],[Attrition]]="Yes",1,0)</f>
        <v>0</v>
      </c>
    </row>
    <row r="394" spans="1:39" x14ac:dyDescent="0.3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 cm="1">
        <f t="array" ref="AJ394">_xlfn.IFS(
HR_Data[[#This Row],[Age]]&lt;25,"Under 25",
HR_Data[[#This Row],[Age]]&lt;35,"25-34",
HR_Data[[#This Row],[Age]]&lt;45,"35-44",
HR_Data[[#This Row],[Age]]&lt;55,"45-54",
TRUE,"55+"
)</f>
        <v>45-54</v>
      </c>
      <c r="AK394" t="str" cm="1">
        <f t="array" ref="AK394">_xlfn.IFS(
HR_Data[[#This Row],[MonthlyIncome]]&lt;3000,"&lt;3K",
HR_Data[[#This Row],[MonthlyIncome]]&lt;6000,"3K-6K",
HR_Data[[#This Row],[MonthlyIncome]]&lt;10000,"6K-10K",
TRUE,"10K+"
)</f>
        <v>10K+</v>
      </c>
      <c r="AL394" t="str" cm="1">
        <f t="array" ref="AL394">_xlfn.IFS(
HR_Data[[#This Row],[YearsAtCompany]]&lt;2,"&lt;2 Years",
HR_Data[[#This Row],[YearsAtCompany]]&lt;5,"2-4 Years",
HR_Data[[#This Row],[YearsAtCompany]]&lt;10,"5-9 Years",
TRUE,"10+ Years"
)</f>
        <v>2-4 Years</v>
      </c>
      <c r="AM394" s="1">
        <f>IF(HR_Data[[#This Row],[Attrition]]="Yes",1,0)</f>
        <v>0</v>
      </c>
    </row>
    <row r="395" spans="1:39" x14ac:dyDescent="0.3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 cm="1">
        <f t="array" ref="AJ395">_xlfn.IFS(
HR_Data[[#This Row],[Age]]&lt;25,"Under 25",
HR_Data[[#This Row],[Age]]&lt;35,"25-34",
HR_Data[[#This Row],[Age]]&lt;45,"35-44",
HR_Data[[#This Row],[Age]]&lt;55,"45-54",
TRUE,"55+"
)</f>
        <v>25-34</v>
      </c>
      <c r="AK395" t="str" cm="1">
        <f t="array" ref="AK395">_xlfn.IFS(
HR_Data[[#This Row],[MonthlyIncome]]&lt;3000,"&lt;3K",
HR_Data[[#This Row],[MonthlyIncome]]&lt;6000,"3K-6K",
HR_Data[[#This Row],[MonthlyIncome]]&lt;10000,"6K-10K",
TRUE,"10K+"
)</f>
        <v>6K-10K</v>
      </c>
      <c r="AL395" t="str" cm="1">
        <f t="array" ref="AL395">_xlfn.IFS(
HR_Data[[#This Row],[YearsAtCompany]]&lt;2,"&lt;2 Years",
HR_Data[[#This Row],[YearsAtCompany]]&lt;5,"2-4 Years",
HR_Data[[#This Row],[YearsAtCompany]]&lt;10,"5-9 Years",
TRUE,"10+ Years"
)</f>
        <v>2-4 Years</v>
      </c>
      <c r="AM395" s="1">
        <f>IF(HR_Data[[#This Row],[Attrition]]="Yes",1,0)</f>
        <v>0</v>
      </c>
    </row>
    <row r="396" spans="1:39" x14ac:dyDescent="0.3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 cm="1">
        <f t="array" ref="AJ396">_xlfn.IFS(
HR_Data[[#This Row],[Age]]&lt;25,"Under 25",
HR_Data[[#This Row],[Age]]&lt;35,"25-34",
HR_Data[[#This Row],[Age]]&lt;45,"35-44",
HR_Data[[#This Row],[Age]]&lt;55,"45-54",
TRUE,"55+"
)</f>
        <v>25-34</v>
      </c>
      <c r="AK396" t="str" cm="1">
        <f t="array" ref="AK396">_xlfn.IFS(
HR_Data[[#This Row],[MonthlyIncome]]&lt;3000,"&lt;3K",
HR_Data[[#This Row],[MonthlyIncome]]&lt;6000,"3K-6K",
HR_Data[[#This Row],[MonthlyIncome]]&lt;10000,"6K-10K",
TRUE,"10K+"
)</f>
        <v>3K-6K</v>
      </c>
      <c r="AL396" t="str" cm="1">
        <f t="array" ref="AL396">_xlfn.IFS(
HR_Data[[#This Row],[YearsAtCompany]]&lt;2,"&lt;2 Years",
HR_Data[[#This Row],[YearsAtCompany]]&lt;5,"2-4 Years",
HR_Data[[#This Row],[YearsAtCompany]]&lt;10,"5-9 Years",
TRUE,"10+ Years"
)</f>
        <v>10+ Years</v>
      </c>
      <c r="AM396" s="1">
        <f>IF(HR_Data[[#This Row],[Attrition]]="Yes",1,0)</f>
        <v>0</v>
      </c>
    </row>
    <row r="397" spans="1:39" x14ac:dyDescent="0.3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 cm="1">
        <f t="array" ref="AJ397">_xlfn.IFS(
HR_Data[[#This Row],[Age]]&lt;25,"Under 25",
HR_Data[[#This Row],[Age]]&lt;35,"25-34",
HR_Data[[#This Row],[Age]]&lt;45,"35-44",
HR_Data[[#This Row],[Age]]&lt;55,"45-54",
TRUE,"55+"
)</f>
        <v>35-44</v>
      </c>
      <c r="AK397" t="str" cm="1">
        <f t="array" ref="AK397">_xlfn.IFS(
HR_Data[[#This Row],[MonthlyIncome]]&lt;3000,"&lt;3K",
HR_Data[[#This Row],[MonthlyIncome]]&lt;6000,"3K-6K",
HR_Data[[#This Row],[MonthlyIncome]]&lt;10000,"6K-10K",
TRUE,"10K+"
)</f>
        <v>&lt;3K</v>
      </c>
      <c r="AL397" t="str" cm="1">
        <f t="array" ref="AL397">_xlfn.IFS(
HR_Data[[#This Row],[YearsAtCompany]]&lt;2,"&lt;2 Years",
HR_Data[[#This Row],[YearsAtCompany]]&lt;5,"2-4 Years",
HR_Data[[#This Row],[YearsAtCompany]]&lt;10,"5-9 Years",
TRUE,"10+ Years"
)</f>
        <v>2-4 Years</v>
      </c>
      <c r="AM397" s="1">
        <f>IF(HR_Data[[#This Row],[Attrition]]="Yes",1,0)</f>
        <v>0</v>
      </c>
    </row>
    <row r="398" spans="1:39" x14ac:dyDescent="0.3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 cm="1">
        <f t="array" ref="AJ398">_xlfn.IFS(
HR_Data[[#This Row],[Age]]&lt;25,"Under 25",
HR_Data[[#This Row],[Age]]&lt;35,"25-34",
HR_Data[[#This Row],[Age]]&lt;45,"35-44",
HR_Data[[#This Row],[Age]]&lt;55,"45-54",
TRUE,"55+"
)</f>
        <v>35-44</v>
      </c>
      <c r="AK398" t="str" cm="1">
        <f t="array" ref="AK398">_xlfn.IFS(
HR_Data[[#This Row],[MonthlyIncome]]&lt;3000,"&lt;3K",
HR_Data[[#This Row],[MonthlyIncome]]&lt;6000,"3K-6K",
HR_Data[[#This Row],[MonthlyIncome]]&lt;10000,"6K-10K",
TRUE,"10K+"
)</f>
        <v>3K-6K</v>
      </c>
      <c r="AL398" t="str" cm="1">
        <f t="array" ref="AL398">_xlfn.IFS(
HR_Data[[#This Row],[YearsAtCompany]]&lt;2,"&lt;2 Years",
HR_Data[[#This Row],[YearsAtCompany]]&lt;5,"2-4 Years",
HR_Data[[#This Row],[YearsAtCompany]]&lt;10,"5-9 Years",
TRUE,"10+ Years"
)</f>
        <v>5-9 Years</v>
      </c>
      <c r="AM398" s="1">
        <f>IF(HR_Data[[#This Row],[Attrition]]="Yes",1,0)</f>
        <v>0</v>
      </c>
    </row>
    <row r="399" spans="1:39" x14ac:dyDescent="0.3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 cm="1">
        <f t="array" ref="AJ399">_xlfn.IFS(
HR_Data[[#This Row],[Age]]&lt;25,"Under 25",
HR_Data[[#This Row],[Age]]&lt;35,"25-34",
HR_Data[[#This Row],[Age]]&lt;45,"35-44",
HR_Data[[#This Row],[Age]]&lt;55,"45-54",
TRUE,"55+"
)</f>
        <v>25-34</v>
      </c>
      <c r="AK399" t="str" cm="1">
        <f t="array" ref="AK399">_xlfn.IFS(
HR_Data[[#This Row],[MonthlyIncome]]&lt;3000,"&lt;3K",
HR_Data[[#This Row],[MonthlyIncome]]&lt;6000,"3K-6K",
HR_Data[[#This Row],[MonthlyIncome]]&lt;10000,"6K-10K",
TRUE,"10K+"
)</f>
        <v>3K-6K</v>
      </c>
      <c r="AL399" t="str" cm="1">
        <f t="array" ref="AL399">_xlfn.IFS(
HR_Data[[#This Row],[YearsAtCompany]]&lt;2,"&lt;2 Years",
HR_Data[[#This Row],[YearsAtCompany]]&lt;5,"2-4 Years",
HR_Data[[#This Row],[YearsAtCompany]]&lt;10,"5-9 Years",
TRUE,"10+ Years"
)</f>
        <v>5-9 Years</v>
      </c>
      <c r="AM399" s="1">
        <f>IF(HR_Data[[#This Row],[Attrition]]="Yes",1,0)</f>
        <v>0</v>
      </c>
    </row>
    <row r="400" spans="1:39" x14ac:dyDescent="0.3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 cm="1">
        <f t="array" ref="AJ400">_xlfn.IFS(
HR_Data[[#This Row],[Age]]&lt;25,"Under 25",
HR_Data[[#This Row],[Age]]&lt;35,"25-34",
HR_Data[[#This Row],[Age]]&lt;45,"35-44",
HR_Data[[#This Row],[Age]]&lt;55,"45-54",
TRUE,"55+"
)</f>
        <v>35-44</v>
      </c>
      <c r="AK400" t="str" cm="1">
        <f t="array" ref="AK400">_xlfn.IFS(
HR_Data[[#This Row],[MonthlyIncome]]&lt;3000,"&lt;3K",
HR_Data[[#This Row],[MonthlyIncome]]&lt;6000,"3K-6K",
HR_Data[[#This Row],[MonthlyIncome]]&lt;10000,"6K-10K",
TRUE,"10K+"
)</f>
        <v>3K-6K</v>
      </c>
      <c r="AL400" t="str" cm="1">
        <f t="array" ref="AL400">_xlfn.IFS(
HR_Data[[#This Row],[YearsAtCompany]]&lt;2,"&lt;2 Years",
HR_Data[[#This Row],[YearsAtCompany]]&lt;5,"2-4 Years",
HR_Data[[#This Row],[YearsAtCompany]]&lt;10,"5-9 Years",
TRUE,"10+ Years"
)</f>
        <v>10+ Years</v>
      </c>
      <c r="AM400" s="1">
        <f>IF(HR_Data[[#This Row],[Attrition]]="Yes",1,0)</f>
        <v>0</v>
      </c>
    </row>
    <row r="401" spans="1:39" x14ac:dyDescent="0.3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 cm="1">
        <f t="array" ref="AJ401">_xlfn.IFS(
HR_Data[[#This Row],[Age]]&lt;25,"Under 25",
HR_Data[[#This Row],[Age]]&lt;35,"25-34",
HR_Data[[#This Row],[Age]]&lt;45,"35-44",
HR_Data[[#This Row],[Age]]&lt;55,"45-54",
TRUE,"55+"
)</f>
        <v>25-34</v>
      </c>
      <c r="AK401" t="str" cm="1">
        <f t="array" ref="AK401">_xlfn.IFS(
HR_Data[[#This Row],[MonthlyIncome]]&lt;3000,"&lt;3K",
HR_Data[[#This Row],[MonthlyIncome]]&lt;6000,"3K-6K",
HR_Data[[#This Row],[MonthlyIncome]]&lt;10000,"6K-10K",
TRUE,"10K+"
)</f>
        <v>&lt;3K</v>
      </c>
      <c r="AL401" t="str" cm="1">
        <f t="array" ref="AL401">_xlfn.IFS(
HR_Data[[#This Row],[YearsAtCompany]]&lt;2,"&lt;2 Years",
HR_Data[[#This Row],[YearsAtCompany]]&lt;5,"2-4 Years",
HR_Data[[#This Row],[YearsAtCompany]]&lt;10,"5-9 Years",
TRUE,"10+ Years"
)</f>
        <v>2-4 Years</v>
      </c>
      <c r="AM401" s="1">
        <f>IF(HR_Data[[#This Row],[Attrition]]="Yes",1,0)</f>
        <v>0</v>
      </c>
    </row>
    <row r="402" spans="1:39" x14ac:dyDescent="0.3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 cm="1">
        <f t="array" ref="AJ402">_xlfn.IFS(
HR_Data[[#This Row],[Age]]&lt;25,"Under 25",
HR_Data[[#This Row],[Age]]&lt;35,"25-34",
HR_Data[[#This Row],[Age]]&lt;45,"35-44",
HR_Data[[#This Row],[Age]]&lt;55,"45-54",
TRUE,"55+"
)</f>
        <v>35-44</v>
      </c>
      <c r="AK402" t="str" cm="1">
        <f t="array" ref="AK402">_xlfn.IFS(
HR_Data[[#This Row],[MonthlyIncome]]&lt;3000,"&lt;3K",
HR_Data[[#This Row],[MonthlyIncome]]&lt;6000,"3K-6K",
HR_Data[[#This Row],[MonthlyIncome]]&lt;10000,"6K-10K",
TRUE,"10K+"
)</f>
        <v>10K+</v>
      </c>
      <c r="AL402" t="str" cm="1">
        <f t="array" ref="AL402">_xlfn.IFS(
HR_Data[[#This Row],[YearsAtCompany]]&lt;2,"&lt;2 Years",
HR_Data[[#This Row],[YearsAtCompany]]&lt;5,"2-4 Years",
HR_Data[[#This Row],[YearsAtCompany]]&lt;10,"5-9 Years",
TRUE,"10+ Years"
)</f>
        <v>10+ Years</v>
      </c>
      <c r="AM402" s="1">
        <f>IF(HR_Data[[#This Row],[Attrition]]="Yes",1,0)</f>
        <v>0</v>
      </c>
    </row>
    <row r="403" spans="1:39" x14ac:dyDescent="0.3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 cm="1">
        <f t="array" ref="AJ403">_xlfn.IFS(
HR_Data[[#This Row],[Age]]&lt;25,"Under 25",
HR_Data[[#This Row],[Age]]&lt;35,"25-34",
HR_Data[[#This Row],[Age]]&lt;45,"35-44",
HR_Data[[#This Row],[Age]]&lt;55,"45-54",
TRUE,"55+"
)</f>
        <v>55+</v>
      </c>
      <c r="AK403" t="str" cm="1">
        <f t="array" ref="AK403">_xlfn.IFS(
HR_Data[[#This Row],[MonthlyIncome]]&lt;3000,"&lt;3K",
HR_Data[[#This Row],[MonthlyIncome]]&lt;6000,"3K-6K",
HR_Data[[#This Row],[MonthlyIncome]]&lt;10000,"6K-10K",
TRUE,"10K+"
)</f>
        <v>10K+</v>
      </c>
      <c r="AL403" t="str" cm="1">
        <f t="array" ref="AL403">_xlfn.IFS(
HR_Data[[#This Row],[YearsAtCompany]]&lt;2,"&lt;2 Years",
HR_Data[[#This Row],[YearsAtCompany]]&lt;5,"2-4 Years",
HR_Data[[#This Row],[YearsAtCompany]]&lt;10,"5-9 Years",
TRUE,"10+ Years"
)</f>
        <v>5-9 Years</v>
      </c>
      <c r="AM403" s="1">
        <f>IF(HR_Data[[#This Row],[Attrition]]="Yes",1,0)</f>
        <v>0</v>
      </c>
    </row>
    <row r="404" spans="1:39" x14ac:dyDescent="0.3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 cm="1">
        <f t="array" ref="AJ404">_xlfn.IFS(
HR_Data[[#This Row],[Age]]&lt;25,"Under 25",
HR_Data[[#This Row],[Age]]&lt;35,"25-34",
HR_Data[[#This Row],[Age]]&lt;45,"35-44",
HR_Data[[#This Row],[Age]]&lt;55,"45-54",
TRUE,"55+"
)</f>
        <v>25-34</v>
      </c>
      <c r="AK404" t="str" cm="1">
        <f t="array" ref="AK404">_xlfn.IFS(
HR_Data[[#This Row],[MonthlyIncome]]&lt;3000,"&lt;3K",
HR_Data[[#This Row],[MonthlyIncome]]&lt;6000,"3K-6K",
HR_Data[[#This Row],[MonthlyIncome]]&lt;10000,"6K-10K",
TRUE,"10K+"
)</f>
        <v>6K-10K</v>
      </c>
      <c r="AL404" t="str" cm="1">
        <f t="array" ref="AL404">_xlfn.IFS(
HR_Data[[#This Row],[YearsAtCompany]]&lt;2,"&lt;2 Years",
HR_Data[[#This Row],[YearsAtCompany]]&lt;5,"2-4 Years",
HR_Data[[#This Row],[YearsAtCompany]]&lt;10,"5-9 Years",
TRUE,"10+ Years"
)</f>
        <v>5-9 Years</v>
      </c>
      <c r="AM404" s="1">
        <f>IF(HR_Data[[#This Row],[Attrition]]="Yes",1,0)</f>
        <v>0</v>
      </c>
    </row>
    <row r="405" spans="1:39" x14ac:dyDescent="0.3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 cm="1">
        <f t="array" ref="AJ405">_xlfn.IFS(
HR_Data[[#This Row],[Age]]&lt;25,"Under 25",
HR_Data[[#This Row],[Age]]&lt;35,"25-34",
HR_Data[[#This Row],[Age]]&lt;45,"35-44",
HR_Data[[#This Row],[Age]]&lt;55,"45-54",
TRUE,"55+"
)</f>
        <v>35-44</v>
      </c>
      <c r="AK405" t="str" cm="1">
        <f t="array" ref="AK405">_xlfn.IFS(
HR_Data[[#This Row],[MonthlyIncome]]&lt;3000,"&lt;3K",
HR_Data[[#This Row],[MonthlyIncome]]&lt;6000,"3K-6K",
HR_Data[[#This Row],[MonthlyIncome]]&lt;10000,"6K-10K",
TRUE,"10K+"
)</f>
        <v>6K-10K</v>
      </c>
      <c r="AL405" t="str" cm="1">
        <f t="array" ref="AL405">_xlfn.IFS(
HR_Data[[#This Row],[YearsAtCompany]]&lt;2,"&lt;2 Years",
HR_Data[[#This Row],[YearsAtCompany]]&lt;5,"2-4 Years",
HR_Data[[#This Row],[YearsAtCompany]]&lt;10,"5-9 Years",
TRUE,"10+ Years"
)</f>
        <v>10+ Years</v>
      </c>
      <c r="AM405" s="1">
        <f>IF(HR_Data[[#This Row],[Attrition]]="Yes",1,0)</f>
        <v>0</v>
      </c>
    </row>
    <row r="406" spans="1:39" x14ac:dyDescent="0.3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 cm="1">
        <f t="array" ref="AJ406">_xlfn.IFS(
HR_Data[[#This Row],[Age]]&lt;25,"Under 25",
HR_Data[[#This Row],[Age]]&lt;35,"25-34",
HR_Data[[#This Row],[Age]]&lt;45,"35-44",
HR_Data[[#This Row],[Age]]&lt;55,"45-54",
TRUE,"55+"
)</f>
        <v>25-34</v>
      </c>
      <c r="AK406" t="str" cm="1">
        <f t="array" ref="AK406">_xlfn.IFS(
HR_Data[[#This Row],[MonthlyIncome]]&lt;3000,"&lt;3K",
HR_Data[[#This Row],[MonthlyIncome]]&lt;6000,"3K-6K",
HR_Data[[#This Row],[MonthlyIncome]]&lt;10000,"6K-10K",
TRUE,"10K+"
)</f>
        <v>3K-6K</v>
      </c>
      <c r="AL406" t="str" cm="1">
        <f t="array" ref="AL406">_xlfn.IFS(
HR_Data[[#This Row],[YearsAtCompany]]&lt;2,"&lt;2 Years",
HR_Data[[#This Row],[YearsAtCompany]]&lt;5,"2-4 Years",
HR_Data[[#This Row],[YearsAtCompany]]&lt;10,"5-9 Years",
TRUE,"10+ Years"
)</f>
        <v>10+ Years</v>
      </c>
      <c r="AM406" s="1">
        <f>IF(HR_Data[[#This Row],[Attrition]]="Yes",1,0)</f>
        <v>0</v>
      </c>
    </row>
    <row r="407" spans="1:39" x14ac:dyDescent="0.3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 cm="1">
        <f t="array" ref="AJ407">_xlfn.IFS(
HR_Data[[#This Row],[Age]]&lt;25,"Under 25",
HR_Data[[#This Row],[Age]]&lt;35,"25-34",
HR_Data[[#This Row],[Age]]&lt;45,"35-44",
HR_Data[[#This Row],[Age]]&lt;55,"45-54",
TRUE,"55+"
)</f>
        <v>25-34</v>
      </c>
      <c r="AK407" t="str" cm="1">
        <f t="array" ref="AK407">_xlfn.IFS(
HR_Data[[#This Row],[MonthlyIncome]]&lt;3000,"&lt;3K",
HR_Data[[#This Row],[MonthlyIncome]]&lt;6000,"3K-6K",
HR_Data[[#This Row],[MonthlyIncome]]&lt;10000,"6K-10K",
TRUE,"10K+"
)</f>
        <v>3K-6K</v>
      </c>
      <c r="AL407" t="str" cm="1">
        <f t="array" ref="AL407">_xlfn.IFS(
HR_Data[[#This Row],[YearsAtCompany]]&lt;2,"&lt;2 Years",
HR_Data[[#This Row],[YearsAtCompany]]&lt;5,"2-4 Years",
HR_Data[[#This Row],[YearsAtCompany]]&lt;10,"5-9 Years",
TRUE,"10+ Years"
)</f>
        <v>2-4 Years</v>
      </c>
      <c r="AM407" s="1">
        <f>IF(HR_Data[[#This Row],[Attrition]]="Yes",1,0)</f>
        <v>1</v>
      </c>
    </row>
    <row r="408" spans="1:39" x14ac:dyDescent="0.3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 cm="1">
        <f t="array" ref="AJ408">_xlfn.IFS(
HR_Data[[#This Row],[Age]]&lt;25,"Under 25",
HR_Data[[#This Row],[Age]]&lt;35,"25-34",
HR_Data[[#This Row],[Age]]&lt;45,"35-44",
HR_Data[[#This Row],[Age]]&lt;55,"45-54",
TRUE,"55+"
)</f>
        <v>45-54</v>
      </c>
      <c r="AK408" t="str" cm="1">
        <f t="array" ref="AK408">_xlfn.IFS(
HR_Data[[#This Row],[MonthlyIncome]]&lt;3000,"&lt;3K",
HR_Data[[#This Row],[MonthlyIncome]]&lt;6000,"3K-6K",
HR_Data[[#This Row],[MonthlyIncome]]&lt;10000,"6K-10K",
TRUE,"10K+"
)</f>
        <v>6K-10K</v>
      </c>
      <c r="AL408" t="str" cm="1">
        <f t="array" ref="AL408">_xlfn.IFS(
HR_Data[[#This Row],[YearsAtCompany]]&lt;2,"&lt;2 Years",
HR_Data[[#This Row],[YearsAtCompany]]&lt;5,"2-4 Years",
HR_Data[[#This Row],[YearsAtCompany]]&lt;10,"5-9 Years",
TRUE,"10+ Years"
)</f>
        <v>5-9 Years</v>
      </c>
      <c r="AM408" s="1">
        <f>IF(HR_Data[[#This Row],[Attrition]]="Yes",1,0)</f>
        <v>0</v>
      </c>
    </row>
    <row r="409" spans="1:39" x14ac:dyDescent="0.3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 cm="1">
        <f t="array" ref="AJ409">_xlfn.IFS(
HR_Data[[#This Row],[Age]]&lt;25,"Under 25",
HR_Data[[#This Row],[Age]]&lt;35,"25-34",
HR_Data[[#This Row],[Age]]&lt;45,"35-44",
HR_Data[[#This Row],[Age]]&lt;55,"45-54",
TRUE,"55+"
)</f>
        <v>45-54</v>
      </c>
      <c r="AK409" t="str" cm="1">
        <f t="array" ref="AK409">_xlfn.IFS(
HR_Data[[#This Row],[MonthlyIncome]]&lt;3000,"&lt;3K",
HR_Data[[#This Row],[MonthlyIncome]]&lt;6000,"3K-6K",
HR_Data[[#This Row],[MonthlyIncome]]&lt;10000,"6K-10K",
TRUE,"10K+"
)</f>
        <v>&lt;3K</v>
      </c>
      <c r="AL409" t="str" cm="1">
        <f t="array" ref="AL409">_xlfn.IFS(
HR_Data[[#This Row],[YearsAtCompany]]&lt;2,"&lt;2 Years",
HR_Data[[#This Row],[YearsAtCompany]]&lt;5,"2-4 Years",
HR_Data[[#This Row],[YearsAtCompany]]&lt;10,"5-9 Years",
TRUE,"10+ Years"
)</f>
        <v>2-4 Years</v>
      </c>
      <c r="AM409" s="1">
        <f>IF(HR_Data[[#This Row],[Attrition]]="Yes",1,0)</f>
        <v>0</v>
      </c>
    </row>
    <row r="410" spans="1:39" x14ac:dyDescent="0.3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 cm="1">
        <f t="array" ref="AJ410">_xlfn.IFS(
HR_Data[[#This Row],[Age]]&lt;25,"Under 25",
HR_Data[[#This Row],[Age]]&lt;35,"25-34",
HR_Data[[#This Row],[Age]]&lt;45,"35-44",
HR_Data[[#This Row],[Age]]&lt;55,"45-54",
TRUE,"55+"
)</f>
        <v>45-54</v>
      </c>
      <c r="AK410" t="str" cm="1">
        <f t="array" ref="AK410">_xlfn.IFS(
HR_Data[[#This Row],[MonthlyIncome]]&lt;3000,"&lt;3K",
HR_Data[[#This Row],[MonthlyIncome]]&lt;6000,"3K-6K",
HR_Data[[#This Row],[MonthlyIncome]]&lt;10000,"6K-10K",
TRUE,"10K+"
)</f>
        <v>10K+</v>
      </c>
      <c r="AL410" t="str" cm="1">
        <f t="array" ref="AL410">_xlfn.IFS(
HR_Data[[#This Row],[YearsAtCompany]]&lt;2,"&lt;2 Years",
HR_Data[[#This Row],[YearsAtCompany]]&lt;5,"2-4 Years",
HR_Data[[#This Row],[YearsAtCompany]]&lt;10,"5-9 Years",
TRUE,"10+ Years"
)</f>
        <v>5-9 Years</v>
      </c>
      <c r="AM410" s="1">
        <f>IF(HR_Data[[#This Row],[Attrition]]="Yes",1,0)</f>
        <v>0</v>
      </c>
    </row>
    <row r="411" spans="1:39" x14ac:dyDescent="0.3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 cm="1">
        <f t="array" ref="AJ411">_xlfn.IFS(
HR_Data[[#This Row],[Age]]&lt;25,"Under 25",
HR_Data[[#This Row],[Age]]&lt;35,"25-34",
HR_Data[[#This Row],[Age]]&lt;45,"35-44",
HR_Data[[#This Row],[Age]]&lt;55,"45-54",
TRUE,"55+"
)</f>
        <v>35-44</v>
      </c>
      <c r="AK411" t="str" cm="1">
        <f t="array" ref="AK411">_xlfn.IFS(
HR_Data[[#This Row],[MonthlyIncome]]&lt;3000,"&lt;3K",
HR_Data[[#This Row],[MonthlyIncome]]&lt;6000,"3K-6K",
HR_Data[[#This Row],[MonthlyIncome]]&lt;10000,"6K-10K",
TRUE,"10K+"
)</f>
        <v>3K-6K</v>
      </c>
      <c r="AL411" t="str" cm="1">
        <f t="array" ref="AL411">_xlfn.IFS(
HR_Data[[#This Row],[YearsAtCompany]]&lt;2,"&lt;2 Years",
HR_Data[[#This Row],[YearsAtCompany]]&lt;5,"2-4 Years",
HR_Data[[#This Row],[YearsAtCompany]]&lt;10,"5-9 Years",
TRUE,"10+ Years"
)</f>
        <v>5-9 Years</v>
      </c>
      <c r="AM411" s="1">
        <f>IF(HR_Data[[#This Row],[Attrition]]="Yes",1,0)</f>
        <v>0</v>
      </c>
    </row>
    <row r="412" spans="1:39" x14ac:dyDescent="0.3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 cm="1">
        <f t="array" ref="AJ412">_xlfn.IFS(
HR_Data[[#This Row],[Age]]&lt;25,"Under 25",
HR_Data[[#This Row],[Age]]&lt;35,"25-34",
HR_Data[[#This Row],[Age]]&lt;45,"35-44",
HR_Data[[#This Row],[Age]]&lt;55,"45-54",
TRUE,"55+"
)</f>
        <v>25-34</v>
      </c>
      <c r="AK412" t="str" cm="1">
        <f t="array" ref="AK412">_xlfn.IFS(
HR_Data[[#This Row],[MonthlyIncome]]&lt;3000,"&lt;3K",
HR_Data[[#This Row],[MonthlyIncome]]&lt;6000,"3K-6K",
HR_Data[[#This Row],[MonthlyIncome]]&lt;10000,"6K-10K",
TRUE,"10K+"
)</f>
        <v>6K-10K</v>
      </c>
      <c r="AL412" t="str" cm="1">
        <f t="array" ref="AL412">_xlfn.IFS(
HR_Data[[#This Row],[YearsAtCompany]]&lt;2,"&lt;2 Years",
HR_Data[[#This Row],[YearsAtCompany]]&lt;5,"2-4 Years",
HR_Data[[#This Row],[YearsAtCompany]]&lt;10,"5-9 Years",
TRUE,"10+ Years"
)</f>
        <v>5-9 Years</v>
      </c>
      <c r="AM412" s="1">
        <f>IF(HR_Data[[#This Row],[Attrition]]="Yes",1,0)</f>
        <v>0</v>
      </c>
    </row>
    <row r="413" spans="1:39" x14ac:dyDescent="0.3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 cm="1">
        <f t="array" ref="AJ413">_xlfn.IFS(
HR_Data[[#This Row],[Age]]&lt;25,"Under 25",
HR_Data[[#This Row],[Age]]&lt;35,"25-34",
HR_Data[[#This Row],[Age]]&lt;45,"35-44",
HR_Data[[#This Row],[Age]]&lt;55,"45-54",
TRUE,"55+"
)</f>
        <v>55+</v>
      </c>
      <c r="AK413" t="str" cm="1">
        <f t="array" ref="AK413">_xlfn.IFS(
HR_Data[[#This Row],[MonthlyIncome]]&lt;3000,"&lt;3K",
HR_Data[[#This Row],[MonthlyIncome]]&lt;6000,"3K-6K",
HR_Data[[#This Row],[MonthlyIncome]]&lt;10000,"6K-10K",
TRUE,"10K+"
)</f>
        <v>10K+</v>
      </c>
      <c r="AL413" t="str" cm="1">
        <f t="array" ref="AL413">_xlfn.IFS(
HR_Data[[#This Row],[YearsAtCompany]]&lt;2,"&lt;2 Years",
HR_Data[[#This Row],[YearsAtCompany]]&lt;5,"2-4 Years",
HR_Data[[#This Row],[YearsAtCompany]]&lt;10,"5-9 Years",
TRUE,"10+ Years"
)</f>
        <v>10+ Years</v>
      </c>
      <c r="AM413" s="1">
        <f>IF(HR_Data[[#This Row],[Attrition]]="Yes",1,0)</f>
        <v>0</v>
      </c>
    </row>
    <row r="414" spans="1:39" x14ac:dyDescent="0.3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 cm="1">
        <f t="array" ref="AJ414">_xlfn.IFS(
HR_Data[[#This Row],[Age]]&lt;25,"Under 25",
HR_Data[[#This Row],[Age]]&lt;35,"25-34",
HR_Data[[#This Row],[Age]]&lt;45,"35-44",
HR_Data[[#This Row],[Age]]&lt;55,"45-54",
TRUE,"55+"
)</f>
        <v>45-54</v>
      </c>
      <c r="AK414" t="str" cm="1">
        <f t="array" ref="AK414">_xlfn.IFS(
HR_Data[[#This Row],[MonthlyIncome]]&lt;3000,"&lt;3K",
HR_Data[[#This Row],[MonthlyIncome]]&lt;6000,"3K-6K",
HR_Data[[#This Row],[MonthlyIncome]]&lt;10000,"6K-10K",
TRUE,"10K+"
)</f>
        <v>3K-6K</v>
      </c>
      <c r="AL414" t="str" cm="1">
        <f t="array" ref="AL414">_xlfn.IFS(
HR_Data[[#This Row],[YearsAtCompany]]&lt;2,"&lt;2 Years",
HR_Data[[#This Row],[YearsAtCompany]]&lt;5,"2-4 Years",
HR_Data[[#This Row],[YearsAtCompany]]&lt;10,"5-9 Years",
TRUE,"10+ Years"
)</f>
        <v>10+ Years</v>
      </c>
      <c r="AM414" s="1">
        <f>IF(HR_Data[[#This Row],[Attrition]]="Yes",1,0)</f>
        <v>0</v>
      </c>
    </row>
    <row r="415" spans="1:39" x14ac:dyDescent="0.3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 cm="1">
        <f t="array" ref="AJ415">_xlfn.IFS(
HR_Data[[#This Row],[Age]]&lt;25,"Under 25",
HR_Data[[#This Row],[Age]]&lt;35,"25-34",
HR_Data[[#This Row],[Age]]&lt;45,"35-44",
HR_Data[[#This Row],[Age]]&lt;55,"45-54",
TRUE,"55+"
)</f>
        <v>35-44</v>
      </c>
      <c r="AK415" t="str" cm="1">
        <f t="array" ref="AK415">_xlfn.IFS(
HR_Data[[#This Row],[MonthlyIncome]]&lt;3000,"&lt;3K",
HR_Data[[#This Row],[MonthlyIncome]]&lt;6000,"3K-6K",
HR_Data[[#This Row],[MonthlyIncome]]&lt;10000,"6K-10K",
TRUE,"10K+"
)</f>
        <v>3K-6K</v>
      </c>
      <c r="AL415" t="str" cm="1">
        <f t="array" ref="AL415">_xlfn.IFS(
HR_Data[[#This Row],[YearsAtCompany]]&lt;2,"&lt;2 Years",
HR_Data[[#This Row],[YearsAtCompany]]&lt;5,"2-4 Years",
HR_Data[[#This Row],[YearsAtCompany]]&lt;10,"5-9 Years",
TRUE,"10+ Years"
)</f>
        <v>5-9 Years</v>
      </c>
      <c r="AM415" s="1">
        <f>IF(HR_Data[[#This Row],[Attrition]]="Yes",1,0)</f>
        <v>0</v>
      </c>
    </row>
    <row r="416" spans="1:39" x14ac:dyDescent="0.3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 cm="1">
        <f t="array" ref="AJ416">_xlfn.IFS(
HR_Data[[#This Row],[Age]]&lt;25,"Under 25",
HR_Data[[#This Row],[Age]]&lt;35,"25-34",
HR_Data[[#This Row],[Age]]&lt;45,"35-44",
HR_Data[[#This Row],[Age]]&lt;55,"45-54",
TRUE,"55+"
)</f>
        <v>Under 25</v>
      </c>
      <c r="AK416" t="str" cm="1">
        <f t="array" ref="AK416">_xlfn.IFS(
HR_Data[[#This Row],[MonthlyIncome]]&lt;3000,"&lt;3K",
HR_Data[[#This Row],[MonthlyIncome]]&lt;6000,"3K-6K",
HR_Data[[#This Row],[MonthlyIncome]]&lt;10000,"6K-10K",
TRUE,"10K+"
)</f>
        <v>3K-6K</v>
      </c>
      <c r="AL416" t="str" cm="1">
        <f t="array" ref="AL416">_xlfn.IFS(
HR_Data[[#This Row],[YearsAtCompany]]&lt;2,"&lt;2 Years",
HR_Data[[#This Row],[YearsAtCompany]]&lt;5,"2-4 Years",
HR_Data[[#This Row],[YearsAtCompany]]&lt;10,"5-9 Years",
TRUE,"10+ Years"
)</f>
        <v>5-9 Years</v>
      </c>
      <c r="AM416" s="1">
        <f>IF(HR_Data[[#This Row],[Attrition]]="Yes",1,0)</f>
        <v>1</v>
      </c>
    </row>
    <row r="417" spans="1:39" x14ac:dyDescent="0.3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 cm="1">
        <f t="array" ref="AJ417">_xlfn.IFS(
HR_Data[[#This Row],[Age]]&lt;25,"Under 25",
HR_Data[[#This Row],[Age]]&lt;35,"25-34",
HR_Data[[#This Row],[Age]]&lt;45,"35-44",
HR_Data[[#This Row],[Age]]&lt;55,"45-54",
TRUE,"55+"
)</f>
        <v>25-34</v>
      </c>
      <c r="AK417" t="str" cm="1">
        <f t="array" ref="AK417">_xlfn.IFS(
HR_Data[[#This Row],[MonthlyIncome]]&lt;3000,"&lt;3K",
HR_Data[[#This Row],[MonthlyIncome]]&lt;6000,"3K-6K",
HR_Data[[#This Row],[MonthlyIncome]]&lt;10000,"6K-10K",
TRUE,"10K+"
)</f>
        <v>&lt;3K</v>
      </c>
      <c r="AL417" t="str" cm="1">
        <f t="array" ref="AL417">_xlfn.IFS(
HR_Data[[#This Row],[YearsAtCompany]]&lt;2,"&lt;2 Years",
HR_Data[[#This Row],[YearsAtCompany]]&lt;5,"2-4 Years",
HR_Data[[#This Row],[YearsAtCompany]]&lt;10,"5-9 Years",
TRUE,"10+ Years"
)</f>
        <v>2-4 Years</v>
      </c>
      <c r="AM417" s="1">
        <f>IF(HR_Data[[#This Row],[Attrition]]="Yes",1,0)</f>
        <v>1</v>
      </c>
    </row>
    <row r="418" spans="1:39" x14ac:dyDescent="0.3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 cm="1">
        <f t="array" ref="AJ418">_xlfn.IFS(
HR_Data[[#This Row],[Age]]&lt;25,"Under 25",
HR_Data[[#This Row],[Age]]&lt;35,"25-34",
HR_Data[[#This Row],[Age]]&lt;45,"35-44",
HR_Data[[#This Row],[Age]]&lt;55,"45-54",
TRUE,"55+"
)</f>
        <v>35-44</v>
      </c>
      <c r="AK418" t="str" cm="1">
        <f t="array" ref="AK418">_xlfn.IFS(
HR_Data[[#This Row],[MonthlyIncome]]&lt;3000,"&lt;3K",
HR_Data[[#This Row],[MonthlyIncome]]&lt;6000,"3K-6K",
HR_Data[[#This Row],[MonthlyIncome]]&lt;10000,"6K-10K",
TRUE,"10K+"
)</f>
        <v>&lt;3K</v>
      </c>
      <c r="AL418" t="str" cm="1">
        <f t="array" ref="AL418">_xlfn.IFS(
HR_Data[[#This Row],[YearsAtCompany]]&lt;2,"&lt;2 Years",
HR_Data[[#This Row],[YearsAtCompany]]&lt;5,"2-4 Years",
HR_Data[[#This Row],[YearsAtCompany]]&lt;10,"5-9 Years",
TRUE,"10+ Years"
)</f>
        <v>&lt;2 Years</v>
      </c>
      <c r="AM418" s="1">
        <f>IF(HR_Data[[#This Row],[Attrition]]="Yes",1,0)</f>
        <v>0</v>
      </c>
    </row>
    <row r="419" spans="1:39" x14ac:dyDescent="0.3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 cm="1">
        <f t="array" ref="AJ419">_xlfn.IFS(
HR_Data[[#This Row],[Age]]&lt;25,"Under 25",
HR_Data[[#This Row],[Age]]&lt;35,"25-34",
HR_Data[[#This Row],[Age]]&lt;45,"35-44",
HR_Data[[#This Row],[Age]]&lt;55,"45-54",
TRUE,"55+"
)</f>
        <v>35-44</v>
      </c>
      <c r="AK419" t="str" cm="1">
        <f t="array" ref="AK419">_xlfn.IFS(
HR_Data[[#This Row],[MonthlyIncome]]&lt;3000,"&lt;3K",
HR_Data[[#This Row],[MonthlyIncome]]&lt;6000,"3K-6K",
HR_Data[[#This Row],[MonthlyIncome]]&lt;10000,"6K-10K",
TRUE,"10K+"
)</f>
        <v>10K+</v>
      </c>
      <c r="AL419" t="str" cm="1">
        <f t="array" ref="AL419">_xlfn.IFS(
HR_Data[[#This Row],[YearsAtCompany]]&lt;2,"&lt;2 Years",
HR_Data[[#This Row],[YearsAtCompany]]&lt;5,"2-4 Years",
HR_Data[[#This Row],[YearsAtCompany]]&lt;10,"5-9 Years",
TRUE,"10+ Years"
)</f>
        <v>10+ Years</v>
      </c>
      <c r="AM419" s="1">
        <f>IF(HR_Data[[#This Row],[Attrition]]="Yes",1,0)</f>
        <v>0</v>
      </c>
    </row>
    <row r="420" spans="1:39" x14ac:dyDescent="0.3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 cm="1">
        <f t="array" ref="AJ420">_xlfn.IFS(
HR_Data[[#This Row],[Age]]&lt;25,"Under 25",
HR_Data[[#This Row],[Age]]&lt;35,"25-34",
HR_Data[[#This Row],[Age]]&lt;45,"35-44",
HR_Data[[#This Row],[Age]]&lt;55,"45-54",
TRUE,"55+"
)</f>
        <v>25-34</v>
      </c>
      <c r="AK420" t="str" cm="1">
        <f t="array" ref="AK420">_xlfn.IFS(
HR_Data[[#This Row],[MonthlyIncome]]&lt;3000,"&lt;3K",
HR_Data[[#This Row],[MonthlyIncome]]&lt;6000,"3K-6K",
HR_Data[[#This Row],[MonthlyIncome]]&lt;10000,"6K-10K",
TRUE,"10K+"
)</f>
        <v>&lt;3K</v>
      </c>
      <c r="AL420" t="str" cm="1">
        <f t="array" ref="AL420">_xlfn.IFS(
HR_Data[[#This Row],[YearsAtCompany]]&lt;2,"&lt;2 Years",
HR_Data[[#This Row],[YearsAtCompany]]&lt;5,"2-4 Years",
HR_Data[[#This Row],[YearsAtCompany]]&lt;10,"5-9 Years",
TRUE,"10+ Years"
)</f>
        <v>2-4 Years</v>
      </c>
      <c r="AM420" s="1">
        <f>IF(HR_Data[[#This Row],[Attrition]]="Yes",1,0)</f>
        <v>0</v>
      </c>
    </row>
    <row r="421" spans="1:39" x14ac:dyDescent="0.3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 cm="1">
        <f t="array" ref="AJ421">_xlfn.IFS(
HR_Data[[#This Row],[Age]]&lt;25,"Under 25",
HR_Data[[#This Row],[Age]]&lt;35,"25-34",
HR_Data[[#This Row],[Age]]&lt;45,"35-44",
HR_Data[[#This Row],[Age]]&lt;55,"45-54",
TRUE,"55+"
)</f>
        <v>25-34</v>
      </c>
      <c r="AK421" t="str" cm="1">
        <f t="array" ref="AK421">_xlfn.IFS(
HR_Data[[#This Row],[MonthlyIncome]]&lt;3000,"&lt;3K",
HR_Data[[#This Row],[MonthlyIncome]]&lt;6000,"3K-6K",
HR_Data[[#This Row],[MonthlyIncome]]&lt;10000,"6K-10K",
TRUE,"10K+"
)</f>
        <v>&lt;3K</v>
      </c>
      <c r="AL421" t="str" cm="1">
        <f t="array" ref="AL421">_xlfn.IFS(
HR_Data[[#This Row],[YearsAtCompany]]&lt;2,"&lt;2 Years",
HR_Data[[#This Row],[YearsAtCompany]]&lt;5,"2-4 Years",
HR_Data[[#This Row],[YearsAtCompany]]&lt;10,"5-9 Years",
TRUE,"10+ Years"
)</f>
        <v>5-9 Years</v>
      </c>
      <c r="AM421" s="1">
        <f>IF(HR_Data[[#This Row],[Attrition]]="Yes",1,0)</f>
        <v>0</v>
      </c>
    </row>
    <row r="422" spans="1:39" x14ac:dyDescent="0.3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 cm="1">
        <f t="array" ref="AJ422">_xlfn.IFS(
HR_Data[[#This Row],[Age]]&lt;25,"Under 25",
HR_Data[[#This Row],[Age]]&lt;35,"25-34",
HR_Data[[#This Row],[Age]]&lt;45,"35-44",
HR_Data[[#This Row],[Age]]&lt;55,"45-54",
TRUE,"55+"
)</f>
        <v>25-34</v>
      </c>
      <c r="AK422" t="str" cm="1">
        <f t="array" ref="AK422">_xlfn.IFS(
HR_Data[[#This Row],[MonthlyIncome]]&lt;3000,"&lt;3K",
HR_Data[[#This Row],[MonthlyIncome]]&lt;6000,"3K-6K",
HR_Data[[#This Row],[MonthlyIncome]]&lt;10000,"6K-10K",
TRUE,"10K+"
)</f>
        <v>10K+</v>
      </c>
      <c r="AL422" t="str" cm="1">
        <f t="array" ref="AL422">_xlfn.IFS(
HR_Data[[#This Row],[YearsAtCompany]]&lt;2,"&lt;2 Years",
HR_Data[[#This Row],[YearsAtCompany]]&lt;5,"2-4 Years",
HR_Data[[#This Row],[YearsAtCompany]]&lt;10,"5-9 Years",
TRUE,"10+ Years"
)</f>
        <v>10+ Years</v>
      </c>
      <c r="AM422" s="1">
        <f>IF(HR_Data[[#This Row],[Attrition]]="Yes",1,0)</f>
        <v>0</v>
      </c>
    </row>
    <row r="423" spans="1:39" x14ac:dyDescent="0.3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 cm="1">
        <f t="array" ref="AJ423">_xlfn.IFS(
HR_Data[[#This Row],[Age]]&lt;25,"Under 25",
HR_Data[[#This Row],[Age]]&lt;35,"25-34",
HR_Data[[#This Row],[Age]]&lt;45,"35-44",
HR_Data[[#This Row],[Age]]&lt;55,"45-54",
TRUE,"55+"
)</f>
        <v>25-34</v>
      </c>
      <c r="AK423" t="str" cm="1">
        <f t="array" ref="AK423">_xlfn.IFS(
HR_Data[[#This Row],[MonthlyIncome]]&lt;3000,"&lt;3K",
HR_Data[[#This Row],[MonthlyIncome]]&lt;6000,"3K-6K",
HR_Data[[#This Row],[MonthlyIncome]]&lt;10000,"6K-10K",
TRUE,"10K+"
)</f>
        <v>&lt;3K</v>
      </c>
      <c r="AL423" t="str" cm="1">
        <f t="array" ref="AL423">_xlfn.IFS(
HR_Data[[#This Row],[YearsAtCompany]]&lt;2,"&lt;2 Years",
HR_Data[[#This Row],[YearsAtCompany]]&lt;5,"2-4 Years",
HR_Data[[#This Row],[YearsAtCompany]]&lt;10,"5-9 Years",
TRUE,"10+ Years"
)</f>
        <v>2-4 Years</v>
      </c>
      <c r="AM423" s="1">
        <f>IF(HR_Data[[#This Row],[Attrition]]="Yes",1,0)</f>
        <v>1</v>
      </c>
    </row>
    <row r="424" spans="1:39" x14ac:dyDescent="0.3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 cm="1">
        <f t="array" ref="AJ424">_xlfn.IFS(
HR_Data[[#This Row],[Age]]&lt;25,"Under 25",
HR_Data[[#This Row],[Age]]&lt;35,"25-34",
HR_Data[[#This Row],[Age]]&lt;45,"35-44",
HR_Data[[#This Row],[Age]]&lt;55,"45-54",
TRUE,"55+"
)</f>
        <v>Under 25</v>
      </c>
      <c r="AK424" t="str" cm="1">
        <f t="array" ref="AK424">_xlfn.IFS(
HR_Data[[#This Row],[MonthlyIncome]]&lt;3000,"&lt;3K",
HR_Data[[#This Row],[MonthlyIncome]]&lt;6000,"3K-6K",
HR_Data[[#This Row],[MonthlyIncome]]&lt;10000,"6K-10K",
TRUE,"10K+"
)</f>
        <v>&lt;3K</v>
      </c>
      <c r="AL424" t="str" cm="1">
        <f t="array" ref="AL424">_xlfn.IFS(
HR_Data[[#This Row],[YearsAtCompany]]&lt;2,"&lt;2 Years",
HR_Data[[#This Row],[YearsAtCompany]]&lt;5,"2-4 Years",
HR_Data[[#This Row],[YearsAtCompany]]&lt;10,"5-9 Years",
TRUE,"10+ Years"
)</f>
        <v>&lt;2 Years</v>
      </c>
      <c r="AM424" s="1">
        <f>IF(HR_Data[[#This Row],[Attrition]]="Yes",1,0)</f>
        <v>1</v>
      </c>
    </row>
    <row r="425" spans="1:39" x14ac:dyDescent="0.3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 cm="1">
        <f t="array" ref="AJ425">_xlfn.IFS(
HR_Data[[#This Row],[Age]]&lt;25,"Under 25",
HR_Data[[#This Row],[Age]]&lt;35,"25-34",
HR_Data[[#This Row],[Age]]&lt;45,"35-44",
HR_Data[[#This Row],[Age]]&lt;55,"45-54",
TRUE,"55+"
)</f>
        <v>25-34</v>
      </c>
      <c r="AK425" t="str" cm="1">
        <f t="array" ref="AK425">_xlfn.IFS(
HR_Data[[#This Row],[MonthlyIncome]]&lt;3000,"&lt;3K",
HR_Data[[#This Row],[MonthlyIncome]]&lt;6000,"3K-6K",
HR_Data[[#This Row],[MonthlyIncome]]&lt;10000,"6K-10K",
TRUE,"10K+"
)</f>
        <v>6K-10K</v>
      </c>
      <c r="AL425" t="str" cm="1">
        <f t="array" ref="AL425">_xlfn.IFS(
HR_Data[[#This Row],[YearsAtCompany]]&lt;2,"&lt;2 Years",
HR_Data[[#This Row],[YearsAtCompany]]&lt;5,"2-4 Years",
HR_Data[[#This Row],[YearsAtCompany]]&lt;10,"5-9 Years",
TRUE,"10+ Years"
)</f>
        <v>5-9 Years</v>
      </c>
      <c r="AM425" s="1">
        <f>IF(HR_Data[[#This Row],[Attrition]]="Yes",1,0)</f>
        <v>0</v>
      </c>
    </row>
    <row r="426" spans="1:39" x14ac:dyDescent="0.3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 cm="1">
        <f t="array" ref="AJ426">_xlfn.IFS(
HR_Data[[#This Row],[Age]]&lt;25,"Under 25",
HR_Data[[#This Row],[Age]]&lt;35,"25-34",
HR_Data[[#This Row],[Age]]&lt;45,"35-44",
HR_Data[[#This Row],[Age]]&lt;55,"45-54",
TRUE,"55+"
)</f>
        <v>55+</v>
      </c>
      <c r="AK426" t="str" cm="1">
        <f t="array" ref="AK426">_xlfn.IFS(
HR_Data[[#This Row],[MonthlyIncome]]&lt;3000,"&lt;3K",
HR_Data[[#This Row],[MonthlyIncome]]&lt;6000,"3K-6K",
HR_Data[[#This Row],[MonthlyIncome]]&lt;10000,"6K-10K",
TRUE,"10K+"
)</f>
        <v>10K+</v>
      </c>
      <c r="AL426" t="str" cm="1">
        <f t="array" ref="AL426">_xlfn.IFS(
HR_Data[[#This Row],[YearsAtCompany]]&lt;2,"&lt;2 Years",
HR_Data[[#This Row],[YearsAtCompany]]&lt;5,"2-4 Years",
HR_Data[[#This Row],[YearsAtCompany]]&lt;10,"5-9 Years",
TRUE,"10+ Years"
)</f>
        <v>&lt;2 Years</v>
      </c>
      <c r="AM426" s="1">
        <f>IF(HR_Data[[#This Row],[Attrition]]="Yes",1,0)</f>
        <v>0</v>
      </c>
    </row>
    <row r="427" spans="1:39" x14ac:dyDescent="0.3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 cm="1">
        <f t="array" ref="AJ427">_xlfn.IFS(
HR_Data[[#This Row],[Age]]&lt;25,"Under 25",
HR_Data[[#This Row],[Age]]&lt;35,"25-34",
HR_Data[[#This Row],[Age]]&lt;45,"35-44",
HR_Data[[#This Row],[Age]]&lt;55,"45-54",
TRUE,"55+"
)</f>
        <v>45-54</v>
      </c>
      <c r="AK427" t="str" cm="1">
        <f t="array" ref="AK427">_xlfn.IFS(
HR_Data[[#This Row],[MonthlyIncome]]&lt;3000,"&lt;3K",
HR_Data[[#This Row],[MonthlyIncome]]&lt;6000,"3K-6K",
HR_Data[[#This Row],[MonthlyIncome]]&lt;10000,"6K-10K",
TRUE,"10K+"
)</f>
        <v>10K+</v>
      </c>
      <c r="AL427" t="str" cm="1">
        <f t="array" ref="AL427">_xlfn.IFS(
HR_Data[[#This Row],[YearsAtCompany]]&lt;2,"&lt;2 Years",
HR_Data[[#This Row],[YearsAtCompany]]&lt;5,"2-4 Years",
HR_Data[[#This Row],[YearsAtCompany]]&lt;10,"5-9 Years",
TRUE,"10+ Years"
)</f>
        <v>10+ Years</v>
      </c>
      <c r="AM427" s="1">
        <f>IF(HR_Data[[#This Row],[Attrition]]="Yes",1,0)</f>
        <v>0</v>
      </c>
    </row>
    <row r="428" spans="1:39" x14ac:dyDescent="0.3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 cm="1">
        <f t="array" ref="AJ428">_xlfn.IFS(
HR_Data[[#This Row],[Age]]&lt;25,"Under 25",
HR_Data[[#This Row],[Age]]&lt;35,"25-34",
HR_Data[[#This Row],[Age]]&lt;45,"35-44",
HR_Data[[#This Row],[Age]]&lt;55,"45-54",
TRUE,"55+"
)</f>
        <v>25-34</v>
      </c>
      <c r="AK428" t="str" cm="1">
        <f t="array" ref="AK428">_xlfn.IFS(
HR_Data[[#This Row],[MonthlyIncome]]&lt;3000,"&lt;3K",
HR_Data[[#This Row],[MonthlyIncome]]&lt;6000,"3K-6K",
HR_Data[[#This Row],[MonthlyIncome]]&lt;10000,"6K-10K",
TRUE,"10K+"
)</f>
        <v>&lt;3K</v>
      </c>
      <c r="AL428" t="str" cm="1">
        <f t="array" ref="AL428">_xlfn.IFS(
HR_Data[[#This Row],[YearsAtCompany]]&lt;2,"&lt;2 Years",
HR_Data[[#This Row],[YearsAtCompany]]&lt;5,"2-4 Years",
HR_Data[[#This Row],[YearsAtCompany]]&lt;10,"5-9 Years",
TRUE,"10+ Years"
)</f>
        <v>10+ Years</v>
      </c>
      <c r="AM428" s="1">
        <f>IF(HR_Data[[#This Row],[Attrition]]="Yes",1,0)</f>
        <v>0</v>
      </c>
    </row>
    <row r="429" spans="1:39" x14ac:dyDescent="0.3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 cm="1">
        <f t="array" ref="AJ429">_xlfn.IFS(
HR_Data[[#This Row],[Age]]&lt;25,"Under 25",
HR_Data[[#This Row],[Age]]&lt;35,"25-34",
HR_Data[[#This Row],[Age]]&lt;45,"35-44",
HR_Data[[#This Row],[Age]]&lt;55,"45-54",
TRUE,"55+"
)</f>
        <v>55+</v>
      </c>
      <c r="AK429" t="str" cm="1">
        <f t="array" ref="AK429">_xlfn.IFS(
HR_Data[[#This Row],[MonthlyIncome]]&lt;3000,"&lt;3K",
HR_Data[[#This Row],[MonthlyIncome]]&lt;6000,"3K-6K",
HR_Data[[#This Row],[MonthlyIncome]]&lt;10000,"6K-10K",
TRUE,"10K+"
)</f>
        <v>10K+</v>
      </c>
      <c r="AL429" t="str" cm="1">
        <f t="array" ref="AL429">_xlfn.IFS(
HR_Data[[#This Row],[YearsAtCompany]]&lt;2,"&lt;2 Years",
HR_Data[[#This Row],[YearsAtCompany]]&lt;5,"2-4 Years",
HR_Data[[#This Row],[YearsAtCompany]]&lt;10,"5-9 Years",
TRUE,"10+ Years"
)</f>
        <v>10+ Years</v>
      </c>
      <c r="AM429" s="1">
        <f>IF(HR_Data[[#This Row],[Attrition]]="Yes",1,0)</f>
        <v>0</v>
      </c>
    </row>
    <row r="430" spans="1:39" x14ac:dyDescent="0.3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 cm="1">
        <f t="array" ref="AJ430">_xlfn.IFS(
HR_Data[[#This Row],[Age]]&lt;25,"Under 25",
HR_Data[[#This Row],[Age]]&lt;35,"25-34",
HR_Data[[#This Row],[Age]]&lt;45,"35-44",
HR_Data[[#This Row],[Age]]&lt;55,"45-54",
TRUE,"55+"
)</f>
        <v>45-54</v>
      </c>
      <c r="AK430" t="str" cm="1">
        <f t="array" ref="AK430">_xlfn.IFS(
HR_Data[[#This Row],[MonthlyIncome]]&lt;3000,"&lt;3K",
HR_Data[[#This Row],[MonthlyIncome]]&lt;6000,"3K-6K",
HR_Data[[#This Row],[MonthlyIncome]]&lt;10000,"6K-10K",
TRUE,"10K+"
)</f>
        <v>3K-6K</v>
      </c>
      <c r="AL430" t="str" cm="1">
        <f t="array" ref="AL430">_xlfn.IFS(
HR_Data[[#This Row],[YearsAtCompany]]&lt;2,"&lt;2 Years",
HR_Data[[#This Row],[YearsAtCompany]]&lt;5,"2-4 Years",
HR_Data[[#This Row],[YearsAtCompany]]&lt;10,"5-9 Years",
TRUE,"10+ Years"
)</f>
        <v>5-9 Years</v>
      </c>
      <c r="AM430" s="1">
        <f>IF(HR_Data[[#This Row],[Attrition]]="Yes",1,0)</f>
        <v>0</v>
      </c>
    </row>
    <row r="431" spans="1:39" x14ac:dyDescent="0.3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 cm="1">
        <f t="array" ref="AJ431">_xlfn.IFS(
HR_Data[[#This Row],[Age]]&lt;25,"Under 25",
HR_Data[[#This Row],[Age]]&lt;35,"25-34",
HR_Data[[#This Row],[Age]]&lt;45,"35-44",
HR_Data[[#This Row],[Age]]&lt;55,"45-54",
TRUE,"55+"
)</f>
        <v>45-54</v>
      </c>
      <c r="AK431" t="str" cm="1">
        <f t="array" ref="AK431">_xlfn.IFS(
HR_Data[[#This Row],[MonthlyIncome]]&lt;3000,"&lt;3K",
HR_Data[[#This Row],[MonthlyIncome]]&lt;6000,"3K-6K",
HR_Data[[#This Row],[MonthlyIncome]]&lt;10000,"6K-10K",
TRUE,"10K+"
)</f>
        <v>10K+</v>
      </c>
      <c r="AL431" t="str" cm="1">
        <f t="array" ref="AL431">_xlfn.IFS(
HR_Data[[#This Row],[YearsAtCompany]]&lt;2,"&lt;2 Years",
HR_Data[[#This Row],[YearsAtCompany]]&lt;5,"2-4 Years",
HR_Data[[#This Row],[YearsAtCompany]]&lt;10,"5-9 Years",
TRUE,"10+ Years"
)</f>
        <v>2-4 Years</v>
      </c>
      <c r="AM431" s="1">
        <f>IF(HR_Data[[#This Row],[Attrition]]="Yes",1,0)</f>
        <v>0</v>
      </c>
    </row>
    <row r="432" spans="1:39" x14ac:dyDescent="0.3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 cm="1">
        <f t="array" ref="AJ432">_xlfn.IFS(
HR_Data[[#This Row],[Age]]&lt;25,"Under 25",
HR_Data[[#This Row],[Age]]&lt;35,"25-34",
HR_Data[[#This Row],[Age]]&lt;45,"35-44",
HR_Data[[#This Row],[Age]]&lt;55,"45-54",
TRUE,"55+"
)</f>
        <v>35-44</v>
      </c>
      <c r="AK432" t="str" cm="1">
        <f t="array" ref="AK432">_xlfn.IFS(
HR_Data[[#This Row],[MonthlyIncome]]&lt;3000,"&lt;3K",
HR_Data[[#This Row],[MonthlyIncome]]&lt;6000,"3K-6K",
HR_Data[[#This Row],[MonthlyIncome]]&lt;10000,"6K-10K",
TRUE,"10K+"
)</f>
        <v>3K-6K</v>
      </c>
      <c r="AL432" t="str" cm="1">
        <f t="array" ref="AL432">_xlfn.IFS(
HR_Data[[#This Row],[YearsAtCompany]]&lt;2,"&lt;2 Years",
HR_Data[[#This Row],[YearsAtCompany]]&lt;5,"2-4 Years",
HR_Data[[#This Row],[YearsAtCompany]]&lt;10,"5-9 Years",
TRUE,"10+ Years"
)</f>
        <v>5-9 Years</v>
      </c>
      <c r="AM432" s="1">
        <f>IF(HR_Data[[#This Row],[Attrition]]="Yes",1,0)</f>
        <v>0</v>
      </c>
    </row>
    <row r="433" spans="1:39" x14ac:dyDescent="0.3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 cm="1">
        <f t="array" ref="AJ433">_xlfn.IFS(
HR_Data[[#This Row],[Age]]&lt;25,"Under 25",
HR_Data[[#This Row],[Age]]&lt;35,"25-34",
HR_Data[[#This Row],[Age]]&lt;45,"35-44",
HR_Data[[#This Row],[Age]]&lt;55,"45-54",
TRUE,"55+"
)</f>
        <v>45-54</v>
      </c>
      <c r="AK433" t="str" cm="1">
        <f t="array" ref="AK433">_xlfn.IFS(
HR_Data[[#This Row],[MonthlyIncome]]&lt;3000,"&lt;3K",
HR_Data[[#This Row],[MonthlyIncome]]&lt;6000,"3K-6K",
HR_Data[[#This Row],[MonthlyIncome]]&lt;10000,"6K-10K",
TRUE,"10K+"
)</f>
        <v>3K-6K</v>
      </c>
      <c r="AL433" t="str" cm="1">
        <f t="array" ref="AL433">_xlfn.IFS(
HR_Data[[#This Row],[YearsAtCompany]]&lt;2,"&lt;2 Years",
HR_Data[[#This Row],[YearsAtCompany]]&lt;5,"2-4 Years",
HR_Data[[#This Row],[YearsAtCompany]]&lt;10,"5-9 Years",
TRUE,"10+ Years"
)</f>
        <v>&lt;2 Years</v>
      </c>
      <c r="AM433" s="1">
        <f>IF(HR_Data[[#This Row],[Attrition]]="Yes",1,0)</f>
        <v>0</v>
      </c>
    </row>
    <row r="434" spans="1:39" x14ac:dyDescent="0.3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 cm="1">
        <f t="array" ref="AJ434">_xlfn.IFS(
HR_Data[[#This Row],[Age]]&lt;25,"Under 25",
HR_Data[[#This Row],[Age]]&lt;35,"25-34",
HR_Data[[#This Row],[Age]]&lt;45,"35-44",
HR_Data[[#This Row],[Age]]&lt;55,"45-54",
TRUE,"55+"
)</f>
        <v>25-34</v>
      </c>
      <c r="AK434" t="str" cm="1">
        <f t="array" ref="AK434">_xlfn.IFS(
HR_Data[[#This Row],[MonthlyIncome]]&lt;3000,"&lt;3K",
HR_Data[[#This Row],[MonthlyIncome]]&lt;6000,"3K-6K",
HR_Data[[#This Row],[MonthlyIncome]]&lt;10000,"6K-10K",
TRUE,"10K+"
)</f>
        <v>&lt;3K</v>
      </c>
      <c r="AL434" t="str" cm="1">
        <f t="array" ref="AL434">_xlfn.IFS(
HR_Data[[#This Row],[YearsAtCompany]]&lt;2,"&lt;2 Years",
HR_Data[[#This Row],[YearsAtCompany]]&lt;5,"2-4 Years",
HR_Data[[#This Row],[YearsAtCompany]]&lt;10,"5-9 Years",
TRUE,"10+ Years"
)</f>
        <v>5-9 Years</v>
      </c>
      <c r="AM434" s="1">
        <f>IF(HR_Data[[#This Row],[Attrition]]="Yes",1,0)</f>
        <v>0</v>
      </c>
    </row>
    <row r="435" spans="1:39" x14ac:dyDescent="0.3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 cm="1">
        <f t="array" ref="AJ435">_xlfn.IFS(
HR_Data[[#This Row],[Age]]&lt;25,"Under 25",
HR_Data[[#This Row],[Age]]&lt;35,"25-34",
HR_Data[[#This Row],[Age]]&lt;45,"35-44",
HR_Data[[#This Row],[Age]]&lt;55,"45-54",
TRUE,"55+"
)</f>
        <v>45-54</v>
      </c>
      <c r="AK435" t="str" cm="1">
        <f t="array" ref="AK435">_xlfn.IFS(
HR_Data[[#This Row],[MonthlyIncome]]&lt;3000,"&lt;3K",
HR_Data[[#This Row],[MonthlyIncome]]&lt;6000,"3K-6K",
HR_Data[[#This Row],[MonthlyIncome]]&lt;10000,"6K-10K",
TRUE,"10K+"
)</f>
        <v>6K-10K</v>
      </c>
      <c r="AL435" t="str" cm="1">
        <f t="array" ref="AL435">_xlfn.IFS(
HR_Data[[#This Row],[YearsAtCompany]]&lt;2,"&lt;2 Years",
HR_Data[[#This Row],[YearsAtCompany]]&lt;5,"2-4 Years",
HR_Data[[#This Row],[YearsAtCompany]]&lt;10,"5-9 Years",
TRUE,"10+ Years"
)</f>
        <v>2-4 Years</v>
      </c>
      <c r="AM435" s="1">
        <f>IF(HR_Data[[#This Row],[Attrition]]="Yes",1,0)</f>
        <v>0</v>
      </c>
    </row>
    <row r="436" spans="1:39" x14ac:dyDescent="0.3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 cm="1">
        <f t="array" ref="AJ436">_xlfn.IFS(
HR_Data[[#This Row],[Age]]&lt;25,"Under 25",
HR_Data[[#This Row],[Age]]&lt;35,"25-34",
HR_Data[[#This Row],[Age]]&lt;45,"35-44",
HR_Data[[#This Row],[Age]]&lt;55,"45-54",
TRUE,"55+"
)</f>
        <v>25-34</v>
      </c>
      <c r="AK436" t="str" cm="1">
        <f t="array" ref="AK436">_xlfn.IFS(
HR_Data[[#This Row],[MonthlyIncome]]&lt;3000,"&lt;3K",
HR_Data[[#This Row],[MonthlyIncome]]&lt;6000,"3K-6K",
HR_Data[[#This Row],[MonthlyIncome]]&lt;10000,"6K-10K",
TRUE,"10K+"
)</f>
        <v>10K+</v>
      </c>
      <c r="AL436" t="str" cm="1">
        <f t="array" ref="AL436">_xlfn.IFS(
HR_Data[[#This Row],[YearsAtCompany]]&lt;2,"&lt;2 Years",
HR_Data[[#This Row],[YearsAtCompany]]&lt;5,"2-4 Years",
HR_Data[[#This Row],[YearsAtCompany]]&lt;10,"5-9 Years",
TRUE,"10+ Years"
)</f>
        <v>10+ Years</v>
      </c>
      <c r="AM436" s="1">
        <f>IF(HR_Data[[#This Row],[Attrition]]="Yes",1,0)</f>
        <v>0</v>
      </c>
    </row>
    <row r="437" spans="1:39" x14ac:dyDescent="0.3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 cm="1">
        <f t="array" ref="AJ437">_xlfn.IFS(
HR_Data[[#This Row],[Age]]&lt;25,"Under 25",
HR_Data[[#This Row],[Age]]&lt;35,"25-34",
HR_Data[[#This Row],[Age]]&lt;45,"35-44",
HR_Data[[#This Row],[Age]]&lt;55,"45-54",
TRUE,"55+"
)</f>
        <v>25-34</v>
      </c>
      <c r="AK437" t="str" cm="1">
        <f t="array" ref="AK437">_xlfn.IFS(
HR_Data[[#This Row],[MonthlyIncome]]&lt;3000,"&lt;3K",
HR_Data[[#This Row],[MonthlyIncome]]&lt;6000,"3K-6K",
HR_Data[[#This Row],[MonthlyIncome]]&lt;10000,"6K-10K",
TRUE,"10K+"
)</f>
        <v>10K+</v>
      </c>
      <c r="AL437" t="str" cm="1">
        <f t="array" ref="AL437">_xlfn.IFS(
HR_Data[[#This Row],[YearsAtCompany]]&lt;2,"&lt;2 Years",
HR_Data[[#This Row],[YearsAtCompany]]&lt;5,"2-4 Years",
HR_Data[[#This Row],[YearsAtCompany]]&lt;10,"5-9 Years",
TRUE,"10+ Years"
)</f>
        <v>5-9 Years</v>
      </c>
      <c r="AM437" s="1">
        <f>IF(HR_Data[[#This Row],[Attrition]]="Yes",1,0)</f>
        <v>1</v>
      </c>
    </row>
    <row r="438" spans="1:39" x14ac:dyDescent="0.3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 cm="1">
        <f t="array" ref="AJ438">_xlfn.IFS(
HR_Data[[#This Row],[Age]]&lt;25,"Under 25",
HR_Data[[#This Row],[Age]]&lt;35,"25-34",
HR_Data[[#This Row],[Age]]&lt;45,"35-44",
HR_Data[[#This Row],[Age]]&lt;55,"45-54",
TRUE,"55+"
)</f>
        <v>25-34</v>
      </c>
      <c r="AK438" t="str" cm="1">
        <f t="array" ref="AK438">_xlfn.IFS(
HR_Data[[#This Row],[MonthlyIncome]]&lt;3000,"&lt;3K",
HR_Data[[#This Row],[MonthlyIncome]]&lt;6000,"3K-6K",
HR_Data[[#This Row],[MonthlyIncome]]&lt;10000,"6K-10K",
TRUE,"10K+"
)</f>
        <v>3K-6K</v>
      </c>
      <c r="AL438" t="str" cm="1">
        <f t="array" ref="AL438">_xlfn.IFS(
HR_Data[[#This Row],[YearsAtCompany]]&lt;2,"&lt;2 Years",
HR_Data[[#This Row],[YearsAtCompany]]&lt;5,"2-4 Years",
HR_Data[[#This Row],[YearsAtCompany]]&lt;10,"5-9 Years",
TRUE,"10+ Years"
)</f>
        <v>2-4 Years</v>
      </c>
      <c r="AM438" s="1">
        <f>IF(HR_Data[[#This Row],[Attrition]]="Yes",1,0)</f>
        <v>1</v>
      </c>
    </row>
    <row r="439" spans="1:39" x14ac:dyDescent="0.3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 cm="1">
        <f t="array" ref="AJ439">_xlfn.IFS(
HR_Data[[#This Row],[Age]]&lt;25,"Under 25",
HR_Data[[#This Row],[Age]]&lt;35,"25-34",
HR_Data[[#This Row],[Age]]&lt;45,"35-44",
HR_Data[[#This Row],[Age]]&lt;55,"45-54",
TRUE,"55+"
)</f>
        <v>25-34</v>
      </c>
      <c r="AK439" t="str" cm="1">
        <f t="array" ref="AK439">_xlfn.IFS(
HR_Data[[#This Row],[MonthlyIncome]]&lt;3000,"&lt;3K",
HR_Data[[#This Row],[MonthlyIncome]]&lt;6000,"3K-6K",
HR_Data[[#This Row],[MonthlyIncome]]&lt;10000,"6K-10K",
TRUE,"10K+"
)</f>
        <v>&lt;3K</v>
      </c>
      <c r="AL439" t="str" cm="1">
        <f t="array" ref="AL439">_xlfn.IFS(
HR_Data[[#This Row],[YearsAtCompany]]&lt;2,"&lt;2 Years",
HR_Data[[#This Row],[YearsAtCompany]]&lt;5,"2-4 Years",
HR_Data[[#This Row],[YearsAtCompany]]&lt;10,"5-9 Years",
TRUE,"10+ Years"
)</f>
        <v>2-4 Years</v>
      </c>
      <c r="AM439" s="1">
        <f>IF(HR_Data[[#This Row],[Attrition]]="Yes",1,0)</f>
        <v>0</v>
      </c>
    </row>
    <row r="440" spans="1:39" x14ac:dyDescent="0.3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 cm="1">
        <f t="array" ref="AJ440">_xlfn.IFS(
HR_Data[[#This Row],[Age]]&lt;25,"Under 25",
HR_Data[[#This Row],[Age]]&lt;35,"25-34",
HR_Data[[#This Row],[Age]]&lt;45,"35-44",
HR_Data[[#This Row],[Age]]&lt;55,"45-54",
TRUE,"55+"
)</f>
        <v>35-44</v>
      </c>
      <c r="AK440" t="str" cm="1">
        <f t="array" ref="AK440">_xlfn.IFS(
HR_Data[[#This Row],[MonthlyIncome]]&lt;3000,"&lt;3K",
HR_Data[[#This Row],[MonthlyIncome]]&lt;6000,"3K-6K",
HR_Data[[#This Row],[MonthlyIncome]]&lt;10000,"6K-10K",
TRUE,"10K+"
)</f>
        <v>6K-10K</v>
      </c>
      <c r="AL440" t="str" cm="1">
        <f t="array" ref="AL440">_xlfn.IFS(
HR_Data[[#This Row],[YearsAtCompany]]&lt;2,"&lt;2 Years",
HR_Data[[#This Row],[YearsAtCompany]]&lt;5,"2-4 Years",
HR_Data[[#This Row],[YearsAtCompany]]&lt;10,"5-9 Years",
TRUE,"10+ Years"
)</f>
        <v>5-9 Years</v>
      </c>
      <c r="AM440" s="1">
        <f>IF(HR_Data[[#This Row],[Attrition]]="Yes",1,0)</f>
        <v>0</v>
      </c>
    </row>
    <row r="441" spans="1:39" x14ac:dyDescent="0.3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 cm="1">
        <f t="array" ref="AJ441">_xlfn.IFS(
HR_Data[[#This Row],[Age]]&lt;25,"Under 25",
HR_Data[[#This Row],[Age]]&lt;35,"25-34",
HR_Data[[#This Row],[Age]]&lt;45,"35-44",
HR_Data[[#This Row],[Age]]&lt;55,"45-54",
TRUE,"55+"
)</f>
        <v>25-34</v>
      </c>
      <c r="AK441" t="str" cm="1">
        <f t="array" ref="AK441">_xlfn.IFS(
HR_Data[[#This Row],[MonthlyIncome]]&lt;3000,"&lt;3K",
HR_Data[[#This Row],[MonthlyIncome]]&lt;6000,"3K-6K",
HR_Data[[#This Row],[MonthlyIncome]]&lt;10000,"6K-10K",
TRUE,"10K+"
)</f>
        <v>6K-10K</v>
      </c>
      <c r="AL441" t="str" cm="1">
        <f t="array" ref="AL441">_xlfn.IFS(
HR_Data[[#This Row],[YearsAtCompany]]&lt;2,"&lt;2 Years",
HR_Data[[#This Row],[YearsAtCompany]]&lt;5,"2-4 Years",
HR_Data[[#This Row],[YearsAtCompany]]&lt;10,"5-9 Years",
TRUE,"10+ Years"
)</f>
        <v>&lt;2 Years</v>
      </c>
      <c r="AM441" s="1">
        <f>IF(HR_Data[[#This Row],[Attrition]]="Yes",1,0)</f>
        <v>1</v>
      </c>
    </row>
    <row r="442" spans="1:39" x14ac:dyDescent="0.3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 cm="1">
        <f t="array" ref="AJ442">_xlfn.IFS(
HR_Data[[#This Row],[Age]]&lt;25,"Under 25",
HR_Data[[#This Row],[Age]]&lt;35,"25-34",
HR_Data[[#This Row],[Age]]&lt;45,"35-44",
HR_Data[[#This Row],[Age]]&lt;55,"45-54",
TRUE,"55+"
)</f>
        <v>25-34</v>
      </c>
      <c r="AK442" t="str" cm="1">
        <f t="array" ref="AK442">_xlfn.IFS(
HR_Data[[#This Row],[MonthlyIncome]]&lt;3000,"&lt;3K",
HR_Data[[#This Row],[MonthlyIncome]]&lt;6000,"3K-6K",
HR_Data[[#This Row],[MonthlyIncome]]&lt;10000,"6K-10K",
TRUE,"10K+"
)</f>
        <v>6K-10K</v>
      </c>
      <c r="AL442" t="str" cm="1">
        <f t="array" ref="AL442">_xlfn.IFS(
HR_Data[[#This Row],[YearsAtCompany]]&lt;2,"&lt;2 Years",
HR_Data[[#This Row],[YearsAtCompany]]&lt;5,"2-4 Years",
HR_Data[[#This Row],[YearsAtCompany]]&lt;10,"5-9 Years",
TRUE,"10+ Years"
)</f>
        <v>2-4 Years</v>
      </c>
      <c r="AM442" s="1">
        <f>IF(HR_Data[[#This Row],[Attrition]]="Yes",1,0)</f>
        <v>1</v>
      </c>
    </row>
    <row r="443" spans="1:39" x14ac:dyDescent="0.3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 cm="1">
        <f t="array" ref="AJ443">_xlfn.IFS(
HR_Data[[#This Row],[Age]]&lt;25,"Under 25",
HR_Data[[#This Row],[Age]]&lt;35,"25-34",
HR_Data[[#This Row],[Age]]&lt;45,"35-44",
HR_Data[[#This Row],[Age]]&lt;55,"45-54",
TRUE,"55+"
)</f>
        <v>35-44</v>
      </c>
      <c r="AK443" t="str" cm="1">
        <f t="array" ref="AK443">_xlfn.IFS(
HR_Data[[#This Row],[MonthlyIncome]]&lt;3000,"&lt;3K",
HR_Data[[#This Row],[MonthlyIncome]]&lt;6000,"3K-6K",
HR_Data[[#This Row],[MonthlyIncome]]&lt;10000,"6K-10K",
TRUE,"10K+"
)</f>
        <v>&lt;3K</v>
      </c>
      <c r="AL443" t="str" cm="1">
        <f t="array" ref="AL443">_xlfn.IFS(
HR_Data[[#This Row],[YearsAtCompany]]&lt;2,"&lt;2 Years",
HR_Data[[#This Row],[YearsAtCompany]]&lt;5,"2-4 Years",
HR_Data[[#This Row],[YearsAtCompany]]&lt;10,"5-9 Years",
TRUE,"10+ Years"
)</f>
        <v>2-4 Years</v>
      </c>
      <c r="AM443" s="1">
        <f>IF(HR_Data[[#This Row],[Attrition]]="Yes",1,0)</f>
        <v>0</v>
      </c>
    </row>
    <row r="444" spans="1:39" x14ac:dyDescent="0.3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 cm="1">
        <f t="array" ref="AJ444">_xlfn.IFS(
HR_Data[[#This Row],[Age]]&lt;25,"Under 25",
HR_Data[[#This Row],[Age]]&lt;35,"25-34",
HR_Data[[#This Row],[Age]]&lt;45,"35-44",
HR_Data[[#This Row],[Age]]&lt;55,"45-54",
TRUE,"55+"
)</f>
        <v>35-44</v>
      </c>
      <c r="AK444" t="str" cm="1">
        <f t="array" ref="AK444">_xlfn.IFS(
HR_Data[[#This Row],[MonthlyIncome]]&lt;3000,"&lt;3K",
HR_Data[[#This Row],[MonthlyIncome]]&lt;6000,"3K-6K",
HR_Data[[#This Row],[MonthlyIncome]]&lt;10000,"6K-10K",
TRUE,"10K+"
)</f>
        <v>6K-10K</v>
      </c>
      <c r="AL444" t="str" cm="1">
        <f t="array" ref="AL444">_xlfn.IFS(
HR_Data[[#This Row],[YearsAtCompany]]&lt;2,"&lt;2 Years",
HR_Data[[#This Row],[YearsAtCompany]]&lt;5,"2-4 Years",
HR_Data[[#This Row],[YearsAtCompany]]&lt;10,"5-9 Years",
TRUE,"10+ Years"
)</f>
        <v>10+ Years</v>
      </c>
      <c r="AM444" s="1">
        <f>IF(HR_Data[[#This Row],[Attrition]]="Yes",1,0)</f>
        <v>0</v>
      </c>
    </row>
    <row r="445" spans="1:39" x14ac:dyDescent="0.3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 cm="1">
        <f t="array" ref="AJ445">_xlfn.IFS(
HR_Data[[#This Row],[Age]]&lt;25,"Under 25",
HR_Data[[#This Row],[Age]]&lt;35,"25-34",
HR_Data[[#This Row],[Age]]&lt;45,"35-44",
HR_Data[[#This Row],[Age]]&lt;55,"45-54",
TRUE,"55+"
)</f>
        <v>Under 25</v>
      </c>
      <c r="AK445" t="str" cm="1">
        <f t="array" ref="AK445">_xlfn.IFS(
HR_Data[[#This Row],[MonthlyIncome]]&lt;3000,"&lt;3K",
HR_Data[[#This Row],[MonthlyIncome]]&lt;6000,"3K-6K",
HR_Data[[#This Row],[MonthlyIncome]]&lt;10000,"6K-10K",
TRUE,"10K+"
)</f>
        <v>3K-6K</v>
      </c>
      <c r="AL445" t="str" cm="1">
        <f t="array" ref="AL445">_xlfn.IFS(
HR_Data[[#This Row],[YearsAtCompany]]&lt;2,"&lt;2 Years",
HR_Data[[#This Row],[YearsAtCompany]]&lt;5,"2-4 Years",
HR_Data[[#This Row],[YearsAtCompany]]&lt;10,"5-9 Years",
TRUE,"10+ Years"
)</f>
        <v>2-4 Years</v>
      </c>
      <c r="AM445" s="1">
        <f>IF(HR_Data[[#This Row],[Attrition]]="Yes",1,0)</f>
        <v>1</v>
      </c>
    </row>
    <row r="446" spans="1:39" x14ac:dyDescent="0.3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 cm="1">
        <f t="array" ref="AJ446">_xlfn.IFS(
HR_Data[[#This Row],[Age]]&lt;25,"Under 25",
HR_Data[[#This Row],[Age]]&lt;35,"25-34",
HR_Data[[#This Row],[Age]]&lt;45,"35-44",
HR_Data[[#This Row],[Age]]&lt;55,"45-54",
TRUE,"55+"
)</f>
        <v>45-54</v>
      </c>
      <c r="AK446" t="str" cm="1">
        <f t="array" ref="AK446">_xlfn.IFS(
HR_Data[[#This Row],[MonthlyIncome]]&lt;3000,"&lt;3K",
HR_Data[[#This Row],[MonthlyIncome]]&lt;6000,"3K-6K",
HR_Data[[#This Row],[MonthlyIncome]]&lt;10000,"6K-10K",
TRUE,"10K+"
)</f>
        <v>3K-6K</v>
      </c>
      <c r="AL446" t="str" cm="1">
        <f t="array" ref="AL446">_xlfn.IFS(
HR_Data[[#This Row],[YearsAtCompany]]&lt;2,"&lt;2 Years",
HR_Data[[#This Row],[YearsAtCompany]]&lt;5,"2-4 Years",
HR_Data[[#This Row],[YearsAtCompany]]&lt;10,"5-9 Years",
TRUE,"10+ Years"
)</f>
        <v>5-9 Years</v>
      </c>
      <c r="AM446" s="1">
        <f>IF(HR_Data[[#This Row],[Attrition]]="Yes",1,0)</f>
        <v>0</v>
      </c>
    </row>
    <row r="447" spans="1:39" x14ac:dyDescent="0.3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 cm="1">
        <f t="array" ref="AJ447">_xlfn.IFS(
HR_Data[[#This Row],[Age]]&lt;25,"Under 25",
HR_Data[[#This Row],[Age]]&lt;35,"25-34",
HR_Data[[#This Row],[Age]]&lt;45,"35-44",
HR_Data[[#This Row],[Age]]&lt;55,"45-54",
TRUE,"55+"
)</f>
        <v>55+</v>
      </c>
      <c r="AK447" t="str" cm="1">
        <f t="array" ref="AK447">_xlfn.IFS(
HR_Data[[#This Row],[MonthlyIncome]]&lt;3000,"&lt;3K",
HR_Data[[#This Row],[MonthlyIncome]]&lt;6000,"3K-6K",
HR_Data[[#This Row],[MonthlyIncome]]&lt;10000,"6K-10K",
TRUE,"10K+"
)</f>
        <v>10K+</v>
      </c>
      <c r="AL447" t="str" cm="1">
        <f t="array" ref="AL447">_xlfn.IFS(
HR_Data[[#This Row],[YearsAtCompany]]&lt;2,"&lt;2 Years",
HR_Data[[#This Row],[YearsAtCompany]]&lt;5,"2-4 Years",
HR_Data[[#This Row],[YearsAtCompany]]&lt;10,"5-9 Years",
TRUE,"10+ Years"
)</f>
        <v>10+ Years</v>
      </c>
      <c r="AM447" s="1">
        <f>IF(HR_Data[[#This Row],[Attrition]]="Yes",1,0)</f>
        <v>0</v>
      </c>
    </row>
    <row r="448" spans="1:39" x14ac:dyDescent="0.3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 cm="1">
        <f t="array" ref="AJ448">_xlfn.IFS(
HR_Data[[#This Row],[Age]]&lt;25,"Under 25",
HR_Data[[#This Row],[Age]]&lt;35,"25-34",
HR_Data[[#This Row],[Age]]&lt;45,"35-44",
HR_Data[[#This Row],[Age]]&lt;55,"45-54",
TRUE,"55+"
)</f>
        <v>35-44</v>
      </c>
      <c r="AK448" t="str" cm="1">
        <f t="array" ref="AK448">_xlfn.IFS(
HR_Data[[#This Row],[MonthlyIncome]]&lt;3000,"&lt;3K",
HR_Data[[#This Row],[MonthlyIncome]]&lt;6000,"3K-6K",
HR_Data[[#This Row],[MonthlyIncome]]&lt;10000,"6K-10K",
TRUE,"10K+"
)</f>
        <v>6K-10K</v>
      </c>
      <c r="AL448" t="str" cm="1">
        <f t="array" ref="AL448">_xlfn.IFS(
HR_Data[[#This Row],[YearsAtCompany]]&lt;2,"&lt;2 Years",
HR_Data[[#This Row],[YearsAtCompany]]&lt;5,"2-4 Years",
HR_Data[[#This Row],[YearsAtCompany]]&lt;10,"5-9 Years",
TRUE,"10+ Years"
)</f>
        <v>10+ Years</v>
      </c>
      <c r="AM448" s="1">
        <f>IF(HR_Data[[#This Row],[Attrition]]="Yes",1,0)</f>
        <v>0</v>
      </c>
    </row>
    <row r="449" spans="1:39" x14ac:dyDescent="0.3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 cm="1">
        <f t="array" ref="AJ449">_xlfn.IFS(
HR_Data[[#This Row],[Age]]&lt;25,"Under 25",
HR_Data[[#This Row],[Age]]&lt;35,"25-34",
HR_Data[[#This Row],[Age]]&lt;45,"35-44",
HR_Data[[#This Row],[Age]]&lt;55,"45-54",
TRUE,"55+"
)</f>
        <v>35-44</v>
      </c>
      <c r="AK449" t="str" cm="1">
        <f t="array" ref="AK449">_xlfn.IFS(
HR_Data[[#This Row],[MonthlyIncome]]&lt;3000,"&lt;3K",
HR_Data[[#This Row],[MonthlyIncome]]&lt;6000,"3K-6K",
HR_Data[[#This Row],[MonthlyIncome]]&lt;10000,"6K-10K",
TRUE,"10K+"
)</f>
        <v>3K-6K</v>
      </c>
      <c r="AL449" t="str" cm="1">
        <f t="array" ref="AL449">_xlfn.IFS(
HR_Data[[#This Row],[YearsAtCompany]]&lt;2,"&lt;2 Years",
HR_Data[[#This Row],[YearsAtCompany]]&lt;5,"2-4 Years",
HR_Data[[#This Row],[YearsAtCompany]]&lt;10,"5-9 Years",
TRUE,"10+ Years"
)</f>
        <v>10+ Years</v>
      </c>
      <c r="AM449" s="1">
        <f>IF(HR_Data[[#This Row],[Attrition]]="Yes",1,0)</f>
        <v>0</v>
      </c>
    </row>
    <row r="450" spans="1:39" x14ac:dyDescent="0.3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 cm="1">
        <f t="array" ref="AJ450">_xlfn.IFS(
HR_Data[[#This Row],[Age]]&lt;25,"Under 25",
HR_Data[[#This Row],[Age]]&lt;35,"25-34",
HR_Data[[#This Row],[Age]]&lt;45,"35-44",
HR_Data[[#This Row],[Age]]&lt;55,"45-54",
TRUE,"55+"
)</f>
        <v>35-44</v>
      </c>
      <c r="AK450" t="str" cm="1">
        <f t="array" ref="AK450">_xlfn.IFS(
HR_Data[[#This Row],[MonthlyIncome]]&lt;3000,"&lt;3K",
HR_Data[[#This Row],[MonthlyIncome]]&lt;6000,"3K-6K",
HR_Data[[#This Row],[MonthlyIncome]]&lt;10000,"6K-10K",
TRUE,"10K+"
)</f>
        <v>10K+</v>
      </c>
      <c r="AL450" t="str" cm="1">
        <f t="array" ref="AL450">_xlfn.IFS(
HR_Data[[#This Row],[YearsAtCompany]]&lt;2,"&lt;2 Years",
HR_Data[[#This Row],[YearsAtCompany]]&lt;5,"2-4 Years",
HR_Data[[#This Row],[YearsAtCompany]]&lt;10,"5-9 Years",
TRUE,"10+ Years"
)</f>
        <v>10+ Years</v>
      </c>
      <c r="AM450" s="1">
        <f>IF(HR_Data[[#This Row],[Attrition]]="Yes",1,0)</f>
        <v>0</v>
      </c>
    </row>
    <row r="451" spans="1:39" x14ac:dyDescent="0.3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 cm="1">
        <f t="array" ref="AJ451">_xlfn.IFS(
HR_Data[[#This Row],[Age]]&lt;25,"Under 25",
HR_Data[[#This Row],[Age]]&lt;35,"25-34",
HR_Data[[#This Row],[Age]]&lt;45,"35-44",
HR_Data[[#This Row],[Age]]&lt;55,"45-54",
TRUE,"55+"
)</f>
        <v>35-44</v>
      </c>
      <c r="AK451" t="str" cm="1">
        <f t="array" ref="AK451">_xlfn.IFS(
HR_Data[[#This Row],[MonthlyIncome]]&lt;3000,"&lt;3K",
HR_Data[[#This Row],[MonthlyIncome]]&lt;6000,"3K-6K",
HR_Data[[#This Row],[MonthlyIncome]]&lt;10000,"6K-10K",
TRUE,"10K+"
)</f>
        <v>3K-6K</v>
      </c>
      <c r="AL451" t="str" cm="1">
        <f t="array" ref="AL451">_xlfn.IFS(
HR_Data[[#This Row],[YearsAtCompany]]&lt;2,"&lt;2 Years",
HR_Data[[#This Row],[YearsAtCompany]]&lt;5,"2-4 Years",
HR_Data[[#This Row],[YearsAtCompany]]&lt;10,"5-9 Years",
TRUE,"10+ Years"
)</f>
        <v>5-9 Years</v>
      </c>
      <c r="AM451" s="1">
        <f>IF(HR_Data[[#This Row],[Attrition]]="Yes",1,0)</f>
        <v>0</v>
      </c>
    </row>
    <row r="452" spans="1:39" x14ac:dyDescent="0.3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 cm="1">
        <f t="array" ref="AJ452">_xlfn.IFS(
HR_Data[[#This Row],[Age]]&lt;25,"Under 25",
HR_Data[[#This Row],[Age]]&lt;35,"25-34",
HR_Data[[#This Row],[Age]]&lt;45,"35-44",
HR_Data[[#This Row],[Age]]&lt;55,"45-54",
TRUE,"55+"
)</f>
        <v>25-34</v>
      </c>
      <c r="AK452" t="str" cm="1">
        <f t="array" ref="AK452">_xlfn.IFS(
HR_Data[[#This Row],[MonthlyIncome]]&lt;3000,"&lt;3K",
HR_Data[[#This Row],[MonthlyIncome]]&lt;6000,"3K-6K",
HR_Data[[#This Row],[MonthlyIncome]]&lt;10000,"6K-10K",
TRUE,"10K+"
)</f>
        <v>6K-10K</v>
      </c>
      <c r="AL452" t="str" cm="1">
        <f t="array" ref="AL452">_xlfn.IFS(
HR_Data[[#This Row],[YearsAtCompany]]&lt;2,"&lt;2 Years",
HR_Data[[#This Row],[YearsAtCompany]]&lt;5,"2-4 Years",
HR_Data[[#This Row],[YearsAtCompany]]&lt;10,"5-9 Years",
TRUE,"10+ Years"
)</f>
        <v>5-9 Years</v>
      </c>
      <c r="AM452" s="1">
        <f>IF(HR_Data[[#This Row],[Attrition]]="Yes",1,0)</f>
        <v>0</v>
      </c>
    </row>
    <row r="453" spans="1:39" x14ac:dyDescent="0.3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 cm="1">
        <f t="array" ref="AJ453">_xlfn.IFS(
HR_Data[[#This Row],[Age]]&lt;25,"Under 25",
HR_Data[[#This Row],[Age]]&lt;35,"25-34",
HR_Data[[#This Row],[Age]]&lt;45,"35-44",
HR_Data[[#This Row],[Age]]&lt;55,"45-54",
TRUE,"55+"
)</f>
        <v>35-44</v>
      </c>
      <c r="AK453" t="str" cm="1">
        <f t="array" ref="AK453">_xlfn.IFS(
HR_Data[[#This Row],[MonthlyIncome]]&lt;3000,"&lt;3K",
HR_Data[[#This Row],[MonthlyIncome]]&lt;6000,"3K-6K",
HR_Data[[#This Row],[MonthlyIncome]]&lt;10000,"6K-10K",
TRUE,"10K+"
)</f>
        <v>6K-10K</v>
      </c>
      <c r="AL453" t="str" cm="1">
        <f t="array" ref="AL453">_xlfn.IFS(
HR_Data[[#This Row],[YearsAtCompany]]&lt;2,"&lt;2 Years",
HR_Data[[#This Row],[YearsAtCompany]]&lt;5,"2-4 Years",
HR_Data[[#This Row],[YearsAtCompany]]&lt;10,"5-9 Years",
TRUE,"10+ Years"
)</f>
        <v>10+ Years</v>
      </c>
      <c r="AM453" s="1">
        <f>IF(HR_Data[[#This Row],[Attrition]]="Yes",1,0)</f>
        <v>0</v>
      </c>
    </row>
    <row r="454" spans="1:39" x14ac:dyDescent="0.3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 cm="1">
        <f t="array" ref="AJ454">_xlfn.IFS(
HR_Data[[#This Row],[Age]]&lt;25,"Under 25",
HR_Data[[#This Row],[Age]]&lt;35,"25-34",
HR_Data[[#This Row],[Age]]&lt;45,"35-44",
HR_Data[[#This Row],[Age]]&lt;55,"45-54",
TRUE,"55+"
)</f>
        <v>45-54</v>
      </c>
      <c r="AK454" t="str" cm="1">
        <f t="array" ref="AK454">_xlfn.IFS(
HR_Data[[#This Row],[MonthlyIncome]]&lt;3000,"&lt;3K",
HR_Data[[#This Row],[MonthlyIncome]]&lt;6000,"3K-6K",
HR_Data[[#This Row],[MonthlyIncome]]&lt;10000,"6K-10K",
TRUE,"10K+"
)</f>
        <v>3K-6K</v>
      </c>
      <c r="AL454" t="str" cm="1">
        <f t="array" ref="AL454">_xlfn.IFS(
HR_Data[[#This Row],[YearsAtCompany]]&lt;2,"&lt;2 Years",
HR_Data[[#This Row],[YearsAtCompany]]&lt;5,"2-4 Years",
HR_Data[[#This Row],[YearsAtCompany]]&lt;10,"5-9 Years",
TRUE,"10+ Years"
)</f>
        <v>5-9 Years</v>
      </c>
      <c r="AM454" s="1">
        <f>IF(HR_Data[[#This Row],[Attrition]]="Yes",1,0)</f>
        <v>0</v>
      </c>
    </row>
    <row r="455" spans="1:39" x14ac:dyDescent="0.3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 cm="1">
        <f t="array" ref="AJ455">_xlfn.IFS(
HR_Data[[#This Row],[Age]]&lt;25,"Under 25",
HR_Data[[#This Row],[Age]]&lt;35,"25-34",
HR_Data[[#This Row],[Age]]&lt;45,"35-44",
HR_Data[[#This Row],[Age]]&lt;55,"45-54",
TRUE,"55+"
)</f>
        <v>25-34</v>
      </c>
      <c r="AK455" t="str" cm="1">
        <f t="array" ref="AK455">_xlfn.IFS(
HR_Data[[#This Row],[MonthlyIncome]]&lt;3000,"&lt;3K",
HR_Data[[#This Row],[MonthlyIncome]]&lt;6000,"3K-6K",
HR_Data[[#This Row],[MonthlyIncome]]&lt;10000,"6K-10K",
TRUE,"10K+"
)</f>
        <v>&lt;3K</v>
      </c>
      <c r="AL455" t="str" cm="1">
        <f t="array" ref="AL455">_xlfn.IFS(
HR_Data[[#This Row],[YearsAtCompany]]&lt;2,"&lt;2 Years",
HR_Data[[#This Row],[YearsAtCompany]]&lt;5,"2-4 Years",
HR_Data[[#This Row],[YearsAtCompany]]&lt;10,"5-9 Years",
TRUE,"10+ Years"
)</f>
        <v>5-9 Years</v>
      </c>
      <c r="AM455" s="1">
        <f>IF(HR_Data[[#This Row],[Attrition]]="Yes",1,0)</f>
        <v>1</v>
      </c>
    </row>
    <row r="456" spans="1:39" x14ac:dyDescent="0.3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 cm="1">
        <f t="array" ref="AJ456">_xlfn.IFS(
HR_Data[[#This Row],[Age]]&lt;25,"Under 25",
HR_Data[[#This Row],[Age]]&lt;35,"25-34",
HR_Data[[#This Row],[Age]]&lt;45,"35-44",
HR_Data[[#This Row],[Age]]&lt;55,"45-54",
TRUE,"55+"
)</f>
        <v>25-34</v>
      </c>
      <c r="AK456" t="str" cm="1">
        <f t="array" ref="AK456">_xlfn.IFS(
HR_Data[[#This Row],[MonthlyIncome]]&lt;3000,"&lt;3K",
HR_Data[[#This Row],[MonthlyIncome]]&lt;6000,"3K-6K",
HR_Data[[#This Row],[MonthlyIncome]]&lt;10000,"6K-10K",
TRUE,"10K+"
)</f>
        <v>3K-6K</v>
      </c>
      <c r="AL456" t="str" cm="1">
        <f t="array" ref="AL456">_xlfn.IFS(
HR_Data[[#This Row],[YearsAtCompany]]&lt;2,"&lt;2 Years",
HR_Data[[#This Row],[YearsAtCompany]]&lt;5,"2-4 Years",
HR_Data[[#This Row],[YearsAtCompany]]&lt;10,"5-9 Years",
TRUE,"10+ Years"
)</f>
        <v>2-4 Years</v>
      </c>
      <c r="AM456" s="1">
        <f>IF(HR_Data[[#This Row],[Attrition]]="Yes",1,0)</f>
        <v>0</v>
      </c>
    </row>
    <row r="457" spans="1:39" x14ac:dyDescent="0.3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 cm="1">
        <f t="array" ref="AJ457">_xlfn.IFS(
HR_Data[[#This Row],[Age]]&lt;25,"Under 25",
HR_Data[[#This Row],[Age]]&lt;35,"25-34",
HR_Data[[#This Row],[Age]]&lt;45,"35-44",
HR_Data[[#This Row],[Age]]&lt;55,"45-54",
TRUE,"55+"
)</f>
        <v>25-34</v>
      </c>
      <c r="AK457" t="str" cm="1">
        <f t="array" ref="AK457">_xlfn.IFS(
HR_Data[[#This Row],[MonthlyIncome]]&lt;3000,"&lt;3K",
HR_Data[[#This Row],[MonthlyIncome]]&lt;6000,"3K-6K",
HR_Data[[#This Row],[MonthlyIncome]]&lt;10000,"6K-10K",
TRUE,"10K+"
)</f>
        <v>10K+</v>
      </c>
      <c r="AL457" t="str" cm="1">
        <f t="array" ref="AL457">_xlfn.IFS(
HR_Data[[#This Row],[YearsAtCompany]]&lt;2,"&lt;2 Years",
HR_Data[[#This Row],[YearsAtCompany]]&lt;5,"2-4 Years",
HR_Data[[#This Row],[YearsAtCompany]]&lt;10,"5-9 Years",
TRUE,"10+ Years"
)</f>
        <v>5-9 Years</v>
      </c>
      <c r="AM457" s="1">
        <f>IF(HR_Data[[#This Row],[Attrition]]="Yes",1,0)</f>
        <v>0</v>
      </c>
    </row>
    <row r="458" spans="1:39" x14ac:dyDescent="0.3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 cm="1">
        <f t="array" ref="AJ458">_xlfn.IFS(
HR_Data[[#This Row],[Age]]&lt;25,"Under 25",
HR_Data[[#This Row],[Age]]&lt;35,"25-34",
HR_Data[[#This Row],[Age]]&lt;45,"35-44",
HR_Data[[#This Row],[Age]]&lt;55,"45-54",
TRUE,"55+"
)</f>
        <v>25-34</v>
      </c>
      <c r="AK458" t="str" cm="1">
        <f t="array" ref="AK458">_xlfn.IFS(
HR_Data[[#This Row],[MonthlyIncome]]&lt;3000,"&lt;3K",
HR_Data[[#This Row],[MonthlyIncome]]&lt;6000,"3K-6K",
HR_Data[[#This Row],[MonthlyIncome]]&lt;10000,"6K-10K",
TRUE,"10K+"
)</f>
        <v>10K+</v>
      </c>
      <c r="AL458" t="str" cm="1">
        <f t="array" ref="AL458">_xlfn.IFS(
HR_Data[[#This Row],[YearsAtCompany]]&lt;2,"&lt;2 Years",
HR_Data[[#This Row],[YearsAtCompany]]&lt;5,"2-4 Years",
HR_Data[[#This Row],[YearsAtCompany]]&lt;10,"5-9 Years",
TRUE,"10+ Years"
)</f>
        <v>5-9 Years</v>
      </c>
      <c r="AM458" s="1">
        <f>IF(HR_Data[[#This Row],[Attrition]]="Yes",1,0)</f>
        <v>0</v>
      </c>
    </row>
    <row r="459" spans="1:39" x14ac:dyDescent="0.3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 cm="1">
        <f t="array" ref="AJ459">_xlfn.IFS(
HR_Data[[#This Row],[Age]]&lt;25,"Under 25",
HR_Data[[#This Row],[Age]]&lt;35,"25-34",
HR_Data[[#This Row],[Age]]&lt;45,"35-44",
HR_Data[[#This Row],[Age]]&lt;55,"45-54",
TRUE,"55+"
)</f>
        <v>Under 25</v>
      </c>
      <c r="AK459" t="str" cm="1">
        <f t="array" ref="AK459">_xlfn.IFS(
HR_Data[[#This Row],[MonthlyIncome]]&lt;3000,"&lt;3K",
HR_Data[[#This Row],[MonthlyIncome]]&lt;6000,"3K-6K",
HR_Data[[#This Row],[MonthlyIncome]]&lt;10000,"6K-10K",
TRUE,"10K+"
)</f>
        <v>&lt;3K</v>
      </c>
      <c r="AL459" t="str" cm="1">
        <f t="array" ref="AL459">_xlfn.IFS(
HR_Data[[#This Row],[YearsAtCompany]]&lt;2,"&lt;2 Years",
HR_Data[[#This Row],[YearsAtCompany]]&lt;5,"2-4 Years",
HR_Data[[#This Row],[YearsAtCompany]]&lt;10,"5-9 Years",
TRUE,"10+ Years"
)</f>
        <v>&lt;2 Years</v>
      </c>
      <c r="AM459" s="1">
        <f>IF(HR_Data[[#This Row],[Attrition]]="Yes",1,0)</f>
        <v>1</v>
      </c>
    </row>
    <row r="460" spans="1:39" x14ac:dyDescent="0.3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 cm="1">
        <f t="array" ref="AJ460">_xlfn.IFS(
HR_Data[[#This Row],[Age]]&lt;25,"Under 25",
HR_Data[[#This Row],[Age]]&lt;35,"25-34",
HR_Data[[#This Row],[Age]]&lt;45,"35-44",
HR_Data[[#This Row],[Age]]&lt;55,"45-54",
TRUE,"55+"
)</f>
        <v>35-44</v>
      </c>
      <c r="AK460" t="str" cm="1">
        <f t="array" ref="AK460">_xlfn.IFS(
HR_Data[[#This Row],[MonthlyIncome]]&lt;3000,"&lt;3K",
HR_Data[[#This Row],[MonthlyIncome]]&lt;6000,"3K-6K",
HR_Data[[#This Row],[MonthlyIncome]]&lt;10000,"6K-10K",
TRUE,"10K+"
)</f>
        <v>10K+</v>
      </c>
      <c r="AL460" t="str" cm="1">
        <f t="array" ref="AL460">_xlfn.IFS(
HR_Data[[#This Row],[YearsAtCompany]]&lt;2,"&lt;2 Years",
HR_Data[[#This Row],[YearsAtCompany]]&lt;5,"2-4 Years",
HR_Data[[#This Row],[YearsAtCompany]]&lt;10,"5-9 Years",
TRUE,"10+ Years"
)</f>
        <v>&lt;2 Years</v>
      </c>
      <c r="AM460" s="1">
        <f>IF(HR_Data[[#This Row],[Attrition]]="Yes",1,0)</f>
        <v>0</v>
      </c>
    </row>
    <row r="461" spans="1:39" x14ac:dyDescent="0.3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 cm="1">
        <f t="array" ref="AJ461">_xlfn.IFS(
HR_Data[[#This Row],[Age]]&lt;25,"Under 25",
HR_Data[[#This Row],[Age]]&lt;35,"25-34",
HR_Data[[#This Row],[Age]]&lt;45,"35-44",
HR_Data[[#This Row],[Age]]&lt;55,"45-54",
TRUE,"55+"
)</f>
        <v>35-44</v>
      </c>
      <c r="AK461" t="str" cm="1">
        <f t="array" ref="AK461">_xlfn.IFS(
HR_Data[[#This Row],[MonthlyIncome]]&lt;3000,"&lt;3K",
HR_Data[[#This Row],[MonthlyIncome]]&lt;6000,"3K-6K",
HR_Data[[#This Row],[MonthlyIncome]]&lt;10000,"6K-10K",
TRUE,"10K+"
)</f>
        <v>6K-10K</v>
      </c>
      <c r="AL461" t="str" cm="1">
        <f t="array" ref="AL461">_xlfn.IFS(
HR_Data[[#This Row],[YearsAtCompany]]&lt;2,"&lt;2 Years",
HR_Data[[#This Row],[YearsAtCompany]]&lt;5,"2-4 Years",
HR_Data[[#This Row],[YearsAtCompany]]&lt;10,"5-9 Years",
TRUE,"10+ Years"
)</f>
        <v>5-9 Years</v>
      </c>
      <c r="AM461" s="1">
        <f>IF(HR_Data[[#This Row],[Attrition]]="Yes",1,0)</f>
        <v>0</v>
      </c>
    </row>
    <row r="462" spans="1:39" x14ac:dyDescent="0.3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 cm="1">
        <f t="array" ref="AJ462">_xlfn.IFS(
HR_Data[[#This Row],[Age]]&lt;25,"Under 25",
HR_Data[[#This Row],[Age]]&lt;35,"25-34",
HR_Data[[#This Row],[Age]]&lt;45,"35-44",
HR_Data[[#This Row],[Age]]&lt;55,"45-54",
TRUE,"55+"
)</f>
        <v>25-34</v>
      </c>
      <c r="AK462" t="str" cm="1">
        <f t="array" ref="AK462">_xlfn.IFS(
HR_Data[[#This Row],[MonthlyIncome]]&lt;3000,"&lt;3K",
HR_Data[[#This Row],[MonthlyIncome]]&lt;6000,"3K-6K",
HR_Data[[#This Row],[MonthlyIncome]]&lt;10000,"6K-10K",
TRUE,"10K+"
)</f>
        <v>3K-6K</v>
      </c>
      <c r="AL462" t="str" cm="1">
        <f t="array" ref="AL462">_xlfn.IFS(
HR_Data[[#This Row],[YearsAtCompany]]&lt;2,"&lt;2 Years",
HR_Data[[#This Row],[YearsAtCompany]]&lt;5,"2-4 Years",
HR_Data[[#This Row],[YearsAtCompany]]&lt;10,"5-9 Years",
TRUE,"10+ Years"
)</f>
        <v>&lt;2 Years</v>
      </c>
      <c r="AM462" s="1">
        <f>IF(HR_Data[[#This Row],[Attrition]]="Yes",1,0)</f>
        <v>0</v>
      </c>
    </row>
    <row r="463" spans="1:39" x14ac:dyDescent="0.3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 cm="1">
        <f t="array" ref="AJ463">_xlfn.IFS(
HR_Data[[#This Row],[Age]]&lt;25,"Under 25",
HR_Data[[#This Row],[Age]]&lt;35,"25-34",
HR_Data[[#This Row],[Age]]&lt;45,"35-44",
HR_Data[[#This Row],[Age]]&lt;55,"45-54",
TRUE,"55+"
)</f>
        <v>35-44</v>
      </c>
      <c r="AK463" t="str" cm="1">
        <f t="array" ref="AK463">_xlfn.IFS(
HR_Data[[#This Row],[MonthlyIncome]]&lt;3000,"&lt;3K",
HR_Data[[#This Row],[MonthlyIncome]]&lt;6000,"3K-6K",
HR_Data[[#This Row],[MonthlyIncome]]&lt;10000,"6K-10K",
TRUE,"10K+"
)</f>
        <v>3K-6K</v>
      </c>
      <c r="AL463" t="str" cm="1">
        <f t="array" ref="AL463">_xlfn.IFS(
HR_Data[[#This Row],[YearsAtCompany]]&lt;2,"&lt;2 Years",
HR_Data[[#This Row],[YearsAtCompany]]&lt;5,"2-4 Years",
HR_Data[[#This Row],[YearsAtCompany]]&lt;10,"5-9 Years",
TRUE,"10+ Years"
)</f>
        <v>5-9 Years</v>
      </c>
      <c r="AM463" s="1">
        <f>IF(HR_Data[[#This Row],[Attrition]]="Yes",1,0)</f>
        <v>0</v>
      </c>
    </row>
    <row r="464" spans="1:39" x14ac:dyDescent="0.3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 cm="1">
        <f t="array" ref="AJ464">_xlfn.IFS(
HR_Data[[#This Row],[Age]]&lt;25,"Under 25",
HR_Data[[#This Row],[Age]]&lt;35,"25-34",
HR_Data[[#This Row],[Age]]&lt;45,"35-44",
HR_Data[[#This Row],[Age]]&lt;55,"45-54",
TRUE,"55+"
)</f>
        <v>25-34</v>
      </c>
      <c r="AK464" t="str" cm="1">
        <f t="array" ref="AK464">_xlfn.IFS(
HR_Data[[#This Row],[MonthlyIncome]]&lt;3000,"&lt;3K",
HR_Data[[#This Row],[MonthlyIncome]]&lt;6000,"3K-6K",
HR_Data[[#This Row],[MonthlyIncome]]&lt;10000,"6K-10K",
TRUE,"10K+"
)</f>
        <v>3K-6K</v>
      </c>
      <c r="AL464" t="str" cm="1">
        <f t="array" ref="AL464">_xlfn.IFS(
HR_Data[[#This Row],[YearsAtCompany]]&lt;2,"&lt;2 Years",
HR_Data[[#This Row],[YearsAtCompany]]&lt;5,"2-4 Years",
HR_Data[[#This Row],[YearsAtCompany]]&lt;10,"5-9 Years",
TRUE,"10+ Years"
)</f>
        <v>10+ Years</v>
      </c>
      <c r="AM464" s="1">
        <f>IF(HR_Data[[#This Row],[Attrition]]="Yes",1,0)</f>
        <v>0</v>
      </c>
    </row>
    <row r="465" spans="1:39" x14ac:dyDescent="0.3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 cm="1">
        <f t="array" ref="AJ465">_xlfn.IFS(
HR_Data[[#This Row],[Age]]&lt;25,"Under 25",
HR_Data[[#This Row],[Age]]&lt;35,"25-34",
HR_Data[[#This Row],[Age]]&lt;45,"35-44",
HR_Data[[#This Row],[Age]]&lt;55,"45-54",
TRUE,"55+"
)</f>
        <v>25-34</v>
      </c>
      <c r="AK465" t="str" cm="1">
        <f t="array" ref="AK465">_xlfn.IFS(
HR_Data[[#This Row],[MonthlyIncome]]&lt;3000,"&lt;3K",
HR_Data[[#This Row],[MonthlyIncome]]&lt;6000,"3K-6K",
HR_Data[[#This Row],[MonthlyIncome]]&lt;10000,"6K-10K",
TRUE,"10K+"
)</f>
        <v>&lt;3K</v>
      </c>
      <c r="AL465" t="str" cm="1">
        <f t="array" ref="AL465">_xlfn.IFS(
HR_Data[[#This Row],[YearsAtCompany]]&lt;2,"&lt;2 Years",
HR_Data[[#This Row],[YearsAtCompany]]&lt;5,"2-4 Years",
HR_Data[[#This Row],[YearsAtCompany]]&lt;10,"5-9 Years",
TRUE,"10+ Years"
)</f>
        <v>&lt;2 Years</v>
      </c>
      <c r="AM465" s="1">
        <f>IF(HR_Data[[#This Row],[Attrition]]="Yes",1,0)</f>
        <v>1</v>
      </c>
    </row>
    <row r="466" spans="1:39" x14ac:dyDescent="0.3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 cm="1">
        <f t="array" ref="AJ466">_xlfn.IFS(
HR_Data[[#This Row],[Age]]&lt;25,"Under 25",
HR_Data[[#This Row],[Age]]&lt;35,"25-34",
HR_Data[[#This Row],[Age]]&lt;45,"35-44",
HR_Data[[#This Row],[Age]]&lt;55,"45-54",
TRUE,"55+"
)</f>
        <v>35-44</v>
      </c>
      <c r="AK466" t="str" cm="1">
        <f t="array" ref="AK466">_xlfn.IFS(
HR_Data[[#This Row],[MonthlyIncome]]&lt;3000,"&lt;3K",
HR_Data[[#This Row],[MonthlyIncome]]&lt;6000,"3K-6K",
HR_Data[[#This Row],[MonthlyIncome]]&lt;10000,"6K-10K",
TRUE,"10K+"
)</f>
        <v>6K-10K</v>
      </c>
      <c r="AL466" t="str" cm="1">
        <f t="array" ref="AL466">_xlfn.IFS(
HR_Data[[#This Row],[YearsAtCompany]]&lt;2,"&lt;2 Years",
HR_Data[[#This Row],[YearsAtCompany]]&lt;5,"2-4 Years",
HR_Data[[#This Row],[YearsAtCompany]]&lt;10,"5-9 Years",
TRUE,"10+ Years"
)</f>
        <v>5-9 Years</v>
      </c>
      <c r="AM466" s="1">
        <f>IF(HR_Data[[#This Row],[Attrition]]="Yes",1,0)</f>
        <v>0</v>
      </c>
    </row>
    <row r="467" spans="1:39" x14ac:dyDescent="0.3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 cm="1">
        <f t="array" ref="AJ467">_xlfn.IFS(
HR_Data[[#This Row],[Age]]&lt;25,"Under 25",
HR_Data[[#This Row],[Age]]&lt;35,"25-34",
HR_Data[[#This Row],[Age]]&lt;45,"35-44",
HR_Data[[#This Row],[Age]]&lt;55,"45-54",
TRUE,"55+"
)</f>
        <v>45-54</v>
      </c>
      <c r="AK467" t="str" cm="1">
        <f t="array" ref="AK467">_xlfn.IFS(
HR_Data[[#This Row],[MonthlyIncome]]&lt;3000,"&lt;3K",
HR_Data[[#This Row],[MonthlyIncome]]&lt;6000,"3K-6K",
HR_Data[[#This Row],[MonthlyIncome]]&lt;10000,"6K-10K",
TRUE,"10K+"
)</f>
        <v>10K+</v>
      </c>
      <c r="AL467" t="str" cm="1">
        <f t="array" ref="AL467">_xlfn.IFS(
HR_Data[[#This Row],[YearsAtCompany]]&lt;2,"&lt;2 Years",
HR_Data[[#This Row],[YearsAtCompany]]&lt;5,"2-4 Years",
HR_Data[[#This Row],[YearsAtCompany]]&lt;10,"5-9 Years",
TRUE,"10+ Years"
)</f>
        <v>2-4 Years</v>
      </c>
      <c r="AM467" s="1">
        <f>IF(HR_Data[[#This Row],[Attrition]]="Yes",1,0)</f>
        <v>0</v>
      </c>
    </row>
    <row r="468" spans="1:39" x14ac:dyDescent="0.3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 cm="1">
        <f t="array" ref="AJ468">_xlfn.IFS(
HR_Data[[#This Row],[Age]]&lt;25,"Under 25",
HR_Data[[#This Row],[Age]]&lt;35,"25-34",
HR_Data[[#This Row],[Age]]&lt;45,"35-44",
HR_Data[[#This Row],[Age]]&lt;55,"45-54",
TRUE,"55+"
)</f>
        <v>35-44</v>
      </c>
      <c r="AK468" t="str" cm="1">
        <f t="array" ref="AK468">_xlfn.IFS(
HR_Data[[#This Row],[MonthlyIncome]]&lt;3000,"&lt;3K",
HR_Data[[#This Row],[MonthlyIncome]]&lt;6000,"3K-6K",
HR_Data[[#This Row],[MonthlyIncome]]&lt;10000,"6K-10K",
TRUE,"10K+"
)</f>
        <v>10K+</v>
      </c>
      <c r="AL468" t="str" cm="1">
        <f t="array" ref="AL468">_xlfn.IFS(
HR_Data[[#This Row],[YearsAtCompany]]&lt;2,"&lt;2 Years",
HR_Data[[#This Row],[YearsAtCompany]]&lt;5,"2-4 Years",
HR_Data[[#This Row],[YearsAtCompany]]&lt;10,"5-9 Years",
TRUE,"10+ Years"
)</f>
        <v>10+ Years</v>
      </c>
      <c r="AM468" s="1">
        <f>IF(HR_Data[[#This Row],[Attrition]]="Yes",1,0)</f>
        <v>0</v>
      </c>
    </row>
    <row r="469" spans="1:39" x14ac:dyDescent="0.3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 cm="1">
        <f t="array" ref="AJ469">_xlfn.IFS(
HR_Data[[#This Row],[Age]]&lt;25,"Under 25",
HR_Data[[#This Row],[Age]]&lt;35,"25-34",
HR_Data[[#This Row],[Age]]&lt;45,"35-44",
HR_Data[[#This Row],[Age]]&lt;55,"45-54",
TRUE,"55+"
)</f>
        <v>35-44</v>
      </c>
      <c r="AK469" t="str" cm="1">
        <f t="array" ref="AK469">_xlfn.IFS(
HR_Data[[#This Row],[MonthlyIncome]]&lt;3000,"&lt;3K",
HR_Data[[#This Row],[MonthlyIncome]]&lt;6000,"3K-6K",
HR_Data[[#This Row],[MonthlyIncome]]&lt;10000,"6K-10K",
TRUE,"10K+"
)</f>
        <v>6K-10K</v>
      </c>
      <c r="AL469" t="str" cm="1">
        <f t="array" ref="AL469">_xlfn.IFS(
HR_Data[[#This Row],[YearsAtCompany]]&lt;2,"&lt;2 Years",
HR_Data[[#This Row],[YearsAtCompany]]&lt;5,"2-4 Years",
HR_Data[[#This Row],[YearsAtCompany]]&lt;10,"5-9 Years",
TRUE,"10+ Years"
)</f>
        <v>5-9 Years</v>
      </c>
      <c r="AM469" s="1">
        <f>IF(HR_Data[[#This Row],[Attrition]]="Yes",1,0)</f>
        <v>0</v>
      </c>
    </row>
    <row r="470" spans="1:39" x14ac:dyDescent="0.3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 cm="1">
        <f t="array" ref="AJ470">_xlfn.IFS(
HR_Data[[#This Row],[Age]]&lt;25,"Under 25",
HR_Data[[#This Row],[Age]]&lt;35,"25-34",
HR_Data[[#This Row],[Age]]&lt;45,"35-44",
HR_Data[[#This Row],[Age]]&lt;55,"45-54",
TRUE,"55+"
)</f>
        <v>45-54</v>
      </c>
      <c r="AK470" t="str" cm="1">
        <f t="array" ref="AK470">_xlfn.IFS(
HR_Data[[#This Row],[MonthlyIncome]]&lt;3000,"&lt;3K",
HR_Data[[#This Row],[MonthlyIncome]]&lt;6000,"3K-6K",
HR_Data[[#This Row],[MonthlyIncome]]&lt;10000,"6K-10K",
TRUE,"10K+"
)</f>
        <v>3K-6K</v>
      </c>
      <c r="AL470" t="str" cm="1">
        <f t="array" ref="AL470">_xlfn.IFS(
HR_Data[[#This Row],[YearsAtCompany]]&lt;2,"&lt;2 Years",
HR_Data[[#This Row],[YearsAtCompany]]&lt;5,"2-4 Years",
HR_Data[[#This Row],[YearsAtCompany]]&lt;10,"5-9 Years",
TRUE,"10+ Years"
)</f>
        <v>10+ Years</v>
      </c>
      <c r="AM470" s="1">
        <f>IF(HR_Data[[#This Row],[Attrition]]="Yes",1,0)</f>
        <v>0</v>
      </c>
    </row>
    <row r="471" spans="1:39" x14ac:dyDescent="0.3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 cm="1">
        <f t="array" ref="AJ471">_xlfn.IFS(
HR_Data[[#This Row],[Age]]&lt;25,"Under 25",
HR_Data[[#This Row],[Age]]&lt;35,"25-34",
HR_Data[[#This Row],[Age]]&lt;45,"35-44",
HR_Data[[#This Row],[Age]]&lt;55,"45-54",
TRUE,"55+"
)</f>
        <v>25-34</v>
      </c>
      <c r="AK471" t="str" cm="1">
        <f t="array" ref="AK471">_xlfn.IFS(
HR_Data[[#This Row],[MonthlyIncome]]&lt;3000,"&lt;3K",
HR_Data[[#This Row],[MonthlyIncome]]&lt;6000,"3K-6K",
HR_Data[[#This Row],[MonthlyIncome]]&lt;10000,"6K-10K",
TRUE,"10K+"
)</f>
        <v>3K-6K</v>
      </c>
      <c r="AL471" t="str" cm="1">
        <f t="array" ref="AL471">_xlfn.IFS(
HR_Data[[#This Row],[YearsAtCompany]]&lt;2,"&lt;2 Years",
HR_Data[[#This Row],[YearsAtCompany]]&lt;5,"2-4 Years",
HR_Data[[#This Row],[YearsAtCompany]]&lt;10,"5-9 Years",
TRUE,"10+ Years"
)</f>
        <v>2-4 Years</v>
      </c>
      <c r="AM471" s="1">
        <f>IF(HR_Data[[#This Row],[Attrition]]="Yes",1,0)</f>
        <v>1</v>
      </c>
    </row>
    <row r="472" spans="1:39" x14ac:dyDescent="0.3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 cm="1">
        <f t="array" ref="AJ472">_xlfn.IFS(
HR_Data[[#This Row],[Age]]&lt;25,"Under 25",
HR_Data[[#This Row],[Age]]&lt;35,"25-34",
HR_Data[[#This Row],[Age]]&lt;45,"35-44",
HR_Data[[#This Row],[Age]]&lt;55,"45-54",
TRUE,"55+"
)</f>
        <v>Under 25</v>
      </c>
      <c r="AK472" t="str" cm="1">
        <f t="array" ref="AK472">_xlfn.IFS(
HR_Data[[#This Row],[MonthlyIncome]]&lt;3000,"&lt;3K",
HR_Data[[#This Row],[MonthlyIncome]]&lt;6000,"3K-6K",
HR_Data[[#This Row],[MonthlyIncome]]&lt;10000,"6K-10K",
TRUE,"10K+"
)</f>
        <v>&lt;3K</v>
      </c>
      <c r="AL472" t="str" cm="1">
        <f t="array" ref="AL472">_xlfn.IFS(
HR_Data[[#This Row],[YearsAtCompany]]&lt;2,"&lt;2 Years",
HR_Data[[#This Row],[YearsAtCompany]]&lt;5,"2-4 Years",
HR_Data[[#This Row],[YearsAtCompany]]&lt;10,"5-9 Years",
TRUE,"10+ Years"
)</f>
        <v>2-4 Years</v>
      </c>
      <c r="AM472" s="1">
        <f>IF(HR_Data[[#This Row],[Attrition]]="Yes",1,0)</f>
        <v>0</v>
      </c>
    </row>
    <row r="473" spans="1:39" x14ac:dyDescent="0.3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 cm="1">
        <f t="array" ref="AJ473">_xlfn.IFS(
HR_Data[[#This Row],[Age]]&lt;25,"Under 25",
HR_Data[[#This Row],[Age]]&lt;35,"25-34",
HR_Data[[#This Row],[Age]]&lt;45,"35-44",
HR_Data[[#This Row],[Age]]&lt;55,"45-54",
TRUE,"55+"
)</f>
        <v>35-44</v>
      </c>
      <c r="AK473" t="str" cm="1">
        <f t="array" ref="AK473">_xlfn.IFS(
HR_Data[[#This Row],[MonthlyIncome]]&lt;3000,"&lt;3K",
HR_Data[[#This Row],[MonthlyIncome]]&lt;6000,"3K-6K",
HR_Data[[#This Row],[MonthlyIncome]]&lt;10000,"6K-10K",
TRUE,"10K+"
)</f>
        <v>6K-10K</v>
      </c>
      <c r="AL473" t="str" cm="1">
        <f t="array" ref="AL473">_xlfn.IFS(
HR_Data[[#This Row],[YearsAtCompany]]&lt;2,"&lt;2 Years",
HR_Data[[#This Row],[YearsAtCompany]]&lt;5,"2-4 Years",
HR_Data[[#This Row],[YearsAtCompany]]&lt;10,"5-9 Years",
TRUE,"10+ Years"
)</f>
        <v>&lt;2 Years</v>
      </c>
      <c r="AM473" s="1">
        <f>IF(HR_Data[[#This Row],[Attrition]]="Yes",1,0)</f>
        <v>0</v>
      </c>
    </row>
    <row r="474" spans="1:39" x14ac:dyDescent="0.3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 cm="1">
        <f t="array" ref="AJ474">_xlfn.IFS(
HR_Data[[#This Row],[Age]]&lt;25,"Under 25",
HR_Data[[#This Row],[Age]]&lt;35,"25-34",
HR_Data[[#This Row],[Age]]&lt;45,"35-44",
HR_Data[[#This Row],[Age]]&lt;55,"45-54",
TRUE,"55+"
)</f>
        <v>35-44</v>
      </c>
      <c r="AK474" t="str" cm="1">
        <f t="array" ref="AK474">_xlfn.IFS(
HR_Data[[#This Row],[MonthlyIncome]]&lt;3000,"&lt;3K",
HR_Data[[#This Row],[MonthlyIncome]]&lt;6000,"3K-6K",
HR_Data[[#This Row],[MonthlyIncome]]&lt;10000,"6K-10K",
TRUE,"10K+"
)</f>
        <v>6K-10K</v>
      </c>
      <c r="AL474" t="str" cm="1">
        <f t="array" ref="AL474">_xlfn.IFS(
HR_Data[[#This Row],[YearsAtCompany]]&lt;2,"&lt;2 Years",
HR_Data[[#This Row],[YearsAtCompany]]&lt;5,"2-4 Years",
HR_Data[[#This Row],[YearsAtCompany]]&lt;10,"5-9 Years",
TRUE,"10+ Years"
)</f>
        <v>5-9 Years</v>
      </c>
      <c r="AM474" s="1">
        <f>IF(HR_Data[[#This Row],[Attrition]]="Yes",1,0)</f>
        <v>0</v>
      </c>
    </row>
    <row r="475" spans="1:39" x14ac:dyDescent="0.3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 cm="1">
        <f t="array" ref="AJ475">_xlfn.IFS(
HR_Data[[#This Row],[Age]]&lt;25,"Under 25",
HR_Data[[#This Row],[Age]]&lt;35,"25-34",
HR_Data[[#This Row],[Age]]&lt;45,"35-44",
HR_Data[[#This Row],[Age]]&lt;55,"45-54",
TRUE,"55+"
)</f>
        <v>45-54</v>
      </c>
      <c r="AK475" t="str" cm="1">
        <f t="array" ref="AK475">_xlfn.IFS(
HR_Data[[#This Row],[MonthlyIncome]]&lt;3000,"&lt;3K",
HR_Data[[#This Row],[MonthlyIncome]]&lt;6000,"3K-6K",
HR_Data[[#This Row],[MonthlyIncome]]&lt;10000,"6K-10K",
TRUE,"10K+"
)</f>
        <v>10K+</v>
      </c>
      <c r="AL475" t="str" cm="1">
        <f t="array" ref="AL475">_xlfn.IFS(
HR_Data[[#This Row],[YearsAtCompany]]&lt;2,"&lt;2 Years",
HR_Data[[#This Row],[YearsAtCompany]]&lt;5,"2-4 Years",
HR_Data[[#This Row],[YearsAtCompany]]&lt;10,"5-9 Years",
TRUE,"10+ Years"
)</f>
        <v>10+ Years</v>
      </c>
      <c r="AM475" s="1">
        <f>IF(HR_Data[[#This Row],[Attrition]]="Yes",1,0)</f>
        <v>0</v>
      </c>
    </row>
    <row r="476" spans="1:39" x14ac:dyDescent="0.3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 cm="1">
        <f t="array" ref="AJ476">_xlfn.IFS(
HR_Data[[#This Row],[Age]]&lt;25,"Under 25",
HR_Data[[#This Row],[Age]]&lt;35,"25-34",
HR_Data[[#This Row],[Age]]&lt;45,"35-44",
HR_Data[[#This Row],[Age]]&lt;55,"45-54",
TRUE,"55+"
)</f>
        <v>Under 25</v>
      </c>
      <c r="AK476" t="str" cm="1">
        <f t="array" ref="AK476">_xlfn.IFS(
HR_Data[[#This Row],[MonthlyIncome]]&lt;3000,"&lt;3K",
HR_Data[[#This Row],[MonthlyIncome]]&lt;6000,"3K-6K",
HR_Data[[#This Row],[MonthlyIncome]]&lt;10000,"6K-10K",
TRUE,"10K+"
)</f>
        <v>&lt;3K</v>
      </c>
      <c r="AL476" t="str" cm="1">
        <f t="array" ref="AL476">_xlfn.IFS(
HR_Data[[#This Row],[YearsAtCompany]]&lt;2,"&lt;2 Years",
HR_Data[[#This Row],[YearsAtCompany]]&lt;5,"2-4 Years",
HR_Data[[#This Row],[YearsAtCompany]]&lt;10,"5-9 Years",
TRUE,"10+ Years"
)</f>
        <v>5-9 Years</v>
      </c>
      <c r="AM476" s="1">
        <f>IF(HR_Data[[#This Row],[Attrition]]="Yes",1,0)</f>
        <v>0</v>
      </c>
    </row>
    <row r="477" spans="1:39" x14ac:dyDescent="0.3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 cm="1">
        <f t="array" ref="AJ477">_xlfn.IFS(
HR_Data[[#This Row],[Age]]&lt;25,"Under 25",
HR_Data[[#This Row],[Age]]&lt;35,"25-34",
HR_Data[[#This Row],[Age]]&lt;45,"35-44",
HR_Data[[#This Row],[Age]]&lt;55,"45-54",
TRUE,"55+"
)</f>
        <v>25-34</v>
      </c>
      <c r="AK477" t="str" cm="1">
        <f t="array" ref="AK477">_xlfn.IFS(
HR_Data[[#This Row],[MonthlyIncome]]&lt;3000,"&lt;3K",
HR_Data[[#This Row],[MonthlyIncome]]&lt;6000,"3K-6K",
HR_Data[[#This Row],[MonthlyIncome]]&lt;10000,"6K-10K",
TRUE,"10K+"
)</f>
        <v>6K-10K</v>
      </c>
      <c r="AL477" t="str" cm="1">
        <f t="array" ref="AL477">_xlfn.IFS(
HR_Data[[#This Row],[YearsAtCompany]]&lt;2,"&lt;2 Years",
HR_Data[[#This Row],[YearsAtCompany]]&lt;5,"2-4 Years",
HR_Data[[#This Row],[YearsAtCompany]]&lt;10,"5-9 Years",
TRUE,"10+ Years"
)</f>
        <v>5-9 Years</v>
      </c>
      <c r="AM477" s="1">
        <f>IF(HR_Data[[#This Row],[Attrition]]="Yes",1,0)</f>
        <v>0</v>
      </c>
    </row>
    <row r="478" spans="1:39" x14ac:dyDescent="0.3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 cm="1">
        <f t="array" ref="AJ478">_xlfn.IFS(
HR_Data[[#This Row],[Age]]&lt;25,"Under 25",
HR_Data[[#This Row],[Age]]&lt;35,"25-34",
HR_Data[[#This Row],[Age]]&lt;45,"35-44",
HR_Data[[#This Row],[Age]]&lt;55,"45-54",
TRUE,"55+"
)</f>
        <v>Under 25</v>
      </c>
      <c r="AK478" t="str" cm="1">
        <f t="array" ref="AK478">_xlfn.IFS(
HR_Data[[#This Row],[MonthlyIncome]]&lt;3000,"&lt;3K",
HR_Data[[#This Row],[MonthlyIncome]]&lt;6000,"3K-6K",
HR_Data[[#This Row],[MonthlyIncome]]&lt;10000,"6K-10K",
TRUE,"10K+"
)</f>
        <v>&lt;3K</v>
      </c>
      <c r="AL478" t="str" cm="1">
        <f t="array" ref="AL478">_xlfn.IFS(
HR_Data[[#This Row],[YearsAtCompany]]&lt;2,"&lt;2 Years",
HR_Data[[#This Row],[YearsAtCompany]]&lt;5,"2-4 Years",
HR_Data[[#This Row],[YearsAtCompany]]&lt;10,"5-9 Years",
TRUE,"10+ Years"
)</f>
        <v>&lt;2 Years</v>
      </c>
      <c r="AM478" s="1">
        <f>IF(HR_Data[[#This Row],[Attrition]]="Yes",1,0)</f>
        <v>0</v>
      </c>
    </row>
    <row r="479" spans="1:39" x14ac:dyDescent="0.3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 cm="1">
        <f t="array" ref="AJ479">_xlfn.IFS(
HR_Data[[#This Row],[Age]]&lt;25,"Under 25",
HR_Data[[#This Row],[Age]]&lt;35,"25-34",
HR_Data[[#This Row],[Age]]&lt;45,"35-44",
HR_Data[[#This Row],[Age]]&lt;55,"45-54",
TRUE,"55+"
)</f>
        <v>45-54</v>
      </c>
      <c r="AK479" t="str" cm="1">
        <f t="array" ref="AK479">_xlfn.IFS(
HR_Data[[#This Row],[MonthlyIncome]]&lt;3000,"&lt;3K",
HR_Data[[#This Row],[MonthlyIncome]]&lt;6000,"3K-6K",
HR_Data[[#This Row],[MonthlyIncome]]&lt;10000,"6K-10K",
TRUE,"10K+"
)</f>
        <v>10K+</v>
      </c>
      <c r="AL479" t="str" cm="1">
        <f t="array" ref="AL479">_xlfn.IFS(
HR_Data[[#This Row],[YearsAtCompany]]&lt;2,"&lt;2 Years",
HR_Data[[#This Row],[YearsAtCompany]]&lt;5,"2-4 Years",
HR_Data[[#This Row],[YearsAtCompany]]&lt;10,"5-9 Years",
TRUE,"10+ Years"
)</f>
        <v>10+ Years</v>
      </c>
      <c r="AM479" s="1">
        <f>IF(HR_Data[[#This Row],[Attrition]]="Yes",1,0)</f>
        <v>0</v>
      </c>
    </row>
    <row r="480" spans="1:39" x14ac:dyDescent="0.3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 cm="1">
        <f t="array" ref="AJ480">_xlfn.IFS(
HR_Data[[#This Row],[Age]]&lt;25,"Under 25",
HR_Data[[#This Row],[Age]]&lt;35,"25-34",
HR_Data[[#This Row],[Age]]&lt;45,"35-44",
HR_Data[[#This Row],[Age]]&lt;55,"45-54",
TRUE,"55+"
)</f>
        <v>25-34</v>
      </c>
      <c r="AK480" t="str" cm="1">
        <f t="array" ref="AK480">_xlfn.IFS(
HR_Data[[#This Row],[MonthlyIncome]]&lt;3000,"&lt;3K",
HR_Data[[#This Row],[MonthlyIncome]]&lt;6000,"3K-6K",
HR_Data[[#This Row],[MonthlyIncome]]&lt;10000,"6K-10K",
TRUE,"10K+"
)</f>
        <v>&lt;3K</v>
      </c>
      <c r="AL480" t="str" cm="1">
        <f t="array" ref="AL480">_xlfn.IFS(
HR_Data[[#This Row],[YearsAtCompany]]&lt;2,"&lt;2 Years",
HR_Data[[#This Row],[YearsAtCompany]]&lt;5,"2-4 Years",
HR_Data[[#This Row],[YearsAtCompany]]&lt;10,"5-9 Years",
TRUE,"10+ Years"
)</f>
        <v>5-9 Years</v>
      </c>
      <c r="AM480" s="1">
        <f>IF(HR_Data[[#This Row],[Attrition]]="Yes",1,0)</f>
        <v>0</v>
      </c>
    </row>
    <row r="481" spans="1:39" x14ac:dyDescent="0.3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 cm="1">
        <f t="array" ref="AJ481">_xlfn.IFS(
HR_Data[[#This Row],[Age]]&lt;25,"Under 25",
HR_Data[[#This Row],[Age]]&lt;35,"25-34",
HR_Data[[#This Row],[Age]]&lt;45,"35-44",
HR_Data[[#This Row],[Age]]&lt;55,"45-54",
TRUE,"55+"
)</f>
        <v>Under 25</v>
      </c>
      <c r="AK481" t="str" cm="1">
        <f t="array" ref="AK481">_xlfn.IFS(
HR_Data[[#This Row],[MonthlyIncome]]&lt;3000,"&lt;3K",
HR_Data[[#This Row],[MonthlyIncome]]&lt;6000,"3K-6K",
HR_Data[[#This Row],[MonthlyIncome]]&lt;10000,"6K-10K",
TRUE,"10K+"
)</f>
        <v>&lt;3K</v>
      </c>
      <c r="AL481" t="str" cm="1">
        <f t="array" ref="AL481">_xlfn.IFS(
HR_Data[[#This Row],[YearsAtCompany]]&lt;2,"&lt;2 Years",
HR_Data[[#This Row],[YearsAtCompany]]&lt;5,"2-4 Years",
HR_Data[[#This Row],[YearsAtCompany]]&lt;10,"5-9 Years",
TRUE,"10+ Years"
)</f>
        <v>5-9 Years</v>
      </c>
      <c r="AM481" s="1">
        <f>IF(HR_Data[[#This Row],[Attrition]]="Yes",1,0)</f>
        <v>1</v>
      </c>
    </row>
    <row r="482" spans="1:39" x14ac:dyDescent="0.3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 cm="1">
        <f t="array" ref="AJ482">_xlfn.IFS(
HR_Data[[#This Row],[Age]]&lt;25,"Under 25",
HR_Data[[#This Row],[Age]]&lt;35,"25-34",
HR_Data[[#This Row],[Age]]&lt;45,"35-44",
HR_Data[[#This Row],[Age]]&lt;55,"45-54",
TRUE,"55+"
)</f>
        <v>25-34</v>
      </c>
      <c r="AK482" t="str" cm="1">
        <f t="array" ref="AK482">_xlfn.IFS(
HR_Data[[#This Row],[MonthlyIncome]]&lt;3000,"&lt;3K",
HR_Data[[#This Row],[MonthlyIncome]]&lt;6000,"3K-6K",
HR_Data[[#This Row],[MonthlyIncome]]&lt;10000,"6K-10K",
TRUE,"10K+"
)</f>
        <v>&lt;3K</v>
      </c>
      <c r="AL482" t="str" cm="1">
        <f t="array" ref="AL482">_xlfn.IFS(
HR_Data[[#This Row],[YearsAtCompany]]&lt;2,"&lt;2 Years",
HR_Data[[#This Row],[YearsAtCompany]]&lt;5,"2-4 Years",
HR_Data[[#This Row],[YearsAtCompany]]&lt;10,"5-9 Years",
TRUE,"10+ Years"
)</f>
        <v>&lt;2 Years</v>
      </c>
      <c r="AM482" s="1">
        <f>IF(HR_Data[[#This Row],[Attrition]]="Yes",1,0)</f>
        <v>1</v>
      </c>
    </row>
    <row r="483" spans="1:39" x14ac:dyDescent="0.3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 cm="1">
        <f t="array" ref="AJ483">_xlfn.IFS(
HR_Data[[#This Row],[Age]]&lt;25,"Under 25",
HR_Data[[#This Row],[Age]]&lt;35,"25-34",
HR_Data[[#This Row],[Age]]&lt;45,"35-44",
HR_Data[[#This Row],[Age]]&lt;55,"45-54",
TRUE,"55+"
)</f>
        <v>25-34</v>
      </c>
      <c r="AK483" t="str" cm="1">
        <f t="array" ref="AK483">_xlfn.IFS(
HR_Data[[#This Row],[MonthlyIncome]]&lt;3000,"&lt;3K",
HR_Data[[#This Row],[MonthlyIncome]]&lt;6000,"3K-6K",
HR_Data[[#This Row],[MonthlyIncome]]&lt;10000,"6K-10K",
TRUE,"10K+"
)</f>
        <v>3K-6K</v>
      </c>
      <c r="AL483" t="str" cm="1">
        <f t="array" ref="AL483">_xlfn.IFS(
HR_Data[[#This Row],[YearsAtCompany]]&lt;2,"&lt;2 Years",
HR_Data[[#This Row],[YearsAtCompany]]&lt;5,"2-4 Years",
HR_Data[[#This Row],[YearsAtCompany]]&lt;10,"5-9 Years",
TRUE,"10+ Years"
)</f>
        <v>5-9 Years</v>
      </c>
      <c r="AM483" s="1">
        <f>IF(HR_Data[[#This Row],[Attrition]]="Yes",1,0)</f>
        <v>0</v>
      </c>
    </row>
    <row r="484" spans="1:39" x14ac:dyDescent="0.3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 cm="1">
        <f t="array" ref="AJ484">_xlfn.IFS(
HR_Data[[#This Row],[Age]]&lt;25,"Under 25",
HR_Data[[#This Row],[Age]]&lt;35,"25-34",
HR_Data[[#This Row],[Age]]&lt;45,"35-44",
HR_Data[[#This Row],[Age]]&lt;55,"45-54",
TRUE,"55+"
)</f>
        <v>25-34</v>
      </c>
      <c r="AK484" t="str" cm="1">
        <f t="array" ref="AK484">_xlfn.IFS(
HR_Data[[#This Row],[MonthlyIncome]]&lt;3000,"&lt;3K",
HR_Data[[#This Row],[MonthlyIncome]]&lt;6000,"3K-6K",
HR_Data[[#This Row],[MonthlyIncome]]&lt;10000,"6K-10K",
TRUE,"10K+"
)</f>
        <v>3K-6K</v>
      </c>
      <c r="AL484" t="str" cm="1">
        <f t="array" ref="AL484">_xlfn.IFS(
HR_Data[[#This Row],[YearsAtCompany]]&lt;2,"&lt;2 Years",
HR_Data[[#This Row],[YearsAtCompany]]&lt;5,"2-4 Years",
HR_Data[[#This Row],[YearsAtCompany]]&lt;10,"5-9 Years",
TRUE,"10+ Years"
)</f>
        <v>2-4 Years</v>
      </c>
      <c r="AM484" s="1">
        <f>IF(HR_Data[[#This Row],[Attrition]]="Yes",1,0)</f>
        <v>1</v>
      </c>
    </row>
    <row r="485" spans="1:39" x14ac:dyDescent="0.3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 cm="1">
        <f t="array" ref="AJ485">_xlfn.IFS(
HR_Data[[#This Row],[Age]]&lt;25,"Under 25",
HR_Data[[#This Row],[Age]]&lt;35,"25-34",
HR_Data[[#This Row],[Age]]&lt;45,"35-44",
HR_Data[[#This Row],[Age]]&lt;55,"45-54",
TRUE,"55+"
)</f>
        <v>35-44</v>
      </c>
      <c r="AK485" t="str" cm="1">
        <f t="array" ref="AK485">_xlfn.IFS(
HR_Data[[#This Row],[MonthlyIncome]]&lt;3000,"&lt;3K",
HR_Data[[#This Row],[MonthlyIncome]]&lt;6000,"3K-6K",
HR_Data[[#This Row],[MonthlyIncome]]&lt;10000,"6K-10K",
TRUE,"10K+"
)</f>
        <v>3K-6K</v>
      </c>
      <c r="AL485" t="str" cm="1">
        <f t="array" ref="AL485">_xlfn.IFS(
HR_Data[[#This Row],[YearsAtCompany]]&lt;2,"&lt;2 Years",
HR_Data[[#This Row],[YearsAtCompany]]&lt;5,"2-4 Years",
HR_Data[[#This Row],[YearsAtCompany]]&lt;10,"5-9 Years",
TRUE,"10+ Years"
)</f>
        <v>2-4 Years</v>
      </c>
      <c r="AM485" s="1">
        <f>IF(HR_Data[[#This Row],[Attrition]]="Yes",1,0)</f>
        <v>0</v>
      </c>
    </row>
    <row r="486" spans="1:39" x14ac:dyDescent="0.3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 cm="1">
        <f t="array" ref="AJ486">_xlfn.IFS(
HR_Data[[#This Row],[Age]]&lt;25,"Under 25",
HR_Data[[#This Row],[Age]]&lt;35,"25-34",
HR_Data[[#This Row],[Age]]&lt;45,"35-44",
HR_Data[[#This Row],[Age]]&lt;55,"45-54",
TRUE,"55+"
)</f>
        <v>25-34</v>
      </c>
      <c r="AK486" t="str" cm="1">
        <f t="array" ref="AK486">_xlfn.IFS(
HR_Data[[#This Row],[MonthlyIncome]]&lt;3000,"&lt;3K",
HR_Data[[#This Row],[MonthlyIncome]]&lt;6000,"3K-6K",
HR_Data[[#This Row],[MonthlyIncome]]&lt;10000,"6K-10K",
TRUE,"10K+"
)</f>
        <v>3K-6K</v>
      </c>
      <c r="AL486" t="str" cm="1">
        <f t="array" ref="AL486">_xlfn.IFS(
HR_Data[[#This Row],[YearsAtCompany]]&lt;2,"&lt;2 Years",
HR_Data[[#This Row],[YearsAtCompany]]&lt;5,"2-4 Years",
HR_Data[[#This Row],[YearsAtCompany]]&lt;10,"5-9 Years",
TRUE,"10+ Years"
)</f>
        <v>5-9 Years</v>
      </c>
      <c r="AM486" s="1">
        <f>IF(HR_Data[[#This Row],[Attrition]]="Yes",1,0)</f>
        <v>0</v>
      </c>
    </row>
    <row r="487" spans="1:39" x14ac:dyDescent="0.3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 cm="1">
        <f t="array" ref="AJ487">_xlfn.IFS(
HR_Data[[#This Row],[Age]]&lt;25,"Under 25",
HR_Data[[#This Row],[Age]]&lt;35,"25-34",
HR_Data[[#This Row],[Age]]&lt;45,"35-44",
HR_Data[[#This Row],[Age]]&lt;55,"45-54",
TRUE,"55+"
)</f>
        <v>25-34</v>
      </c>
      <c r="AK487" t="str" cm="1">
        <f t="array" ref="AK487">_xlfn.IFS(
HR_Data[[#This Row],[MonthlyIncome]]&lt;3000,"&lt;3K",
HR_Data[[#This Row],[MonthlyIncome]]&lt;6000,"3K-6K",
HR_Data[[#This Row],[MonthlyIncome]]&lt;10000,"6K-10K",
TRUE,"10K+"
)</f>
        <v>&lt;3K</v>
      </c>
      <c r="AL487" t="str" cm="1">
        <f t="array" ref="AL487">_xlfn.IFS(
HR_Data[[#This Row],[YearsAtCompany]]&lt;2,"&lt;2 Years",
HR_Data[[#This Row],[YearsAtCompany]]&lt;5,"2-4 Years",
HR_Data[[#This Row],[YearsAtCompany]]&lt;10,"5-9 Years",
TRUE,"10+ Years"
)</f>
        <v>5-9 Years</v>
      </c>
      <c r="AM487" s="1">
        <f>IF(HR_Data[[#This Row],[Attrition]]="Yes",1,0)</f>
        <v>0</v>
      </c>
    </row>
    <row r="488" spans="1:39" x14ac:dyDescent="0.3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 cm="1">
        <f t="array" ref="AJ488">_xlfn.IFS(
HR_Data[[#This Row],[Age]]&lt;25,"Under 25",
HR_Data[[#This Row],[Age]]&lt;35,"25-34",
HR_Data[[#This Row],[Age]]&lt;45,"35-44",
HR_Data[[#This Row],[Age]]&lt;55,"45-54",
TRUE,"55+"
)</f>
        <v>35-44</v>
      </c>
      <c r="AK488" t="str" cm="1">
        <f t="array" ref="AK488">_xlfn.IFS(
HR_Data[[#This Row],[MonthlyIncome]]&lt;3000,"&lt;3K",
HR_Data[[#This Row],[MonthlyIncome]]&lt;6000,"3K-6K",
HR_Data[[#This Row],[MonthlyIncome]]&lt;10000,"6K-10K",
TRUE,"10K+"
)</f>
        <v>6K-10K</v>
      </c>
      <c r="AL488" t="str" cm="1">
        <f t="array" ref="AL488">_xlfn.IFS(
HR_Data[[#This Row],[YearsAtCompany]]&lt;2,"&lt;2 Years",
HR_Data[[#This Row],[YearsAtCompany]]&lt;5,"2-4 Years",
HR_Data[[#This Row],[YearsAtCompany]]&lt;10,"5-9 Years",
TRUE,"10+ Years"
)</f>
        <v>2-4 Years</v>
      </c>
      <c r="AM488" s="1">
        <f>IF(HR_Data[[#This Row],[Attrition]]="Yes",1,0)</f>
        <v>0</v>
      </c>
    </row>
    <row r="489" spans="1:39" x14ac:dyDescent="0.3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 cm="1">
        <f t="array" ref="AJ489">_xlfn.IFS(
HR_Data[[#This Row],[Age]]&lt;25,"Under 25",
HR_Data[[#This Row],[Age]]&lt;35,"25-34",
HR_Data[[#This Row],[Age]]&lt;45,"35-44",
HR_Data[[#This Row],[Age]]&lt;55,"45-54",
TRUE,"55+"
)</f>
        <v>Under 25</v>
      </c>
      <c r="AK489" t="str" cm="1">
        <f t="array" ref="AK489">_xlfn.IFS(
HR_Data[[#This Row],[MonthlyIncome]]&lt;3000,"&lt;3K",
HR_Data[[#This Row],[MonthlyIncome]]&lt;6000,"3K-6K",
HR_Data[[#This Row],[MonthlyIncome]]&lt;10000,"6K-10K",
TRUE,"10K+"
)</f>
        <v>&lt;3K</v>
      </c>
      <c r="AL489" t="str" cm="1">
        <f t="array" ref="AL489">_xlfn.IFS(
HR_Data[[#This Row],[YearsAtCompany]]&lt;2,"&lt;2 Years",
HR_Data[[#This Row],[YearsAtCompany]]&lt;5,"2-4 Years",
HR_Data[[#This Row],[YearsAtCompany]]&lt;10,"5-9 Years",
TRUE,"10+ Years"
)</f>
        <v>&lt;2 Years</v>
      </c>
      <c r="AM489" s="1">
        <f>IF(HR_Data[[#This Row],[Attrition]]="Yes",1,0)</f>
        <v>0</v>
      </c>
    </row>
    <row r="490" spans="1:39" x14ac:dyDescent="0.3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 cm="1">
        <f t="array" ref="AJ490">_xlfn.IFS(
HR_Data[[#This Row],[Age]]&lt;25,"Under 25",
HR_Data[[#This Row],[Age]]&lt;35,"25-34",
HR_Data[[#This Row],[Age]]&lt;45,"35-44",
HR_Data[[#This Row],[Age]]&lt;55,"45-54",
TRUE,"55+"
)</f>
        <v>35-44</v>
      </c>
      <c r="AK490" t="str" cm="1">
        <f t="array" ref="AK490">_xlfn.IFS(
HR_Data[[#This Row],[MonthlyIncome]]&lt;3000,"&lt;3K",
HR_Data[[#This Row],[MonthlyIncome]]&lt;6000,"3K-6K",
HR_Data[[#This Row],[MonthlyIncome]]&lt;10000,"6K-10K",
TRUE,"10K+"
)</f>
        <v>3K-6K</v>
      </c>
      <c r="AL490" t="str" cm="1">
        <f t="array" ref="AL490">_xlfn.IFS(
HR_Data[[#This Row],[YearsAtCompany]]&lt;2,"&lt;2 Years",
HR_Data[[#This Row],[YearsAtCompany]]&lt;5,"2-4 Years",
HR_Data[[#This Row],[YearsAtCompany]]&lt;10,"5-9 Years",
TRUE,"10+ Years"
)</f>
        <v>10+ Years</v>
      </c>
      <c r="AM490" s="1">
        <f>IF(HR_Data[[#This Row],[Attrition]]="Yes",1,0)</f>
        <v>0</v>
      </c>
    </row>
    <row r="491" spans="1:39" x14ac:dyDescent="0.3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 cm="1">
        <f t="array" ref="AJ491">_xlfn.IFS(
HR_Data[[#This Row],[Age]]&lt;25,"Under 25",
HR_Data[[#This Row],[Age]]&lt;35,"25-34",
HR_Data[[#This Row],[Age]]&lt;45,"35-44",
HR_Data[[#This Row],[Age]]&lt;55,"45-54",
TRUE,"55+"
)</f>
        <v>35-44</v>
      </c>
      <c r="AK491" t="str" cm="1">
        <f t="array" ref="AK491">_xlfn.IFS(
HR_Data[[#This Row],[MonthlyIncome]]&lt;3000,"&lt;3K",
HR_Data[[#This Row],[MonthlyIncome]]&lt;6000,"3K-6K",
HR_Data[[#This Row],[MonthlyIncome]]&lt;10000,"6K-10K",
TRUE,"10K+"
)</f>
        <v>10K+</v>
      </c>
      <c r="AL491" t="str" cm="1">
        <f t="array" ref="AL491">_xlfn.IFS(
HR_Data[[#This Row],[YearsAtCompany]]&lt;2,"&lt;2 Years",
HR_Data[[#This Row],[YearsAtCompany]]&lt;5,"2-4 Years",
HR_Data[[#This Row],[YearsAtCompany]]&lt;10,"5-9 Years",
TRUE,"10+ Years"
)</f>
        <v>&lt;2 Years</v>
      </c>
      <c r="AM491" s="1">
        <f>IF(HR_Data[[#This Row],[Attrition]]="Yes",1,0)</f>
        <v>0</v>
      </c>
    </row>
    <row r="492" spans="1:39" x14ac:dyDescent="0.3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 cm="1">
        <f t="array" ref="AJ492">_xlfn.IFS(
HR_Data[[#This Row],[Age]]&lt;25,"Under 25",
HR_Data[[#This Row],[Age]]&lt;35,"25-34",
HR_Data[[#This Row],[Age]]&lt;45,"35-44",
HR_Data[[#This Row],[Age]]&lt;55,"45-54",
TRUE,"55+"
)</f>
        <v>35-44</v>
      </c>
      <c r="AK492" t="str" cm="1">
        <f t="array" ref="AK492">_xlfn.IFS(
HR_Data[[#This Row],[MonthlyIncome]]&lt;3000,"&lt;3K",
HR_Data[[#This Row],[MonthlyIncome]]&lt;6000,"3K-6K",
HR_Data[[#This Row],[MonthlyIncome]]&lt;10000,"6K-10K",
TRUE,"10K+"
)</f>
        <v>&lt;3K</v>
      </c>
      <c r="AL492" t="str" cm="1">
        <f t="array" ref="AL492">_xlfn.IFS(
HR_Data[[#This Row],[YearsAtCompany]]&lt;2,"&lt;2 Years",
HR_Data[[#This Row],[YearsAtCompany]]&lt;5,"2-4 Years",
HR_Data[[#This Row],[YearsAtCompany]]&lt;10,"5-9 Years",
TRUE,"10+ Years"
)</f>
        <v>&lt;2 Years</v>
      </c>
      <c r="AM492" s="1">
        <f>IF(HR_Data[[#This Row],[Attrition]]="Yes",1,0)</f>
        <v>0</v>
      </c>
    </row>
    <row r="493" spans="1:39" x14ac:dyDescent="0.3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 cm="1">
        <f t="array" ref="AJ493">_xlfn.IFS(
HR_Data[[#This Row],[Age]]&lt;25,"Under 25",
HR_Data[[#This Row],[Age]]&lt;35,"25-34",
HR_Data[[#This Row],[Age]]&lt;45,"35-44",
HR_Data[[#This Row],[Age]]&lt;55,"45-54",
TRUE,"55+"
)</f>
        <v>35-44</v>
      </c>
      <c r="AK493" t="str" cm="1">
        <f t="array" ref="AK493">_xlfn.IFS(
HR_Data[[#This Row],[MonthlyIncome]]&lt;3000,"&lt;3K",
HR_Data[[#This Row],[MonthlyIncome]]&lt;6000,"3K-6K",
HR_Data[[#This Row],[MonthlyIncome]]&lt;10000,"6K-10K",
TRUE,"10K+"
)</f>
        <v>3K-6K</v>
      </c>
      <c r="AL493" t="str" cm="1">
        <f t="array" ref="AL493">_xlfn.IFS(
HR_Data[[#This Row],[YearsAtCompany]]&lt;2,"&lt;2 Years",
HR_Data[[#This Row],[YearsAtCompany]]&lt;5,"2-4 Years",
HR_Data[[#This Row],[YearsAtCompany]]&lt;10,"5-9 Years",
TRUE,"10+ Years"
)</f>
        <v>5-9 Years</v>
      </c>
      <c r="AM493" s="1">
        <f>IF(HR_Data[[#This Row],[Attrition]]="Yes",1,0)</f>
        <v>0</v>
      </c>
    </row>
    <row r="494" spans="1:39" x14ac:dyDescent="0.3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 cm="1">
        <f t="array" ref="AJ494">_xlfn.IFS(
HR_Data[[#This Row],[Age]]&lt;25,"Under 25",
HR_Data[[#This Row],[Age]]&lt;35,"25-34",
HR_Data[[#This Row],[Age]]&lt;45,"35-44",
HR_Data[[#This Row],[Age]]&lt;55,"45-54",
TRUE,"55+"
)</f>
        <v>45-54</v>
      </c>
      <c r="AK494" t="str" cm="1">
        <f t="array" ref="AK494">_xlfn.IFS(
HR_Data[[#This Row],[MonthlyIncome]]&lt;3000,"&lt;3K",
HR_Data[[#This Row],[MonthlyIncome]]&lt;6000,"3K-6K",
HR_Data[[#This Row],[MonthlyIncome]]&lt;10000,"6K-10K",
TRUE,"10K+"
)</f>
        <v>10K+</v>
      </c>
      <c r="AL494" t="str" cm="1">
        <f t="array" ref="AL494">_xlfn.IFS(
HR_Data[[#This Row],[YearsAtCompany]]&lt;2,"&lt;2 Years",
HR_Data[[#This Row],[YearsAtCompany]]&lt;5,"2-4 Years",
HR_Data[[#This Row],[YearsAtCompany]]&lt;10,"5-9 Years",
TRUE,"10+ Years"
)</f>
        <v>2-4 Years</v>
      </c>
      <c r="AM494" s="1">
        <f>IF(HR_Data[[#This Row],[Attrition]]="Yes",1,0)</f>
        <v>0</v>
      </c>
    </row>
    <row r="495" spans="1:39" x14ac:dyDescent="0.3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 cm="1">
        <f t="array" ref="AJ495">_xlfn.IFS(
HR_Data[[#This Row],[Age]]&lt;25,"Under 25",
HR_Data[[#This Row],[Age]]&lt;35,"25-34",
HR_Data[[#This Row],[Age]]&lt;45,"35-44",
HR_Data[[#This Row],[Age]]&lt;55,"45-54",
TRUE,"55+"
)</f>
        <v>35-44</v>
      </c>
      <c r="AK495" t="str" cm="1">
        <f t="array" ref="AK495">_xlfn.IFS(
HR_Data[[#This Row],[MonthlyIncome]]&lt;3000,"&lt;3K",
HR_Data[[#This Row],[MonthlyIncome]]&lt;6000,"3K-6K",
HR_Data[[#This Row],[MonthlyIncome]]&lt;10000,"6K-10K",
TRUE,"10K+"
)</f>
        <v>3K-6K</v>
      </c>
      <c r="AL495" t="str" cm="1">
        <f t="array" ref="AL495">_xlfn.IFS(
HR_Data[[#This Row],[YearsAtCompany]]&lt;2,"&lt;2 Years",
HR_Data[[#This Row],[YearsAtCompany]]&lt;5,"2-4 Years",
HR_Data[[#This Row],[YearsAtCompany]]&lt;10,"5-9 Years",
TRUE,"10+ Years"
)</f>
        <v>2-4 Years</v>
      </c>
      <c r="AM495" s="1">
        <f>IF(HR_Data[[#This Row],[Attrition]]="Yes",1,0)</f>
        <v>0</v>
      </c>
    </row>
    <row r="496" spans="1:39" x14ac:dyDescent="0.3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 cm="1">
        <f t="array" ref="AJ496">_xlfn.IFS(
HR_Data[[#This Row],[Age]]&lt;25,"Under 25",
HR_Data[[#This Row],[Age]]&lt;35,"25-34",
HR_Data[[#This Row],[Age]]&lt;45,"35-44",
HR_Data[[#This Row],[Age]]&lt;55,"45-54",
TRUE,"55+"
)</f>
        <v>25-34</v>
      </c>
      <c r="AK496" t="str" cm="1">
        <f t="array" ref="AK496">_xlfn.IFS(
HR_Data[[#This Row],[MonthlyIncome]]&lt;3000,"&lt;3K",
HR_Data[[#This Row],[MonthlyIncome]]&lt;6000,"3K-6K",
HR_Data[[#This Row],[MonthlyIncome]]&lt;10000,"6K-10K",
TRUE,"10K+"
)</f>
        <v>&lt;3K</v>
      </c>
      <c r="AL496" t="str" cm="1">
        <f t="array" ref="AL496">_xlfn.IFS(
HR_Data[[#This Row],[YearsAtCompany]]&lt;2,"&lt;2 Years",
HR_Data[[#This Row],[YearsAtCompany]]&lt;5,"2-4 Years",
HR_Data[[#This Row],[YearsAtCompany]]&lt;10,"5-9 Years",
TRUE,"10+ Years"
)</f>
        <v>5-9 Years</v>
      </c>
      <c r="AM496" s="1">
        <f>IF(HR_Data[[#This Row],[Attrition]]="Yes",1,0)</f>
        <v>0</v>
      </c>
    </row>
    <row r="497" spans="1:39" x14ac:dyDescent="0.3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 cm="1">
        <f t="array" ref="AJ497">_xlfn.IFS(
HR_Data[[#This Row],[Age]]&lt;25,"Under 25",
HR_Data[[#This Row],[Age]]&lt;35,"25-34",
HR_Data[[#This Row],[Age]]&lt;45,"35-44",
HR_Data[[#This Row],[Age]]&lt;55,"45-54",
TRUE,"55+"
)</f>
        <v>25-34</v>
      </c>
      <c r="AK497" t="str" cm="1">
        <f t="array" ref="AK497">_xlfn.IFS(
HR_Data[[#This Row],[MonthlyIncome]]&lt;3000,"&lt;3K",
HR_Data[[#This Row],[MonthlyIncome]]&lt;6000,"3K-6K",
HR_Data[[#This Row],[MonthlyIncome]]&lt;10000,"6K-10K",
TRUE,"10K+"
)</f>
        <v>3K-6K</v>
      </c>
      <c r="AL497" t="str" cm="1">
        <f t="array" ref="AL497">_xlfn.IFS(
HR_Data[[#This Row],[YearsAtCompany]]&lt;2,"&lt;2 Years",
HR_Data[[#This Row],[YearsAtCompany]]&lt;5,"2-4 Years",
HR_Data[[#This Row],[YearsAtCompany]]&lt;10,"5-9 Years",
TRUE,"10+ Years"
)</f>
        <v>2-4 Years</v>
      </c>
      <c r="AM497" s="1">
        <f>IF(HR_Data[[#This Row],[Attrition]]="Yes",1,0)</f>
        <v>1</v>
      </c>
    </row>
    <row r="498" spans="1:39" x14ac:dyDescent="0.3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 cm="1">
        <f t="array" ref="AJ498">_xlfn.IFS(
HR_Data[[#This Row],[Age]]&lt;25,"Under 25",
HR_Data[[#This Row],[Age]]&lt;35,"25-34",
HR_Data[[#This Row],[Age]]&lt;45,"35-44",
HR_Data[[#This Row],[Age]]&lt;55,"45-54",
TRUE,"55+"
)</f>
        <v>Under 25</v>
      </c>
      <c r="AK498" t="str" cm="1">
        <f t="array" ref="AK498">_xlfn.IFS(
HR_Data[[#This Row],[MonthlyIncome]]&lt;3000,"&lt;3K",
HR_Data[[#This Row],[MonthlyIncome]]&lt;6000,"3K-6K",
HR_Data[[#This Row],[MonthlyIncome]]&lt;10000,"6K-10K",
TRUE,"10K+"
)</f>
        <v>3K-6K</v>
      </c>
      <c r="AL498" t="str" cm="1">
        <f t="array" ref="AL498">_xlfn.IFS(
HR_Data[[#This Row],[YearsAtCompany]]&lt;2,"&lt;2 Years",
HR_Data[[#This Row],[YearsAtCompany]]&lt;5,"2-4 Years",
HR_Data[[#This Row],[YearsAtCompany]]&lt;10,"5-9 Years",
TRUE,"10+ Years"
)</f>
        <v>2-4 Years</v>
      </c>
      <c r="AM498" s="1">
        <f>IF(HR_Data[[#This Row],[Attrition]]="Yes",1,0)</f>
        <v>0</v>
      </c>
    </row>
    <row r="499" spans="1:39" x14ac:dyDescent="0.3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 cm="1">
        <f t="array" ref="AJ499">_xlfn.IFS(
HR_Data[[#This Row],[Age]]&lt;25,"Under 25",
HR_Data[[#This Row],[Age]]&lt;35,"25-34",
HR_Data[[#This Row],[Age]]&lt;45,"35-44",
HR_Data[[#This Row],[Age]]&lt;55,"45-54",
TRUE,"55+"
)</f>
        <v>35-44</v>
      </c>
      <c r="AK499" t="str" cm="1">
        <f t="array" ref="AK499">_xlfn.IFS(
HR_Data[[#This Row],[MonthlyIncome]]&lt;3000,"&lt;3K",
HR_Data[[#This Row],[MonthlyIncome]]&lt;6000,"3K-6K",
HR_Data[[#This Row],[MonthlyIncome]]&lt;10000,"6K-10K",
TRUE,"10K+"
)</f>
        <v>10K+</v>
      </c>
      <c r="AL499" t="str" cm="1">
        <f t="array" ref="AL499">_xlfn.IFS(
HR_Data[[#This Row],[YearsAtCompany]]&lt;2,"&lt;2 Years",
HR_Data[[#This Row],[YearsAtCompany]]&lt;5,"2-4 Years",
HR_Data[[#This Row],[YearsAtCompany]]&lt;10,"5-9 Years",
TRUE,"10+ Years"
)</f>
        <v>2-4 Years</v>
      </c>
      <c r="AM499" s="1">
        <f>IF(HR_Data[[#This Row],[Attrition]]="Yes",1,0)</f>
        <v>0</v>
      </c>
    </row>
    <row r="500" spans="1:39" x14ac:dyDescent="0.3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 cm="1">
        <f t="array" ref="AJ500">_xlfn.IFS(
HR_Data[[#This Row],[Age]]&lt;25,"Under 25",
HR_Data[[#This Row],[Age]]&lt;35,"25-34",
HR_Data[[#This Row],[Age]]&lt;45,"35-44",
HR_Data[[#This Row],[Age]]&lt;55,"45-54",
TRUE,"55+"
)</f>
        <v>Under 25</v>
      </c>
      <c r="AK500" t="str" cm="1">
        <f t="array" ref="AK500">_xlfn.IFS(
HR_Data[[#This Row],[MonthlyIncome]]&lt;3000,"&lt;3K",
HR_Data[[#This Row],[MonthlyIncome]]&lt;6000,"3K-6K",
HR_Data[[#This Row],[MonthlyIncome]]&lt;10000,"6K-10K",
TRUE,"10K+"
)</f>
        <v>&lt;3K</v>
      </c>
      <c r="AL500" t="str" cm="1">
        <f t="array" ref="AL500">_xlfn.IFS(
HR_Data[[#This Row],[YearsAtCompany]]&lt;2,"&lt;2 Years",
HR_Data[[#This Row],[YearsAtCompany]]&lt;5,"2-4 Years",
HR_Data[[#This Row],[YearsAtCompany]]&lt;10,"5-9 Years",
TRUE,"10+ Years"
)</f>
        <v>2-4 Years</v>
      </c>
      <c r="AM500" s="1">
        <f>IF(HR_Data[[#This Row],[Attrition]]="Yes",1,0)</f>
        <v>0</v>
      </c>
    </row>
    <row r="501" spans="1:39" x14ac:dyDescent="0.3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 cm="1">
        <f t="array" ref="AJ501">_xlfn.IFS(
HR_Data[[#This Row],[Age]]&lt;25,"Under 25",
HR_Data[[#This Row],[Age]]&lt;35,"25-34",
HR_Data[[#This Row],[Age]]&lt;45,"35-44",
HR_Data[[#This Row],[Age]]&lt;55,"45-54",
TRUE,"55+"
)</f>
        <v>25-34</v>
      </c>
      <c r="AK501" t="str" cm="1">
        <f t="array" ref="AK501">_xlfn.IFS(
HR_Data[[#This Row],[MonthlyIncome]]&lt;3000,"&lt;3K",
HR_Data[[#This Row],[MonthlyIncome]]&lt;6000,"3K-6K",
HR_Data[[#This Row],[MonthlyIncome]]&lt;10000,"6K-10K",
TRUE,"10K+"
)</f>
        <v>6K-10K</v>
      </c>
      <c r="AL501" t="str" cm="1">
        <f t="array" ref="AL501">_xlfn.IFS(
HR_Data[[#This Row],[YearsAtCompany]]&lt;2,"&lt;2 Years",
HR_Data[[#This Row],[YearsAtCompany]]&lt;5,"2-4 Years",
HR_Data[[#This Row],[YearsAtCompany]]&lt;10,"5-9 Years",
TRUE,"10+ Years"
)</f>
        <v>5-9 Years</v>
      </c>
      <c r="AM501" s="1">
        <f>IF(HR_Data[[#This Row],[Attrition]]="Yes",1,0)</f>
        <v>0</v>
      </c>
    </row>
    <row r="502" spans="1:39" x14ac:dyDescent="0.3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 cm="1">
        <f t="array" ref="AJ502">_xlfn.IFS(
HR_Data[[#This Row],[Age]]&lt;25,"Under 25",
HR_Data[[#This Row],[Age]]&lt;35,"25-34",
HR_Data[[#This Row],[Age]]&lt;45,"35-44",
HR_Data[[#This Row],[Age]]&lt;55,"45-54",
TRUE,"55+"
)</f>
        <v>25-34</v>
      </c>
      <c r="AK502" t="str" cm="1">
        <f t="array" ref="AK502">_xlfn.IFS(
HR_Data[[#This Row],[MonthlyIncome]]&lt;3000,"&lt;3K",
HR_Data[[#This Row],[MonthlyIncome]]&lt;6000,"3K-6K",
HR_Data[[#This Row],[MonthlyIncome]]&lt;10000,"6K-10K",
TRUE,"10K+"
)</f>
        <v>6K-10K</v>
      </c>
      <c r="AL502" t="str" cm="1">
        <f t="array" ref="AL502">_xlfn.IFS(
HR_Data[[#This Row],[YearsAtCompany]]&lt;2,"&lt;2 Years",
HR_Data[[#This Row],[YearsAtCompany]]&lt;5,"2-4 Years",
HR_Data[[#This Row],[YearsAtCompany]]&lt;10,"5-9 Years",
TRUE,"10+ Years"
)</f>
        <v>5-9 Years</v>
      </c>
      <c r="AM502" s="1">
        <f>IF(HR_Data[[#This Row],[Attrition]]="Yes",1,0)</f>
        <v>0</v>
      </c>
    </row>
    <row r="503" spans="1:39" x14ac:dyDescent="0.3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 cm="1">
        <f t="array" ref="AJ503">_xlfn.IFS(
HR_Data[[#This Row],[Age]]&lt;25,"Under 25",
HR_Data[[#This Row],[Age]]&lt;35,"25-34",
HR_Data[[#This Row],[Age]]&lt;45,"35-44",
HR_Data[[#This Row],[Age]]&lt;55,"45-54",
TRUE,"55+"
)</f>
        <v>25-34</v>
      </c>
      <c r="AK503" t="str" cm="1">
        <f t="array" ref="AK503">_xlfn.IFS(
HR_Data[[#This Row],[MonthlyIncome]]&lt;3000,"&lt;3K",
HR_Data[[#This Row],[MonthlyIncome]]&lt;6000,"3K-6K",
HR_Data[[#This Row],[MonthlyIncome]]&lt;10000,"6K-10K",
TRUE,"10K+"
)</f>
        <v>&lt;3K</v>
      </c>
      <c r="AL503" t="str" cm="1">
        <f t="array" ref="AL503">_xlfn.IFS(
HR_Data[[#This Row],[YearsAtCompany]]&lt;2,"&lt;2 Years",
HR_Data[[#This Row],[YearsAtCompany]]&lt;5,"2-4 Years",
HR_Data[[#This Row],[YearsAtCompany]]&lt;10,"5-9 Years",
TRUE,"10+ Years"
)</f>
        <v>&lt;2 Years</v>
      </c>
      <c r="AM503" s="1">
        <f>IF(HR_Data[[#This Row],[Attrition]]="Yes",1,0)</f>
        <v>0</v>
      </c>
    </row>
    <row r="504" spans="1:39" x14ac:dyDescent="0.3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 cm="1">
        <f t="array" ref="AJ504">_xlfn.IFS(
HR_Data[[#This Row],[Age]]&lt;25,"Under 25",
HR_Data[[#This Row],[Age]]&lt;35,"25-34",
HR_Data[[#This Row],[Age]]&lt;45,"35-44",
HR_Data[[#This Row],[Age]]&lt;55,"45-54",
TRUE,"55+"
)</f>
        <v>45-54</v>
      </c>
      <c r="AK504" t="str" cm="1">
        <f t="array" ref="AK504">_xlfn.IFS(
HR_Data[[#This Row],[MonthlyIncome]]&lt;3000,"&lt;3K",
HR_Data[[#This Row],[MonthlyIncome]]&lt;6000,"3K-6K",
HR_Data[[#This Row],[MonthlyIncome]]&lt;10000,"6K-10K",
TRUE,"10K+"
)</f>
        <v>6K-10K</v>
      </c>
      <c r="AL504" t="str" cm="1">
        <f t="array" ref="AL504">_xlfn.IFS(
HR_Data[[#This Row],[YearsAtCompany]]&lt;2,"&lt;2 Years",
HR_Data[[#This Row],[YearsAtCompany]]&lt;5,"2-4 Years",
HR_Data[[#This Row],[YearsAtCompany]]&lt;10,"5-9 Years",
TRUE,"10+ Years"
)</f>
        <v>10+ Years</v>
      </c>
      <c r="AM504" s="1">
        <f>IF(HR_Data[[#This Row],[Attrition]]="Yes",1,0)</f>
        <v>0</v>
      </c>
    </row>
    <row r="505" spans="1:39" x14ac:dyDescent="0.3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 cm="1">
        <f t="array" ref="AJ505">_xlfn.IFS(
HR_Data[[#This Row],[Age]]&lt;25,"Under 25",
HR_Data[[#This Row],[Age]]&lt;35,"25-34",
HR_Data[[#This Row],[Age]]&lt;45,"35-44",
HR_Data[[#This Row],[Age]]&lt;55,"45-54",
TRUE,"55+"
)</f>
        <v>25-34</v>
      </c>
      <c r="AK505" t="str" cm="1">
        <f t="array" ref="AK505">_xlfn.IFS(
HR_Data[[#This Row],[MonthlyIncome]]&lt;3000,"&lt;3K",
HR_Data[[#This Row],[MonthlyIncome]]&lt;6000,"3K-6K",
HR_Data[[#This Row],[MonthlyIncome]]&lt;10000,"6K-10K",
TRUE,"10K+"
)</f>
        <v>&lt;3K</v>
      </c>
      <c r="AL505" t="str" cm="1">
        <f t="array" ref="AL505">_xlfn.IFS(
HR_Data[[#This Row],[YearsAtCompany]]&lt;2,"&lt;2 Years",
HR_Data[[#This Row],[YearsAtCompany]]&lt;5,"2-4 Years",
HR_Data[[#This Row],[YearsAtCompany]]&lt;10,"5-9 Years",
TRUE,"10+ Years"
)</f>
        <v>10+ Years</v>
      </c>
      <c r="AM505" s="1">
        <f>IF(HR_Data[[#This Row],[Attrition]]="Yes",1,0)</f>
        <v>0</v>
      </c>
    </row>
    <row r="506" spans="1:39" x14ac:dyDescent="0.3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 cm="1">
        <f t="array" ref="AJ506">_xlfn.IFS(
HR_Data[[#This Row],[Age]]&lt;25,"Under 25",
HR_Data[[#This Row],[Age]]&lt;35,"25-34",
HR_Data[[#This Row],[Age]]&lt;45,"35-44",
HR_Data[[#This Row],[Age]]&lt;55,"45-54",
TRUE,"55+"
)</f>
        <v>45-54</v>
      </c>
      <c r="AK506" t="str" cm="1">
        <f t="array" ref="AK506">_xlfn.IFS(
HR_Data[[#This Row],[MonthlyIncome]]&lt;3000,"&lt;3K",
HR_Data[[#This Row],[MonthlyIncome]]&lt;6000,"3K-6K",
HR_Data[[#This Row],[MonthlyIncome]]&lt;10000,"6K-10K",
TRUE,"10K+"
)</f>
        <v>3K-6K</v>
      </c>
      <c r="AL506" t="str" cm="1">
        <f t="array" ref="AL506">_xlfn.IFS(
HR_Data[[#This Row],[YearsAtCompany]]&lt;2,"&lt;2 Years",
HR_Data[[#This Row],[YearsAtCompany]]&lt;5,"2-4 Years",
HR_Data[[#This Row],[YearsAtCompany]]&lt;10,"5-9 Years",
TRUE,"10+ Years"
)</f>
        <v>&lt;2 Years</v>
      </c>
      <c r="AM506" s="1">
        <f>IF(HR_Data[[#This Row],[Attrition]]="Yes",1,0)</f>
        <v>1</v>
      </c>
    </row>
    <row r="507" spans="1:39" x14ac:dyDescent="0.3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 cm="1">
        <f t="array" ref="AJ507">_xlfn.IFS(
HR_Data[[#This Row],[Age]]&lt;25,"Under 25",
HR_Data[[#This Row],[Age]]&lt;35,"25-34",
HR_Data[[#This Row],[Age]]&lt;45,"35-44",
HR_Data[[#This Row],[Age]]&lt;55,"45-54",
TRUE,"55+"
)</f>
        <v>25-34</v>
      </c>
      <c r="AK507" t="str" cm="1">
        <f t="array" ref="AK507">_xlfn.IFS(
HR_Data[[#This Row],[MonthlyIncome]]&lt;3000,"&lt;3K",
HR_Data[[#This Row],[MonthlyIncome]]&lt;6000,"3K-6K",
HR_Data[[#This Row],[MonthlyIncome]]&lt;10000,"6K-10K",
TRUE,"10K+"
)</f>
        <v>&lt;3K</v>
      </c>
      <c r="AL507" t="str" cm="1">
        <f t="array" ref="AL507">_xlfn.IFS(
HR_Data[[#This Row],[YearsAtCompany]]&lt;2,"&lt;2 Years",
HR_Data[[#This Row],[YearsAtCompany]]&lt;5,"2-4 Years",
HR_Data[[#This Row],[YearsAtCompany]]&lt;10,"5-9 Years",
TRUE,"10+ Years"
)</f>
        <v>2-4 Years</v>
      </c>
      <c r="AM507" s="1">
        <f>IF(HR_Data[[#This Row],[Attrition]]="Yes",1,0)</f>
        <v>0</v>
      </c>
    </row>
    <row r="508" spans="1:39" x14ac:dyDescent="0.3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 cm="1">
        <f t="array" ref="AJ508">_xlfn.IFS(
HR_Data[[#This Row],[Age]]&lt;25,"Under 25",
HR_Data[[#This Row],[Age]]&lt;35,"25-34",
HR_Data[[#This Row],[Age]]&lt;45,"35-44",
HR_Data[[#This Row],[Age]]&lt;55,"45-54",
TRUE,"55+"
)</f>
        <v>35-44</v>
      </c>
      <c r="AK508" t="str" cm="1">
        <f t="array" ref="AK508">_xlfn.IFS(
HR_Data[[#This Row],[MonthlyIncome]]&lt;3000,"&lt;3K",
HR_Data[[#This Row],[MonthlyIncome]]&lt;6000,"3K-6K",
HR_Data[[#This Row],[MonthlyIncome]]&lt;10000,"6K-10K",
TRUE,"10K+"
)</f>
        <v>6K-10K</v>
      </c>
      <c r="AL508" t="str" cm="1">
        <f t="array" ref="AL508">_xlfn.IFS(
HR_Data[[#This Row],[YearsAtCompany]]&lt;2,"&lt;2 Years",
HR_Data[[#This Row],[YearsAtCompany]]&lt;5,"2-4 Years",
HR_Data[[#This Row],[YearsAtCompany]]&lt;10,"5-9 Years",
TRUE,"10+ Years"
)</f>
        <v>10+ Years</v>
      </c>
      <c r="AM508" s="1">
        <f>IF(HR_Data[[#This Row],[Attrition]]="Yes",1,0)</f>
        <v>0</v>
      </c>
    </row>
    <row r="509" spans="1:39" x14ac:dyDescent="0.3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 cm="1">
        <f t="array" ref="AJ509">_xlfn.IFS(
HR_Data[[#This Row],[Age]]&lt;25,"Under 25",
HR_Data[[#This Row],[Age]]&lt;35,"25-34",
HR_Data[[#This Row],[Age]]&lt;45,"35-44",
HR_Data[[#This Row],[Age]]&lt;55,"45-54",
TRUE,"55+"
)</f>
        <v>25-34</v>
      </c>
      <c r="AK509" t="str" cm="1">
        <f t="array" ref="AK509">_xlfn.IFS(
HR_Data[[#This Row],[MonthlyIncome]]&lt;3000,"&lt;3K",
HR_Data[[#This Row],[MonthlyIncome]]&lt;6000,"3K-6K",
HR_Data[[#This Row],[MonthlyIncome]]&lt;10000,"6K-10K",
TRUE,"10K+"
)</f>
        <v>3K-6K</v>
      </c>
      <c r="AL509" t="str" cm="1">
        <f t="array" ref="AL509">_xlfn.IFS(
HR_Data[[#This Row],[YearsAtCompany]]&lt;2,"&lt;2 Years",
HR_Data[[#This Row],[YearsAtCompany]]&lt;5,"2-4 Years",
HR_Data[[#This Row],[YearsAtCompany]]&lt;10,"5-9 Years",
TRUE,"10+ Years"
)</f>
        <v>5-9 Years</v>
      </c>
      <c r="AM509" s="1">
        <f>IF(HR_Data[[#This Row],[Attrition]]="Yes",1,0)</f>
        <v>0</v>
      </c>
    </row>
    <row r="510" spans="1:39" x14ac:dyDescent="0.3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 cm="1">
        <f t="array" ref="AJ510">_xlfn.IFS(
HR_Data[[#This Row],[Age]]&lt;25,"Under 25",
HR_Data[[#This Row],[Age]]&lt;35,"25-34",
HR_Data[[#This Row],[Age]]&lt;45,"35-44",
HR_Data[[#This Row],[Age]]&lt;55,"45-54",
TRUE,"55+"
)</f>
        <v>35-44</v>
      </c>
      <c r="AK510" t="str" cm="1">
        <f t="array" ref="AK510">_xlfn.IFS(
HR_Data[[#This Row],[MonthlyIncome]]&lt;3000,"&lt;3K",
HR_Data[[#This Row],[MonthlyIncome]]&lt;6000,"3K-6K",
HR_Data[[#This Row],[MonthlyIncome]]&lt;10000,"6K-10K",
TRUE,"10K+"
)</f>
        <v>6K-10K</v>
      </c>
      <c r="AL510" t="str" cm="1">
        <f t="array" ref="AL510">_xlfn.IFS(
HR_Data[[#This Row],[YearsAtCompany]]&lt;2,"&lt;2 Years",
HR_Data[[#This Row],[YearsAtCompany]]&lt;5,"2-4 Years",
HR_Data[[#This Row],[YearsAtCompany]]&lt;10,"5-9 Years",
TRUE,"10+ Years"
)</f>
        <v>10+ Years</v>
      </c>
      <c r="AM510" s="1">
        <f>IF(HR_Data[[#This Row],[Attrition]]="Yes",1,0)</f>
        <v>0</v>
      </c>
    </row>
    <row r="511" spans="1:39" x14ac:dyDescent="0.3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 cm="1">
        <f t="array" ref="AJ511">_xlfn.IFS(
HR_Data[[#This Row],[Age]]&lt;25,"Under 25",
HR_Data[[#This Row],[Age]]&lt;35,"25-34",
HR_Data[[#This Row],[Age]]&lt;45,"35-44",
HR_Data[[#This Row],[Age]]&lt;55,"45-54",
TRUE,"55+"
)</f>
        <v>25-34</v>
      </c>
      <c r="AK511" t="str" cm="1">
        <f t="array" ref="AK511">_xlfn.IFS(
HR_Data[[#This Row],[MonthlyIncome]]&lt;3000,"&lt;3K",
HR_Data[[#This Row],[MonthlyIncome]]&lt;6000,"3K-6K",
HR_Data[[#This Row],[MonthlyIncome]]&lt;10000,"6K-10K",
TRUE,"10K+"
)</f>
        <v>6K-10K</v>
      </c>
      <c r="AL511" t="str" cm="1">
        <f t="array" ref="AL511">_xlfn.IFS(
HR_Data[[#This Row],[YearsAtCompany]]&lt;2,"&lt;2 Years",
HR_Data[[#This Row],[YearsAtCompany]]&lt;5,"2-4 Years",
HR_Data[[#This Row],[YearsAtCompany]]&lt;10,"5-9 Years",
TRUE,"10+ Years"
)</f>
        <v>10+ Years</v>
      </c>
      <c r="AM511" s="1">
        <f>IF(HR_Data[[#This Row],[Attrition]]="Yes",1,0)</f>
        <v>0</v>
      </c>
    </row>
    <row r="512" spans="1:39" x14ac:dyDescent="0.3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 cm="1">
        <f t="array" ref="AJ512">_xlfn.IFS(
HR_Data[[#This Row],[Age]]&lt;25,"Under 25",
HR_Data[[#This Row],[Age]]&lt;35,"25-34",
HR_Data[[#This Row],[Age]]&lt;45,"35-44",
HR_Data[[#This Row],[Age]]&lt;55,"45-54",
TRUE,"55+"
)</f>
        <v>45-54</v>
      </c>
      <c r="AK512" t="str" cm="1">
        <f t="array" ref="AK512">_xlfn.IFS(
HR_Data[[#This Row],[MonthlyIncome]]&lt;3000,"&lt;3K",
HR_Data[[#This Row],[MonthlyIncome]]&lt;6000,"3K-6K",
HR_Data[[#This Row],[MonthlyIncome]]&lt;10000,"6K-10K",
TRUE,"10K+"
)</f>
        <v>10K+</v>
      </c>
      <c r="AL512" t="str" cm="1">
        <f t="array" ref="AL512">_xlfn.IFS(
HR_Data[[#This Row],[YearsAtCompany]]&lt;2,"&lt;2 Years",
HR_Data[[#This Row],[YearsAtCompany]]&lt;5,"2-4 Years",
HR_Data[[#This Row],[YearsAtCompany]]&lt;10,"5-9 Years",
TRUE,"10+ Years"
)</f>
        <v>5-9 Years</v>
      </c>
      <c r="AM512" s="1">
        <f>IF(HR_Data[[#This Row],[Attrition]]="Yes",1,0)</f>
        <v>0</v>
      </c>
    </row>
    <row r="513" spans="1:39" x14ac:dyDescent="0.3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 cm="1">
        <f t="array" ref="AJ513">_xlfn.IFS(
HR_Data[[#This Row],[Age]]&lt;25,"Under 25",
HR_Data[[#This Row],[Age]]&lt;35,"25-34",
HR_Data[[#This Row],[Age]]&lt;45,"35-44",
HR_Data[[#This Row],[Age]]&lt;55,"45-54",
TRUE,"55+"
)</f>
        <v>35-44</v>
      </c>
      <c r="AK513" t="str" cm="1">
        <f t="array" ref="AK513">_xlfn.IFS(
HR_Data[[#This Row],[MonthlyIncome]]&lt;3000,"&lt;3K",
HR_Data[[#This Row],[MonthlyIncome]]&lt;6000,"3K-6K",
HR_Data[[#This Row],[MonthlyIncome]]&lt;10000,"6K-10K",
TRUE,"10K+"
)</f>
        <v>6K-10K</v>
      </c>
      <c r="AL513" t="str" cm="1">
        <f t="array" ref="AL513">_xlfn.IFS(
HR_Data[[#This Row],[YearsAtCompany]]&lt;2,"&lt;2 Years",
HR_Data[[#This Row],[YearsAtCompany]]&lt;5,"2-4 Years",
HR_Data[[#This Row],[YearsAtCompany]]&lt;10,"5-9 Years",
TRUE,"10+ Years"
)</f>
        <v>2-4 Years</v>
      </c>
      <c r="AM513" s="1">
        <f>IF(HR_Data[[#This Row],[Attrition]]="Yes",1,0)</f>
        <v>0</v>
      </c>
    </row>
    <row r="514" spans="1:39" x14ac:dyDescent="0.3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 cm="1">
        <f t="array" ref="AJ514">_xlfn.IFS(
HR_Data[[#This Row],[Age]]&lt;25,"Under 25",
HR_Data[[#This Row],[Age]]&lt;35,"25-34",
HR_Data[[#This Row],[Age]]&lt;45,"35-44",
HR_Data[[#This Row],[Age]]&lt;55,"45-54",
TRUE,"55+"
)</f>
        <v>25-34</v>
      </c>
      <c r="AK514" t="str" cm="1">
        <f t="array" ref="AK514">_xlfn.IFS(
HR_Data[[#This Row],[MonthlyIncome]]&lt;3000,"&lt;3K",
HR_Data[[#This Row],[MonthlyIncome]]&lt;6000,"3K-6K",
HR_Data[[#This Row],[MonthlyIncome]]&lt;10000,"6K-10K",
TRUE,"10K+"
)</f>
        <v>&lt;3K</v>
      </c>
      <c r="AL514" t="str" cm="1">
        <f t="array" ref="AL514">_xlfn.IFS(
HR_Data[[#This Row],[YearsAtCompany]]&lt;2,"&lt;2 Years",
HR_Data[[#This Row],[YearsAtCompany]]&lt;5,"2-4 Years",
HR_Data[[#This Row],[YearsAtCompany]]&lt;10,"5-9 Years",
TRUE,"10+ Years"
)</f>
        <v>2-4 Years</v>
      </c>
      <c r="AM514" s="1">
        <f>IF(HR_Data[[#This Row],[Attrition]]="Yes",1,0)</f>
        <v>0</v>
      </c>
    </row>
    <row r="515" spans="1:39" x14ac:dyDescent="0.3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 cm="1">
        <f t="array" ref="AJ515">_xlfn.IFS(
HR_Data[[#This Row],[Age]]&lt;25,"Under 25",
HR_Data[[#This Row],[Age]]&lt;35,"25-34",
HR_Data[[#This Row],[Age]]&lt;45,"35-44",
HR_Data[[#This Row],[Age]]&lt;55,"45-54",
TRUE,"55+"
)</f>
        <v>Under 25</v>
      </c>
      <c r="AK515" t="str" cm="1">
        <f t="array" ref="AK515">_xlfn.IFS(
HR_Data[[#This Row],[MonthlyIncome]]&lt;3000,"&lt;3K",
HR_Data[[#This Row],[MonthlyIncome]]&lt;6000,"3K-6K",
HR_Data[[#This Row],[MonthlyIncome]]&lt;10000,"6K-10K",
TRUE,"10K+"
)</f>
        <v>&lt;3K</v>
      </c>
      <c r="AL515" t="str" cm="1">
        <f t="array" ref="AL515">_xlfn.IFS(
HR_Data[[#This Row],[YearsAtCompany]]&lt;2,"&lt;2 Years",
HR_Data[[#This Row],[YearsAtCompany]]&lt;5,"2-4 Years",
HR_Data[[#This Row],[YearsAtCompany]]&lt;10,"5-9 Years",
TRUE,"10+ Years"
)</f>
        <v>&lt;2 Years</v>
      </c>
      <c r="AM515" s="1">
        <f>IF(HR_Data[[#This Row],[Attrition]]="Yes",1,0)</f>
        <v>1</v>
      </c>
    </row>
    <row r="516" spans="1:39" x14ac:dyDescent="0.3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 cm="1">
        <f t="array" ref="AJ516">_xlfn.IFS(
HR_Data[[#This Row],[Age]]&lt;25,"Under 25",
HR_Data[[#This Row],[Age]]&lt;35,"25-34",
HR_Data[[#This Row],[Age]]&lt;45,"35-44",
HR_Data[[#This Row],[Age]]&lt;55,"45-54",
TRUE,"55+"
)</f>
        <v>25-34</v>
      </c>
      <c r="AK516" t="str" cm="1">
        <f t="array" ref="AK516">_xlfn.IFS(
HR_Data[[#This Row],[MonthlyIncome]]&lt;3000,"&lt;3K",
HR_Data[[#This Row],[MonthlyIncome]]&lt;6000,"3K-6K",
HR_Data[[#This Row],[MonthlyIncome]]&lt;10000,"6K-10K",
TRUE,"10K+"
)</f>
        <v>3K-6K</v>
      </c>
      <c r="AL516" t="str" cm="1">
        <f t="array" ref="AL516">_xlfn.IFS(
HR_Data[[#This Row],[YearsAtCompany]]&lt;2,"&lt;2 Years",
HR_Data[[#This Row],[YearsAtCompany]]&lt;5,"2-4 Years",
HR_Data[[#This Row],[YearsAtCompany]]&lt;10,"5-9 Years",
TRUE,"10+ Years"
)</f>
        <v>10+ Years</v>
      </c>
      <c r="AM516" s="1">
        <f>IF(HR_Data[[#This Row],[Attrition]]="Yes",1,0)</f>
        <v>1</v>
      </c>
    </row>
    <row r="517" spans="1:39" x14ac:dyDescent="0.3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 cm="1">
        <f t="array" ref="AJ517">_xlfn.IFS(
HR_Data[[#This Row],[Age]]&lt;25,"Under 25",
HR_Data[[#This Row],[Age]]&lt;35,"25-34",
HR_Data[[#This Row],[Age]]&lt;45,"35-44",
HR_Data[[#This Row],[Age]]&lt;55,"45-54",
TRUE,"55+"
)</f>
        <v>35-44</v>
      </c>
      <c r="AK517" t="str" cm="1">
        <f t="array" ref="AK517">_xlfn.IFS(
HR_Data[[#This Row],[MonthlyIncome]]&lt;3000,"&lt;3K",
HR_Data[[#This Row],[MonthlyIncome]]&lt;6000,"3K-6K",
HR_Data[[#This Row],[MonthlyIncome]]&lt;10000,"6K-10K",
TRUE,"10K+"
)</f>
        <v>&lt;3K</v>
      </c>
      <c r="AL517" t="str" cm="1">
        <f t="array" ref="AL517">_xlfn.IFS(
HR_Data[[#This Row],[YearsAtCompany]]&lt;2,"&lt;2 Years",
HR_Data[[#This Row],[YearsAtCompany]]&lt;5,"2-4 Years",
HR_Data[[#This Row],[YearsAtCompany]]&lt;10,"5-9 Years",
TRUE,"10+ Years"
)</f>
        <v>&lt;2 Years</v>
      </c>
      <c r="AM517" s="1">
        <f>IF(HR_Data[[#This Row],[Attrition]]="Yes",1,0)</f>
        <v>0</v>
      </c>
    </row>
    <row r="518" spans="1:39" x14ac:dyDescent="0.3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 cm="1">
        <f t="array" ref="AJ518">_xlfn.IFS(
HR_Data[[#This Row],[Age]]&lt;25,"Under 25",
HR_Data[[#This Row],[Age]]&lt;35,"25-34",
HR_Data[[#This Row],[Age]]&lt;45,"35-44",
HR_Data[[#This Row],[Age]]&lt;55,"45-54",
TRUE,"55+"
)</f>
        <v>Under 25</v>
      </c>
      <c r="AK518" t="str" cm="1">
        <f t="array" ref="AK518">_xlfn.IFS(
HR_Data[[#This Row],[MonthlyIncome]]&lt;3000,"&lt;3K",
HR_Data[[#This Row],[MonthlyIncome]]&lt;6000,"3K-6K",
HR_Data[[#This Row],[MonthlyIncome]]&lt;10000,"6K-10K",
TRUE,"10K+"
)</f>
        <v>&lt;3K</v>
      </c>
      <c r="AL518" t="str" cm="1">
        <f t="array" ref="AL518">_xlfn.IFS(
HR_Data[[#This Row],[YearsAtCompany]]&lt;2,"&lt;2 Years",
HR_Data[[#This Row],[YearsAtCompany]]&lt;5,"2-4 Years",
HR_Data[[#This Row],[YearsAtCompany]]&lt;10,"5-9 Years",
TRUE,"10+ Years"
)</f>
        <v>2-4 Years</v>
      </c>
      <c r="AM518" s="1">
        <f>IF(HR_Data[[#This Row],[Attrition]]="Yes",1,0)</f>
        <v>0</v>
      </c>
    </row>
    <row r="519" spans="1:39" x14ac:dyDescent="0.3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 cm="1">
        <f t="array" ref="AJ519">_xlfn.IFS(
HR_Data[[#This Row],[Age]]&lt;25,"Under 25",
HR_Data[[#This Row],[Age]]&lt;35,"25-34",
HR_Data[[#This Row],[Age]]&lt;45,"35-44",
HR_Data[[#This Row],[Age]]&lt;55,"45-54",
TRUE,"55+"
)</f>
        <v>25-34</v>
      </c>
      <c r="AK519" t="str" cm="1">
        <f t="array" ref="AK519">_xlfn.IFS(
HR_Data[[#This Row],[MonthlyIncome]]&lt;3000,"&lt;3K",
HR_Data[[#This Row],[MonthlyIncome]]&lt;6000,"3K-6K",
HR_Data[[#This Row],[MonthlyIncome]]&lt;10000,"6K-10K",
TRUE,"10K+"
)</f>
        <v>3K-6K</v>
      </c>
      <c r="AL519" t="str" cm="1">
        <f t="array" ref="AL519">_xlfn.IFS(
HR_Data[[#This Row],[YearsAtCompany]]&lt;2,"&lt;2 Years",
HR_Data[[#This Row],[YearsAtCompany]]&lt;5,"2-4 Years",
HR_Data[[#This Row],[YearsAtCompany]]&lt;10,"5-9 Years",
TRUE,"10+ Years"
)</f>
        <v>2-4 Years</v>
      </c>
      <c r="AM519" s="1">
        <f>IF(HR_Data[[#This Row],[Attrition]]="Yes",1,0)</f>
        <v>0</v>
      </c>
    </row>
    <row r="520" spans="1:39" x14ac:dyDescent="0.3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 cm="1">
        <f t="array" ref="AJ520">_xlfn.IFS(
HR_Data[[#This Row],[Age]]&lt;25,"Under 25",
HR_Data[[#This Row],[Age]]&lt;35,"25-34",
HR_Data[[#This Row],[Age]]&lt;45,"35-44",
HR_Data[[#This Row],[Age]]&lt;55,"45-54",
TRUE,"55+"
)</f>
        <v>35-44</v>
      </c>
      <c r="AK520" t="str" cm="1">
        <f t="array" ref="AK520">_xlfn.IFS(
HR_Data[[#This Row],[MonthlyIncome]]&lt;3000,"&lt;3K",
HR_Data[[#This Row],[MonthlyIncome]]&lt;6000,"3K-6K",
HR_Data[[#This Row],[MonthlyIncome]]&lt;10000,"6K-10K",
TRUE,"10K+"
)</f>
        <v>3K-6K</v>
      </c>
      <c r="AL520" t="str" cm="1">
        <f t="array" ref="AL520">_xlfn.IFS(
HR_Data[[#This Row],[YearsAtCompany]]&lt;2,"&lt;2 Years",
HR_Data[[#This Row],[YearsAtCompany]]&lt;5,"2-4 Years",
HR_Data[[#This Row],[YearsAtCompany]]&lt;10,"5-9 Years",
TRUE,"10+ Years"
)</f>
        <v>5-9 Years</v>
      </c>
      <c r="AM520" s="1">
        <f>IF(HR_Data[[#This Row],[Attrition]]="Yes",1,0)</f>
        <v>0</v>
      </c>
    </row>
    <row r="521" spans="1:39" x14ac:dyDescent="0.3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 cm="1">
        <f t="array" ref="AJ521">_xlfn.IFS(
HR_Data[[#This Row],[Age]]&lt;25,"Under 25",
HR_Data[[#This Row],[Age]]&lt;35,"25-34",
HR_Data[[#This Row],[Age]]&lt;45,"35-44",
HR_Data[[#This Row],[Age]]&lt;55,"45-54",
TRUE,"55+"
)</f>
        <v>25-34</v>
      </c>
      <c r="AK521" t="str" cm="1">
        <f t="array" ref="AK521">_xlfn.IFS(
HR_Data[[#This Row],[MonthlyIncome]]&lt;3000,"&lt;3K",
HR_Data[[#This Row],[MonthlyIncome]]&lt;6000,"3K-6K",
HR_Data[[#This Row],[MonthlyIncome]]&lt;10000,"6K-10K",
TRUE,"10K+"
)</f>
        <v>&lt;3K</v>
      </c>
      <c r="AL521" t="str" cm="1">
        <f t="array" ref="AL521">_xlfn.IFS(
HR_Data[[#This Row],[YearsAtCompany]]&lt;2,"&lt;2 Years",
HR_Data[[#This Row],[YearsAtCompany]]&lt;5,"2-4 Years",
HR_Data[[#This Row],[YearsAtCompany]]&lt;10,"5-9 Years",
TRUE,"10+ Years"
)</f>
        <v>10+ Years</v>
      </c>
      <c r="AM521" s="1">
        <f>IF(HR_Data[[#This Row],[Attrition]]="Yes",1,0)</f>
        <v>0</v>
      </c>
    </row>
    <row r="522" spans="1:39" x14ac:dyDescent="0.3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 cm="1">
        <f t="array" ref="AJ522">_xlfn.IFS(
HR_Data[[#This Row],[Age]]&lt;25,"Under 25",
HR_Data[[#This Row],[Age]]&lt;35,"25-34",
HR_Data[[#This Row],[Age]]&lt;45,"35-44",
HR_Data[[#This Row],[Age]]&lt;55,"45-54",
TRUE,"55+"
)</f>
        <v>45-54</v>
      </c>
      <c r="AK522" t="str" cm="1">
        <f t="array" ref="AK522">_xlfn.IFS(
HR_Data[[#This Row],[MonthlyIncome]]&lt;3000,"&lt;3K",
HR_Data[[#This Row],[MonthlyIncome]]&lt;6000,"3K-6K",
HR_Data[[#This Row],[MonthlyIncome]]&lt;10000,"6K-10K",
TRUE,"10K+"
)</f>
        <v>6K-10K</v>
      </c>
      <c r="AL522" t="str" cm="1">
        <f t="array" ref="AL522">_xlfn.IFS(
HR_Data[[#This Row],[YearsAtCompany]]&lt;2,"&lt;2 Years",
HR_Data[[#This Row],[YearsAtCompany]]&lt;5,"2-4 Years",
HR_Data[[#This Row],[YearsAtCompany]]&lt;10,"5-9 Years",
TRUE,"10+ Years"
)</f>
        <v>2-4 Years</v>
      </c>
      <c r="AM522" s="1">
        <f>IF(HR_Data[[#This Row],[Attrition]]="Yes",1,0)</f>
        <v>0</v>
      </c>
    </row>
    <row r="523" spans="1:39" x14ac:dyDescent="0.3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 cm="1">
        <f t="array" ref="AJ523">_xlfn.IFS(
HR_Data[[#This Row],[Age]]&lt;25,"Under 25",
HR_Data[[#This Row],[Age]]&lt;35,"25-34",
HR_Data[[#This Row],[Age]]&lt;45,"35-44",
HR_Data[[#This Row],[Age]]&lt;55,"45-54",
TRUE,"55+"
)</f>
        <v>25-34</v>
      </c>
      <c r="AK523" t="str" cm="1">
        <f t="array" ref="AK523">_xlfn.IFS(
HR_Data[[#This Row],[MonthlyIncome]]&lt;3000,"&lt;3K",
HR_Data[[#This Row],[MonthlyIncome]]&lt;6000,"3K-6K",
HR_Data[[#This Row],[MonthlyIncome]]&lt;10000,"6K-10K",
TRUE,"10K+"
)</f>
        <v>3K-6K</v>
      </c>
      <c r="AL523" t="str" cm="1">
        <f t="array" ref="AL523">_xlfn.IFS(
HR_Data[[#This Row],[YearsAtCompany]]&lt;2,"&lt;2 Years",
HR_Data[[#This Row],[YearsAtCompany]]&lt;5,"2-4 Years",
HR_Data[[#This Row],[YearsAtCompany]]&lt;10,"5-9 Years",
TRUE,"10+ Years"
)</f>
        <v>5-9 Years</v>
      </c>
      <c r="AM523" s="1">
        <f>IF(HR_Data[[#This Row],[Attrition]]="Yes",1,0)</f>
        <v>0</v>
      </c>
    </row>
    <row r="524" spans="1:39" x14ac:dyDescent="0.3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 cm="1">
        <f t="array" ref="AJ524">_xlfn.IFS(
HR_Data[[#This Row],[Age]]&lt;25,"Under 25",
HR_Data[[#This Row],[Age]]&lt;35,"25-34",
HR_Data[[#This Row],[Age]]&lt;45,"35-44",
HR_Data[[#This Row],[Age]]&lt;55,"45-54",
TRUE,"55+"
)</f>
        <v>35-44</v>
      </c>
      <c r="AK524" t="str" cm="1">
        <f t="array" ref="AK524">_xlfn.IFS(
HR_Data[[#This Row],[MonthlyIncome]]&lt;3000,"&lt;3K",
HR_Data[[#This Row],[MonthlyIncome]]&lt;6000,"3K-6K",
HR_Data[[#This Row],[MonthlyIncome]]&lt;10000,"6K-10K",
TRUE,"10K+"
)</f>
        <v>3K-6K</v>
      </c>
      <c r="AL524" t="str" cm="1">
        <f t="array" ref="AL524">_xlfn.IFS(
HR_Data[[#This Row],[YearsAtCompany]]&lt;2,"&lt;2 Years",
HR_Data[[#This Row],[YearsAtCompany]]&lt;5,"2-4 Years",
HR_Data[[#This Row],[YearsAtCompany]]&lt;10,"5-9 Years",
TRUE,"10+ Years"
)</f>
        <v>&lt;2 Years</v>
      </c>
      <c r="AM524" s="1">
        <f>IF(HR_Data[[#This Row],[Attrition]]="Yes",1,0)</f>
        <v>0</v>
      </c>
    </row>
    <row r="525" spans="1:39" x14ac:dyDescent="0.3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 cm="1">
        <f t="array" ref="AJ525">_xlfn.IFS(
HR_Data[[#This Row],[Age]]&lt;25,"Under 25",
HR_Data[[#This Row],[Age]]&lt;35,"25-34",
HR_Data[[#This Row],[Age]]&lt;45,"35-44",
HR_Data[[#This Row],[Age]]&lt;55,"45-54",
TRUE,"55+"
)</f>
        <v>45-54</v>
      </c>
      <c r="AK525" t="str" cm="1">
        <f t="array" ref="AK525">_xlfn.IFS(
HR_Data[[#This Row],[MonthlyIncome]]&lt;3000,"&lt;3K",
HR_Data[[#This Row],[MonthlyIncome]]&lt;6000,"3K-6K",
HR_Data[[#This Row],[MonthlyIncome]]&lt;10000,"6K-10K",
TRUE,"10K+"
)</f>
        <v>3K-6K</v>
      </c>
      <c r="AL525" t="str" cm="1">
        <f t="array" ref="AL525">_xlfn.IFS(
HR_Data[[#This Row],[YearsAtCompany]]&lt;2,"&lt;2 Years",
HR_Data[[#This Row],[YearsAtCompany]]&lt;5,"2-4 Years",
HR_Data[[#This Row],[YearsAtCompany]]&lt;10,"5-9 Years",
TRUE,"10+ Years"
)</f>
        <v>10+ Years</v>
      </c>
      <c r="AM525" s="1">
        <f>IF(HR_Data[[#This Row],[Attrition]]="Yes",1,0)</f>
        <v>0</v>
      </c>
    </row>
    <row r="526" spans="1:39" x14ac:dyDescent="0.3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 cm="1">
        <f t="array" ref="AJ526">_xlfn.IFS(
HR_Data[[#This Row],[Age]]&lt;25,"Under 25",
HR_Data[[#This Row],[Age]]&lt;35,"25-34",
HR_Data[[#This Row],[Age]]&lt;45,"35-44",
HR_Data[[#This Row],[Age]]&lt;55,"45-54",
TRUE,"55+"
)</f>
        <v>25-34</v>
      </c>
      <c r="AK526" t="str" cm="1">
        <f t="array" ref="AK526">_xlfn.IFS(
HR_Data[[#This Row],[MonthlyIncome]]&lt;3000,"&lt;3K",
HR_Data[[#This Row],[MonthlyIncome]]&lt;6000,"3K-6K",
HR_Data[[#This Row],[MonthlyIncome]]&lt;10000,"6K-10K",
TRUE,"10K+"
)</f>
        <v>6K-10K</v>
      </c>
      <c r="AL526" t="str" cm="1">
        <f t="array" ref="AL526">_xlfn.IFS(
HR_Data[[#This Row],[YearsAtCompany]]&lt;2,"&lt;2 Years",
HR_Data[[#This Row],[YearsAtCompany]]&lt;5,"2-4 Years",
HR_Data[[#This Row],[YearsAtCompany]]&lt;10,"5-9 Years",
TRUE,"10+ Years"
)</f>
        <v>5-9 Years</v>
      </c>
      <c r="AM526" s="1">
        <f>IF(HR_Data[[#This Row],[Attrition]]="Yes",1,0)</f>
        <v>0</v>
      </c>
    </row>
    <row r="527" spans="1:39" x14ac:dyDescent="0.3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 cm="1">
        <f t="array" ref="AJ527">_xlfn.IFS(
HR_Data[[#This Row],[Age]]&lt;25,"Under 25",
HR_Data[[#This Row],[Age]]&lt;35,"25-34",
HR_Data[[#This Row],[Age]]&lt;45,"35-44",
HR_Data[[#This Row],[Age]]&lt;55,"45-54",
TRUE,"55+"
)</f>
        <v>Under 25</v>
      </c>
      <c r="AK527" t="str" cm="1">
        <f t="array" ref="AK527">_xlfn.IFS(
HR_Data[[#This Row],[MonthlyIncome]]&lt;3000,"&lt;3K",
HR_Data[[#This Row],[MonthlyIncome]]&lt;6000,"3K-6K",
HR_Data[[#This Row],[MonthlyIncome]]&lt;10000,"6K-10K",
TRUE,"10K+"
)</f>
        <v>3K-6K</v>
      </c>
      <c r="AL527" t="str" cm="1">
        <f t="array" ref="AL527">_xlfn.IFS(
HR_Data[[#This Row],[YearsAtCompany]]&lt;2,"&lt;2 Years",
HR_Data[[#This Row],[YearsAtCompany]]&lt;5,"2-4 Years",
HR_Data[[#This Row],[YearsAtCompany]]&lt;10,"5-9 Years",
TRUE,"10+ Years"
)</f>
        <v>2-4 Years</v>
      </c>
      <c r="AM527" s="1">
        <f>IF(HR_Data[[#This Row],[Attrition]]="Yes",1,0)</f>
        <v>1</v>
      </c>
    </row>
    <row r="528" spans="1:39" x14ac:dyDescent="0.3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 cm="1">
        <f t="array" ref="AJ528">_xlfn.IFS(
HR_Data[[#This Row],[Age]]&lt;25,"Under 25",
HR_Data[[#This Row],[Age]]&lt;35,"25-34",
HR_Data[[#This Row],[Age]]&lt;45,"35-44",
HR_Data[[#This Row],[Age]]&lt;55,"45-54",
TRUE,"55+"
)</f>
        <v>35-44</v>
      </c>
      <c r="AK528" t="str" cm="1">
        <f t="array" ref="AK528">_xlfn.IFS(
HR_Data[[#This Row],[MonthlyIncome]]&lt;3000,"&lt;3K",
HR_Data[[#This Row],[MonthlyIncome]]&lt;6000,"3K-6K",
HR_Data[[#This Row],[MonthlyIncome]]&lt;10000,"6K-10K",
TRUE,"10K+"
)</f>
        <v>3K-6K</v>
      </c>
      <c r="AL528" t="str" cm="1">
        <f t="array" ref="AL528">_xlfn.IFS(
HR_Data[[#This Row],[YearsAtCompany]]&lt;2,"&lt;2 Years",
HR_Data[[#This Row],[YearsAtCompany]]&lt;5,"2-4 Years",
HR_Data[[#This Row],[YearsAtCompany]]&lt;10,"5-9 Years",
TRUE,"10+ Years"
)</f>
        <v>10+ Years</v>
      </c>
      <c r="AM528" s="1">
        <f>IF(HR_Data[[#This Row],[Attrition]]="Yes",1,0)</f>
        <v>0</v>
      </c>
    </row>
    <row r="529" spans="1:39" x14ac:dyDescent="0.3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 cm="1">
        <f t="array" ref="AJ529">_xlfn.IFS(
HR_Data[[#This Row],[Age]]&lt;25,"Under 25",
HR_Data[[#This Row],[Age]]&lt;35,"25-34",
HR_Data[[#This Row],[Age]]&lt;45,"35-44",
HR_Data[[#This Row],[Age]]&lt;55,"45-54",
TRUE,"55+"
)</f>
        <v>25-34</v>
      </c>
      <c r="AK529" t="str" cm="1">
        <f t="array" ref="AK529">_xlfn.IFS(
HR_Data[[#This Row],[MonthlyIncome]]&lt;3000,"&lt;3K",
HR_Data[[#This Row],[MonthlyIncome]]&lt;6000,"3K-6K",
HR_Data[[#This Row],[MonthlyIncome]]&lt;10000,"6K-10K",
TRUE,"10K+"
)</f>
        <v>3K-6K</v>
      </c>
      <c r="AL529" t="str" cm="1">
        <f t="array" ref="AL529">_xlfn.IFS(
HR_Data[[#This Row],[YearsAtCompany]]&lt;2,"&lt;2 Years",
HR_Data[[#This Row],[YearsAtCompany]]&lt;5,"2-4 Years",
HR_Data[[#This Row],[YearsAtCompany]]&lt;10,"5-9 Years",
TRUE,"10+ Years"
)</f>
        <v>10+ Years</v>
      </c>
      <c r="AM529" s="1">
        <f>IF(HR_Data[[#This Row],[Attrition]]="Yes",1,0)</f>
        <v>0</v>
      </c>
    </row>
    <row r="530" spans="1:39" x14ac:dyDescent="0.3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 cm="1">
        <f t="array" ref="AJ530">_xlfn.IFS(
HR_Data[[#This Row],[Age]]&lt;25,"Under 25",
HR_Data[[#This Row],[Age]]&lt;35,"25-34",
HR_Data[[#This Row],[Age]]&lt;45,"35-44",
HR_Data[[#This Row],[Age]]&lt;55,"45-54",
TRUE,"55+"
)</f>
        <v>45-54</v>
      </c>
      <c r="AK530" t="str" cm="1">
        <f t="array" ref="AK530">_xlfn.IFS(
HR_Data[[#This Row],[MonthlyIncome]]&lt;3000,"&lt;3K",
HR_Data[[#This Row],[MonthlyIncome]]&lt;6000,"3K-6K",
HR_Data[[#This Row],[MonthlyIncome]]&lt;10000,"6K-10K",
TRUE,"10K+"
)</f>
        <v>6K-10K</v>
      </c>
      <c r="AL530" t="str" cm="1">
        <f t="array" ref="AL530">_xlfn.IFS(
HR_Data[[#This Row],[YearsAtCompany]]&lt;2,"&lt;2 Years",
HR_Data[[#This Row],[YearsAtCompany]]&lt;5,"2-4 Years",
HR_Data[[#This Row],[YearsAtCompany]]&lt;10,"5-9 Years",
TRUE,"10+ Years"
)</f>
        <v>2-4 Years</v>
      </c>
      <c r="AM530" s="1">
        <f>IF(HR_Data[[#This Row],[Attrition]]="Yes",1,0)</f>
        <v>1</v>
      </c>
    </row>
    <row r="531" spans="1:39" x14ac:dyDescent="0.3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 cm="1">
        <f t="array" ref="AJ531">_xlfn.IFS(
HR_Data[[#This Row],[Age]]&lt;25,"Under 25",
HR_Data[[#This Row],[Age]]&lt;35,"25-34",
HR_Data[[#This Row],[Age]]&lt;45,"35-44",
HR_Data[[#This Row],[Age]]&lt;55,"45-54",
TRUE,"55+"
)</f>
        <v>35-44</v>
      </c>
      <c r="AK531" t="str" cm="1">
        <f t="array" ref="AK531">_xlfn.IFS(
HR_Data[[#This Row],[MonthlyIncome]]&lt;3000,"&lt;3K",
HR_Data[[#This Row],[MonthlyIncome]]&lt;6000,"3K-6K",
HR_Data[[#This Row],[MonthlyIncome]]&lt;10000,"6K-10K",
TRUE,"10K+"
)</f>
        <v>6K-10K</v>
      </c>
      <c r="AL531" t="str" cm="1">
        <f t="array" ref="AL531">_xlfn.IFS(
HR_Data[[#This Row],[YearsAtCompany]]&lt;2,"&lt;2 Years",
HR_Data[[#This Row],[YearsAtCompany]]&lt;5,"2-4 Years",
HR_Data[[#This Row],[YearsAtCompany]]&lt;10,"5-9 Years",
TRUE,"10+ Years"
)</f>
        <v>5-9 Years</v>
      </c>
      <c r="AM531" s="1">
        <f>IF(HR_Data[[#This Row],[Attrition]]="Yes",1,0)</f>
        <v>0</v>
      </c>
    </row>
    <row r="532" spans="1:39" x14ac:dyDescent="0.3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 cm="1">
        <f t="array" ref="AJ532">_xlfn.IFS(
HR_Data[[#This Row],[Age]]&lt;25,"Under 25",
HR_Data[[#This Row],[Age]]&lt;35,"25-34",
HR_Data[[#This Row],[Age]]&lt;45,"35-44",
HR_Data[[#This Row],[Age]]&lt;55,"45-54",
TRUE,"55+"
)</f>
        <v>25-34</v>
      </c>
      <c r="AK532" t="str" cm="1">
        <f t="array" ref="AK532">_xlfn.IFS(
HR_Data[[#This Row],[MonthlyIncome]]&lt;3000,"&lt;3K",
HR_Data[[#This Row],[MonthlyIncome]]&lt;6000,"3K-6K",
HR_Data[[#This Row],[MonthlyIncome]]&lt;10000,"6K-10K",
TRUE,"10K+"
)</f>
        <v>6K-10K</v>
      </c>
      <c r="AL532" t="str" cm="1">
        <f t="array" ref="AL532">_xlfn.IFS(
HR_Data[[#This Row],[YearsAtCompany]]&lt;2,"&lt;2 Years",
HR_Data[[#This Row],[YearsAtCompany]]&lt;5,"2-4 Years",
HR_Data[[#This Row],[YearsAtCompany]]&lt;10,"5-9 Years",
TRUE,"10+ Years"
)</f>
        <v>5-9 Years</v>
      </c>
      <c r="AM532" s="1">
        <f>IF(HR_Data[[#This Row],[Attrition]]="Yes",1,0)</f>
        <v>0</v>
      </c>
    </row>
    <row r="533" spans="1:39" x14ac:dyDescent="0.3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 cm="1">
        <f t="array" ref="AJ533">_xlfn.IFS(
HR_Data[[#This Row],[Age]]&lt;25,"Under 25",
HR_Data[[#This Row],[Age]]&lt;35,"25-34",
HR_Data[[#This Row],[Age]]&lt;45,"35-44",
HR_Data[[#This Row],[Age]]&lt;55,"45-54",
TRUE,"55+"
)</f>
        <v>25-34</v>
      </c>
      <c r="AK533" t="str" cm="1">
        <f t="array" ref="AK533">_xlfn.IFS(
HR_Data[[#This Row],[MonthlyIncome]]&lt;3000,"&lt;3K",
HR_Data[[#This Row],[MonthlyIncome]]&lt;6000,"3K-6K",
HR_Data[[#This Row],[MonthlyIncome]]&lt;10000,"6K-10K",
TRUE,"10K+"
)</f>
        <v>10K+</v>
      </c>
      <c r="AL533" t="str" cm="1">
        <f t="array" ref="AL533">_xlfn.IFS(
HR_Data[[#This Row],[YearsAtCompany]]&lt;2,"&lt;2 Years",
HR_Data[[#This Row],[YearsAtCompany]]&lt;5,"2-4 Years",
HR_Data[[#This Row],[YearsAtCompany]]&lt;10,"5-9 Years",
TRUE,"10+ Years"
)</f>
        <v>5-9 Years</v>
      </c>
      <c r="AM533" s="1">
        <f>IF(HR_Data[[#This Row],[Attrition]]="Yes",1,0)</f>
        <v>0</v>
      </c>
    </row>
    <row r="534" spans="1:39" x14ac:dyDescent="0.3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 cm="1">
        <f t="array" ref="AJ534">_xlfn.IFS(
HR_Data[[#This Row],[Age]]&lt;25,"Under 25",
HR_Data[[#This Row],[Age]]&lt;35,"25-34",
HR_Data[[#This Row],[Age]]&lt;45,"35-44",
HR_Data[[#This Row],[Age]]&lt;55,"45-54",
TRUE,"55+"
)</f>
        <v>45-54</v>
      </c>
      <c r="AK534" t="str" cm="1">
        <f t="array" ref="AK534">_xlfn.IFS(
HR_Data[[#This Row],[MonthlyIncome]]&lt;3000,"&lt;3K",
HR_Data[[#This Row],[MonthlyIncome]]&lt;6000,"3K-6K",
HR_Data[[#This Row],[MonthlyIncome]]&lt;10000,"6K-10K",
TRUE,"10K+"
)</f>
        <v>3K-6K</v>
      </c>
      <c r="AL534" t="str" cm="1">
        <f t="array" ref="AL534">_xlfn.IFS(
HR_Data[[#This Row],[YearsAtCompany]]&lt;2,"&lt;2 Years",
HR_Data[[#This Row],[YearsAtCompany]]&lt;5,"2-4 Years",
HR_Data[[#This Row],[YearsAtCompany]]&lt;10,"5-9 Years",
TRUE,"10+ Years"
)</f>
        <v>5-9 Years</v>
      </c>
      <c r="AM534" s="1">
        <f>IF(HR_Data[[#This Row],[Attrition]]="Yes",1,0)</f>
        <v>0</v>
      </c>
    </row>
    <row r="535" spans="1:39" x14ac:dyDescent="0.3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 cm="1">
        <f t="array" ref="AJ535">_xlfn.IFS(
HR_Data[[#This Row],[Age]]&lt;25,"Under 25",
HR_Data[[#This Row],[Age]]&lt;35,"25-34",
HR_Data[[#This Row],[Age]]&lt;45,"35-44",
HR_Data[[#This Row],[Age]]&lt;55,"45-54",
TRUE,"55+"
)</f>
        <v>35-44</v>
      </c>
      <c r="AK535" t="str" cm="1">
        <f t="array" ref="AK535">_xlfn.IFS(
HR_Data[[#This Row],[MonthlyIncome]]&lt;3000,"&lt;3K",
HR_Data[[#This Row],[MonthlyIncome]]&lt;6000,"3K-6K",
HR_Data[[#This Row],[MonthlyIncome]]&lt;10000,"6K-10K",
TRUE,"10K+"
)</f>
        <v>10K+</v>
      </c>
      <c r="AL535" t="str" cm="1">
        <f t="array" ref="AL535">_xlfn.IFS(
HR_Data[[#This Row],[YearsAtCompany]]&lt;2,"&lt;2 Years",
HR_Data[[#This Row],[YearsAtCompany]]&lt;5,"2-4 Years",
HR_Data[[#This Row],[YearsAtCompany]]&lt;10,"5-9 Years",
TRUE,"10+ Years"
)</f>
        <v>10+ Years</v>
      </c>
      <c r="AM535" s="1">
        <f>IF(HR_Data[[#This Row],[Attrition]]="Yes",1,0)</f>
        <v>0</v>
      </c>
    </row>
    <row r="536" spans="1:39" x14ac:dyDescent="0.3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 cm="1">
        <f t="array" ref="AJ536">_xlfn.IFS(
HR_Data[[#This Row],[Age]]&lt;25,"Under 25",
HR_Data[[#This Row],[Age]]&lt;35,"25-34",
HR_Data[[#This Row],[Age]]&lt;45,"35-44",
HR_Data[[#This Row],[Age]]&lt;55,"45-54",
TRUE,"55+"
)</f>
        <v>45-54</v>
      </c>
      <c r="AK536" t="str" cm="1">
        <f t="array" ref="AK536">_xlfn.IFS(
HR_Data[[#This Row],[MonthlyIncome]]&lt;3000,"&lt;3K",
HR_Data[[#This Row],[MonthlyIncome]]&lt;6000,"3K-6K",
HR_Data[[#This Row],[MonthlyIncome]]&lt;10000,"6K-10K",
TRUE,"10K+"
)</f>
        <v>10K+</v>
      </c>
      <c r="AL536" t="str" cm="1">
        <f t="array" ref="AL536">_xlfn.IFS(
HR_Data[[#This Row],[YearsAtCompany]]&lt;2,"&lt;2 Years",
HR_Data[[#This Row],[YearsAtCompany]]&lt;5,"2-4 Years",
HR_Data[[#This Row],[YearsAtCompany]]&lt;10,"5-9 Years",
TRUE,"10+ Years"
)</f>
        <v>5-9 Years</v>
      </c>
      <c r="AM536" s="1">
        <f>IF(HR_Data[[#This Row],[Attrition]]="Yes",1,0)</f>
        <v>0</v>
      </c>
    </row>
    <row r="537" spans="1:39" x14ac:dyDescent="0.3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 cm="1">
        <f t="array" ref="AJ537">_xlfn.IFS(
HR_Data[[#This Row],[Age]]&lt;25,"Under 25",
HR_Data[[#This Row],[Age]]&lt;35,"25-34",
HR_Data[[#This Row],[Age]]&lt;45,"35-44",
HR_Data[[#This Row],[Age]]&lt;55,"45-54",
TRUE,"55+"
)</f>
        <v>35-44</v>
      </c>
      <c r="AK537" t="str" cm="1">
        <f t="array" ref="AK537">_xlfn.IFS(
HR_Data[[#This Row],[MonthlyIncome]]&lt;3000,"&lt;3K",
HR_Data[[#This Row],[MonthlyIncome]]&lt;6000,"3K-6K",
HR_Data[[#This Row],[MonthlyIncome]]&lt;10000,"6K-10K",
TRUE,"10K+"
)</f>
        <v>10K+</v>
      </c>
      <c r="AL537" t="str" cm="1">
        <f t="array" ref="AL537">_xlfn.IFS(
HR_Data[[#This Row],[YearsAtCompany]]&lt;2,"&lt;2 Years",
HR_Data[[#This Row],[YearsAtCompany]]&lt;5,"2-4 Years",
HR_Data[[#This Row],[YearsAtCompany]]&lt;10,"5-9 Years",
TRUE,"10+ Years"
)</f>
        <v>10+ Years</v>
      </c>
      <c r="AM537" s="1">
        <f>IF(HR_Data[[#This Row],[Attrition]]="Yes",1,0)</f>
        <v>0</v>
      </c>
    </row>
    <row r="538" spans="1:39" x14ac:dyDescent="0.3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 cm="1">
        <f t="array" ref="AJ538">_xlfn.IFS(
HR_Data[[#This Row],[Age]]&lt;25,"Under 25",
HR_Data[[#This Row],[Age]]&lt;35,"25-34",
HR_Data[[#This Row],[Age]]&lt;45,"35-44",
HR_Data[[#This Row],[Age]]&lt;55,"45-54",
TRUE,"55+"
)</f>
        <v>55+</v>
      </c>
      <c r="AK538" t="str" cm="1">
        <f t="array" ref="AK538">_xlfn.IFS(
HR_Data[[#This Row],[MonthlyIncome]]&lt;3000,"&lt;3K",
HR_Data[[#This Row],[MonthlyIncome]]&lt;6000,"3K-6K",
HR_Data[[#This Row],[MonthlyIncome]]&lt;10000,"6K-10K",
TRUE,"10K+"
)</f>
        <v>3K-6K</v>
      </c>
      <c r="AL538" t="str" cm="1">
        <f t="array" ref="AL538">_xlfn.IFS(
HR_Data[[#This Row],[YearsAtCompany]]&lt;2,"&lt;2 Years",
HR_Data[[#This Row],[YearsAtCompany]]&lt;5,"2-4 Years",
HR_Data[[#This Row],[YearsAtCompany]]&lt;10,"5-9 Years",
TRUE,"10+ Years"
)</f>
        <v>2-4 Years</v>
      </c>
      <c r="AM538" s="1">
        <f>IF(HR_Data[[#This Row],[Attrition]]="Yes",1,0)</f>
        <v>0</v>
      </c>
    </row>
    <row r="539" spans="1:39" x14ac:dyDescent="0.3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 cm="1">
        <f t="array" ref="AJ539">_xlfn.IFS(
HR_Data[[#This Row],[Age]]&lt;25,"Under 25",
HR_Data[[#This Row],[Age]]&lt;35,"25-34",
HR_Data[[#This Row],[Age]]&lt;45,"35-44",
HR_Data[[#This Row],[Age]]&lt;55,"45-54",
TRUE,"55+"
)</f>
        <v>25-34</v>
      </c>
      <c r="AK539" t="str" cm="1">
        <f t="array" ref="AK539">_xlfn.IFS(
HR_Data[[#This Row],[MonthlyIncome]]&lt;3000,"&lt;3K",
HR_Data[[#This Row],[MonthlyIncome]]&lt;6000,"3K-6K",
HR_Data[[#This Row],[MonthlyIncome]]&lt;10000,"6K-10K",
TRUE,"10K+"
)</f>
        <v>6K-10K</v>
      </c>
      <c r="AL539" t="str" cm="1">
        <f t="array" ref="AL539">_xlfn.IFS(
HR_Data[[#This Row],[YearsAtCompany]]&lt;2,"&lt;2 Years",
HR_Data[[#This Row],[YearsAtCompany]]&lt;5,"2-4 Years",
HR_Data[[#This Row],[YearsAtCompany]]&lt;10,"5-9 Years",
TRUE,"10+ Years"
)</f>
        <v>5-9 Years</v>
      </c>
      <c r="AM539" s="1">
        <f>IF(HR_Data[[#This Row],[Attrition]]="Yes",1,0)</f>
        <v>0</v>
      </c>
    </row>
    <row r="540" spans="1:39" x14ac:dyDescent="0.3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 cm="1">
        <f t="array" ref="AJ540">_xlfn.IFS(
HR_Data[[#This Row],[Age]]&lt;25,"Under 25",
HR_Data[[#This Row],[Age]]&lt;35,"25-34",
HR_Data[[#This Row],[Age]]&lt;45,"35-44",
HR_Data[[#This Row],[Age]]&lt;55,"45-54",
TRUE,"55+"
)</f>
        <v>35-44</v>
      </c>
      <c r="AK540" t="str" cm="1">
        <f t="array" ref="AK540">_xlfn.IFS(
HR_Data[[#This Row],[MonthlyIncome]]&lt;3000,"&lt;3K",
HR_Data[[#This Row],[MonthlyIncome]]&lt;6000,"3K-6K",
HR_Data[[#This Row],[MonthlyIncome]]&lt;10000,"6K-10K",
TRUE,"10K+"
)</f>
        <v>10K+</v>
      </c>
      <c r="AL540" t="str" cm="1">
        <f t="array" ref="AL540">_xlfn.IFS(
HR_Data[[#This Row],[YearsAtCompany]]&lt;2,"&lt;2 Years",
HR_Data[[#This Row],[YearsAtCompany]]&lt;5,"2-4 Years",
HR_Data[[#This Row],[YearsAtCompany]]&lt;10,"5-9 Years",
TRUE,"10+ Years"
)</f>
        <v>10+ Years</v>
      </c>
      <c r="AM540" s="1">
        <f>IF(HR_Data[[#This Row],[Attrition]]="Yes",1,0)</f>
        <v>0</v>
      </c>
    </row>
    <row r="541" spans="1:39" x14ac:dyDescent="0.3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 cm="1">
        <f t="array" ref="AJ541">_xlfn.IFS(
HR_Data[[#This Row],[Age]]&lt;25,"Under 25",
HR_Data[[#This Row],[Age]]&lt;35,"25-34",
HR_Data[[#This Row],[Age]]&lt;45,"35-44",
HR_Data[[#This Row],[Age]]&lt;55,"45-54",
TRUE,"55+"
)</f>
        <v>45-54</v>
      </c>
      <c r="AK541" t="str" cm="1">
        <f t="array" ref="AK541">_xlfn.IFS(
HR_Data[[#This Row],[MonthlyIncome]]&lt;3000,"&lt;3K",
HR_Data[[#This Row],[MonthlyIncome]]&lt;6000,"3K-6K",
HR_Data[[#This Row],[MonthlyIncome]]&lt;10000,"6K-10K",
TRUE,"10K+"
)</f>
        <v>3K-6K</v>
      </c>
      <c r="AL541" t="str" cm="1">
        <f t="array" ref="AL541">_xlfn.IFS(
HR_Data[[#This Row],[YearsAtCompany]]&lt;2,"&lt;2 Years",
HR_Data[[#This Row],[YearsAtCompany]]&lt;5,"2-4 Years",
HR_Data[[#This Row],[YearsAtCompany]]&lt;10,"5-9 Years",
TRUE,"10+ Years"
)</f>
        <v>2-4 Years</v>
      </c>
      <c r="AM541" s="1">
        <f>IF(HR_Data[[#This Row],[Attrition]]="Yes",1,0)</f>
        <v>0</v>
      </c>
    </row>
    <row r="542" spans="1:39" x14ac:dyDescent="0.3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 cm="1">
        <f t="array" ref="AJ542">_xlfn.IFS(
HR_Data[[#This Row],[Age]]&lt;25,"Under 25",
HR_Data[[#This Row],[Age]]&lt;35,"25-34",
HR_Data[[#This Row],[Age]]&lt;45,"35-44",
HR_Data[[#This Row],[Age]]&lt;55,"45-54",
TRUE,"55+"
)</f>
        <v>25-34</v>
      </c>
      <c r="AK542" t="str" cm="1">
        <f t="array" ref="AK542">_xlfn.IFS(
HR_Data[[#This Row],[MonthlyIncome]]&lt;3000,"&lt;3K",
HR_Data[[#This Row],[MonthlyIncome]]&lt;6000,"3K-6K",
HR_Data[[#This Row],[MonthlyIncome]]&lt;10000,"6K-10K",
TRUE,"10K+"
)</f>
        <v>&lt;3K</v>
      </c>
      <c r="AL542" t="str" cm="1">
        <f t="array" ref="AL542">_xlfn.IFS(
HR_Data[[#This Row],[YearsAtCompany]]&lt;2,"&lt;2 Years",
HR_Data[[#This Row],[YearsAtCompany]]&lt;5,"2-4 Years",
HR_Data[[#This Row],[YearsAtCompany]]&lt;10,"5-9 Years",
TRUE,"10+ Years"
)</f>
        <v>5-9 Years</v>
      </c>
      <c r="AM542" s="1">
        <f>IF(HR_Data[[#This Row],[Attrition]]="Yes",1,0)</f>
        <v>1</v>
      </c>
    </row>
    <row r="543" spans="1:39" x14ac:dyDescent="0.3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 cm="1">
        <f t="array" ref="AJ543">_xlfn.IFS(
HR_Data[[#This Row],[Age]]&lt;25,"Under 25",
HR_Data[[#This Row],[Age]]&lt;35,"25-34",
HR_Data[[#This Row],[Age]]&lt;45,"35-44",
HR_Data[[#This Row],[Age]]&lt;55,"45-54",
TRUE,"55+"
)</f>
        <v>35-44</v>
      </c>
      <c r="AK543" t="str" cm="1">
        <f t="array" ref="AK543">_xlfn.IFS(
HR_Data[[#This Row],[MonthlyIncome]]&lt;3000,"&lt;3K",
HR_Data[[#This Row],[MonthlyIncome]]&lt;6000,"3K-6K",
HR_Data[[#This Row],[MonthlyIncome]]&lt;10000,"6K-10K",
TRUE,"10K+"
)</f>
        <v>10K+</v>
      </c>
      <c r="AL543" t="str" cm="1">
        <f t="array" ref="AL543">_xlfn.IFS(
HR_Data[[#This Row],[YearsAtCompany]]&lt;2,"&lt;2 Years",
HR_Data[[#This Row],[YearsAtCompany]]&lt;5,"2-4 Years",
HR_Data[[#This Row],[YearsAtCompany]]&lt;10,"5-9 Years",
TRUE,"10+ Years"
)</f>
        <v>5-9 Years</v>
      </c>
      <c r="AM543" s="1">
        <f>IF(HR_Data[[#This Row],[Attrition]]="Yes",1,0)</f>
        <v>0</v>
      </c>
    </row>
    <row r="544" spans="1:39" x14ac:dyDescent="0.3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 cm="1">
        <f t="array" ref="AJ544">_xlfn.IFS(
HR_Data[[#This Row],[Age]]&lt;25,"Under 25",
HR_Data[[#This Row],[Age]]&lt;35,"25-34",
HR_Data[[#This Row],[Age]]&lt;45,"35-44",
HR_Data[[#This Row],[Age]]&lt;55,"45-54",
TRUE,"55+"
)</f>
        <v>35-44</v>
      </c>
      <c r="AK544" t="str" cm="1">
        <f t="array" ref="AK544">_xlfn.IFS(
HR_Data[[#This Row],[MonthlyIncome]]&lt;3000,"&lt;3K",
HR_Data[[#This Row],[MonthlyIncome]]&lt;6000,"3K-6K",
HR_Data[[#This Row],[MonthlyIncome]]&lt;10000,"6K-10K",
TRUE,"10K+"
)</f>
        <v>6K-10K</v>
      </c>
      <c r="AL544" t="str" cm="1">
        <f t="array" ref="AL544">_xlfn.IFS(
HR_Data[[#This Row],[YearsAtCompany]]&lt;2,"&lt;2 Years",
HR_Data[[#This Row],[YearsAtCompany]]&lt;5,"2-4 Years",
HR_Data[[#This Row],[YearsAtCompany]]&lt;10,"5-9 Years",
TRUE,"10+ Years"
)</f>
        <v>&lt;2 Years</v>
      </c>
      <c r="AM544" s="1">
        <f>IF(HR_Data[[#This Row],[Attrition]]="Yes",1,0)</f>
        <v>0</v>
      </c>
    </row>
    <row r="545" spans="1:39" x14ac:dyDescent="0.3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 cm="1">
        <f t="array" ref="AJ545">_xlfn.IFS(
HR_Data[[#This Row],[Age]]&lt;25,"Under 25",
HR_Data[[#This Row],[Age]]&lt;35,"25-34",
HR_Data[[#This Row],[Age]]&lt;45,"35-44",
HR_Data[[#This Row],[Age]]&lt;55,"45-54",
TRUE,"55+"
)</f>
        <v>35-44</v>
      </c>
      <c r="AK545" t="str" cm="1">
        <f t="array" ref="AK545">_xlfn.IFS(
HR_Data[[#This Row],[MonthlyIncome]]&lt;3000,"&lt;3K",
HR_Data[[#This Row],[MonthlyIncome]]&lt;6000,"3K-6K",
HR_Data[[#This Row],[MonthlyIncome]]&lt;10000,"6K-10K",
TRUE,"10K+"
)</f>
        <v>3K-6K</v>
      </c>
      <c r="AL545" t="str" cm="1">
        <f t="array" ref="AL545">_xlfn.IFS(
HR_Data[[#This Row],[YearsAtCompany]]&lt;2,"&lt;2 Years",
HR_Data[[#This Row],[YearsAtCompany]]&lt;5,"2-4 Years",
HR_Data[[#This Row],[YearsAtCompany]]&lt;10,"5-9 Years",
TRUE,"10+ Years"
)</f>
        <v>5-9 Years</v>
      </c>
      <c r="AM545" s="1">
        <f>IF(HR_Data[[#This Row],[Attrition]]="Yes",1,0)</f>
        <v>0</v>
      </c>
    </row>
    <row r="546" spans="1:39" x14ac:dyDescent="0.3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 cm="1">
        <f t="array" ref="AJ546">_xlfn.IFS(
HR_Data[[#This Row],[Age]]&lt;25,"Under 25",
HR_Data[[#This Row],[Age]]&lt;35,"25-34",
HR_Data[[#This Row],[Age]]&lt;45,"35-44",
HR_Data[[#This Row],[Age]]&lt;55,"45-54",
TRUE,"55+"
)</f>
        <v>45-54</v>
      </c>
      <c r="AK546" t="str" cm="1">
        <f t="array" ref="AK546">_xlfn.IFS(
HR_Data[[#This Row],[MonthlyIncome]]&lt;3000,"&lt;3K",
HR_Data[[#This Row],[MonthlyIncome]]&lt;6000,"3K-6K",
HR_Data[[#This Row],[MonthlyIncome]]&lt;10000,"6K-10K",
TRUE,"10K+"
)</f>
        <v>10K+</v>
      </c>
      <c r="AL546" t="str" cm="1">
        <f t="array" ref="AL546">_xlfn.IFS(
HR_Data[[#This Row],[YearsAtCompany]]&lt;2,"&lt;2 Years",
HR_Data[[#This Row],[YearsAtCompany]]&lt;5,"2-4 Years",
HR_Data[[#This Row],[YearsAtCompany]]&lt;10,"5-9 Years",
TRUE,"10+ Years"
)</f>
        <v>10+ Years</v>
      </c>
      <c r="AM546" s="1">
        <f>IF(HR_Data[[#This Row],[Attrition]]="Yes",1,0)</f>
        <v>0</v>
      </c>
    </row>
    <row r="547" spans="1:39" x14ac:dyDescent="0.3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 cm="1">
        <f t="array" ref="AJ547">_xlfn.IFS(
HR_Data[[#This Row],[Age]]&lt;25,"Under 25",
HR_Data[[#This Row],[Age]]&lt;35,"25-34",
HR_Data[[#This Row],[Age]]&lt;45,"35-44",
HR_Data[[#This Row],[Age]]&lt;55,"45-54",
TRUE,"55+"
)</f>
        <v>25-34</v>
      </c>
      <c r="AK547" t="str" cm="1">
        <f t="array" ref="AK547">_xlfn.IFS(
HR_Data[[#This Row],[MonthlyIncome]]&lt;3000,"&lt;3K",
HR_Data[[#This Row],[MonthlyIncome]]&lt;6000,"3K-6K",
HR_Data[[#This Row],[MonthlyIncome]]&lt;10000,"6K-10K",
TRUE,"10K+"
)</f>
        <v>3K-6K</v>
      </c>
      <c r="AL547" t="str" cm="1">
        <f t="array" ref="AL547">_xlfn.IFS(
HR_Data[[#This Row],[YearsAtCompany]]&lt;2,"&lt;2 Years",
HR_Data[[#This Row],[YearsAtCompany]]&lt;5,"2-4 Years",
HR_Data[[#This Row],[YearsAtCompany]]&lt;10,"5-9 Years",
TRUE,"10+ Years"
)</f>
        <v>5-9 Years</v>
      </c>
      <c r="AM547" s="1">
        <f>IF(HR_Data[[#This Row],[Attrition]]="Yes",1,0)</f>
        <v>0</v>
      </c>
    </row>
    <row r="548" spans="1:39" x14ac:dyDescent="0.3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 cm="1">
        <f t="array" ref="AJ548">_xlfn.IFS(
HR_Data[[#This Row],[Age]]&lt;25,"Under 25",
HR_Data[[#This Row],[Age]]&lt;35,"25-34",
HR_Data[[#This Row],[Age]]&lt;45,"35-44",
HR_Data[[#This Row],[Age]]&lt;55,"45-54",
TRUE,"55+"
)</f>
        <v>25-34</v>
      </c>
      <c r="AK548" t="str" cm="1">
        <f t="array" ref="AK548">_xlfn.IFS(
HR_Data[[#This Row],[MonthlyIncome]]&lt;3000,"&lt;3K",
HR_Data[[#This Row],[MonthlyIncome]]&lt;6000,"3K-6K",
HR_Data[[#This Row],[MonthlyIncome]]&lt;10000,"6K-10K",
TRUE,"10K+"
)</f>
        <v>&lt;3K</v>
      </c>
      <c r="AL548" t="str" cm="1">
        <f t="array" ref="AL548">_xlfn.IFS(
HR_Data[[#This Row],[YearsAtCompany]]&lt;2,"&lt;2 Years",
HR_Data[[#This Row],[YearsAtCompany]]&lt;5,"2-4 Years",
HR_Data[[#This Row],[YearsAtCompany]]&lt;10,"5-9 Years",
TRUE,"10+ Years"
)</f>
        <v>&lt;2 Years</v>
      </c>
      <c r="AM548" s="1">
        <f>IF(HR_Data[[#This Row],[Attrition]]="Yes",1,0)</f>
        <v>0</v>
      </c>
    </row>
    <row r="549" spans="1:39" x14ac:dyDescent="0.3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 cm="1">
        <f t="array" ref="AJ549">_xlfn.IFS(
HR_Data[[#This Row],[Age]]&lt;25,"Under 25",
HR_Data[[#This Row],[Age]]&lt;35,"25-34",
HR_Data[[#This Row],[Age]]&lt;45,"35-44",
HR_Data[[#This Row],[Age]]&lt;55,"45-54",
TRUE,"55+"
)</f>
        <v>35-44</v>
      </c>
      <c r="AK549" t="str" cm="1">
        <f t="array" ref="AK549">_xlfn.IFS(
HR_Data[[#This Row],[MonthlyIncome]]&lt;3000,"&lt;3K",
HR_Data[[#This Row],[MonthlyIncome]]&lt;6000,"3K-6K",
HR_Data[[#This Row],[MonthlyIncome]]&lt;10000,"6K-10K",
TRUE,"10K+"
)</f>
        <v>&lt;3K</v>
      </c>
      <c r="AL549" t="str" cm="1">
        <f t="array" ref="AL549">_xlfn.IFS(
HR_Data[[#This Row],[YearsAtCompany]]&lt;2,"&lt;2 Years",
HR_Data[[#This Row],[YearsAtCompany]]&lt;5,"2-4 Years",
HR_Data[[#This Row],[YearsAtCompany]]&lt;10,"5-9 Years",
TRUE,"10+ Years"
)</f>
        <v>2-4 Years</v>
      </c>
      <c r="AM549" s="1">
        <f>IF(HR_Data[[#This Row],[Attrition]]="Yes",1,0)</f>
        <v>1</v>
      </c>
    </row>
    <row r="550" spans="1:39" x14ac:dyDescent="0.3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 cm="1">
        <f t="array" ref="AJ550">_xlfn.IFS(
HR_Data[[#This Row],[Age]]&lt;25,"Under 25",
HR_Data[[#This Row],[Age]]&lt;35,"25-34",
HR_Data[[#This Row],[Age]]&lt;45,"35-44",
HR_Data[[#This Row],[Age]]&lt;55,"45-54",
TRUE,"55+"
)</f>
        <v>35-44</v>
      </c>
      <c r="AK550" t="str" cm="1">
        <f t="array" ref="AK550">_xlfn.IFS(
HR_Data[[#This Row],[MonthlyIncome]]&lt;3000,"&lt;3K",
HR_Data[[#This Row],[MonthlyIncome]]&lt;6000,"3K-6K",
HR_Data[[#This Row],[MonthlyIncome]]&lt;10000,"6K-10K",
TRUE,"10K+"
)</f>
        <v>6K-10K</v>
      </c>
      <c r="AL550" t="str" cm="1">
        <f t="array" ref="AL550">_xlfn.IFS(
HR_Data[[#This Row],[YearsAtCompany]]&lt;2,"&lt;2 Years",
HR_Data[[#This Row],[YearsAtCompany]]&lt;5,"2-4 Years",
HR_Data[[#This Row],[YearsAtCompany]]&lt;10,"5-9 Years",
TRUE,"10+ Years"
)</f>
        <v>2-4 Years</v>
      </c>
      <c r="AM550" s="1">
        <f>IF(HR_Data[[#This Row],[Attrition]]="Yes",1,0)</f>
        <v>0</v>
      </c>
    </row>
    <row r="551" spans="1:39" x14ac:dyDescent="0.3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 cm="1">
        <f t="array" ref="AJ551">_xlfn.IFS(
HR_Data[[#This Row],[Age]]&lt;25,"Under 25",
HR_Data[[#This Row],[Age]]&lt;35,"25-34",
HR_Data[[#This Row],[Age]]&lt;45,"35-44",
HR_Data[[#This Row],[Age]]&lt;55,"45-54",
TRUE,"55+"
)</f>
        <v>25-34</v>
      </c>
      <c r="AK551" t="str" cm="1">
        <f t="array" ref="AK551">_xlfn.IFS(
HR_Data[[#This Row],[MonthlyIncome]]&lt;3000,"&lt;3K",
HR_Data[[#This Row],[MonthlyIncome]]&lt;6000,"3K-6K",
HR_Data[[#This Row],[MonthlyIncome]]&lt;10000,"6K-10K",
TRUE,"10K+"
)</f>
        <v>6K-10K</v>
      </c>
      <c r="AL551" t="str" cm="1">
        <f t="array" ref="AL551">_xlfn.IFS(
HR_Data[[#This Row],[YearsAtCompany]]&lt;2,"&lt;2 Years",
HR_Data[[#This Row],[YearsAtCompany]]&lt;5,"2-4 Years",
HR_Data[[#This Row],[YearsAtCompany]]&lt;10,"5-9 Years",
TRUE,"10+ Years"
)</f>
        <v>5-9 Years</v>
      </c>
      <c r="AM551" s="1">
        <f>IF(HR_Data[[#This Row],[Attrition]]="Yes",1,0)</f>
        <v>0</v>
      </c>
    </row>
    <row r="552" spans="1:39" x14ac:dyDescent="0.3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 cm="1">
        <f t="array" ref="AJ552">_xlfn.IFS(
HR_Data[[#This Row],[Age]]&lt;25,"Under 25",
HR_Data[[#This Row],[Age]]&lt;35,"25-34",
HR_Data[[#This Row],[Age]]&lt;45,"35-44",
HR_Data[[#This Row],[Age]]&lt;55,"45-54",
TRUE,"55+"
)</f>
        <v>Under 25</v>
      </c>
      <c r="AK552" t="str" cm="1">
        <f t="array" ref="AK552">_xlfn.IFS(
HR_Data[[#This Row],[MonthlyIncome]]&lt;3000,"&lt;3K",
HR_Data[[#This Row],[MonthlyIncome]]&lt;6000,"3K-6K",
HR_Data[[#This Row],[MonthlyIncome]]&lt;10000,"6K-10K",
TRUE,"10K+"
)</f>
        <v>&lt;3K</v>
      </c>
      <c r="AL552" t="str" cm="1">
        <f t="array" ref="AL552">_xlfn.IFS(
HR_Data[[#This Row],[YearsAtCompany]]&lt;2,"&lt;2 Years",
HR_Data[[#This Row],[YearsAtCompany]]&lt;5,"2-4 Years",
HR_Data[[#This Row],[YearsAtCompany]]&lt;10,"5-9 Years",
TRUE,"10+ Years"
)</f>
        <v>2-4 Years</v>
      </c>
      <c r="AM552" s="1">
        <f>IF(HR_Data[[#This Row],[Attrition]]="Yes",1,0)</f>
        <v>0</v>
      </c>
    </row>
    <row r="553" spans="1:39" x14ac:dyDescent="0.3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 cm="1">
        <f t="array" ref="AJ553">_xlfn.IFS(
HR_Data[[#This Row],[Age]]&lt;25,"Under 25",
HR_Data[[#This Row],[Age]]&lt;35,"25-34",
HR_Data[[#This Row],[Age]]&lt;45,"35-44",
HR_Data[[#This Row],[Age]]&lt;55,"45-54",
TRUE,"55+"
)</f>
        <v>35-44</v>
      </c>
      <c r="AK553" t="str" cm="1">
        <f t="array" ref="AK553">_xlfn.IFS(
HR_Data[[#This Row],[MonthlyIncome]]&lt;3000,"&lt;3K",
HR_Data[[#This Row],[MonthlyIncome]]&lt;6000,"3K-6K",
HR_Data[[#This Row],[MonthlyIncome]]&lt;10000,"6K-10K",
TRUE,"10K+"
)</f>
        <v>6K-10K</v>
      </c>
      <c r="AL553" t="str" cm="1">
        <f t="array" ref="AL553">_xlfn.IFS(
HR_Data[[#This Row],[YearsAtCompany]]&lt;2,"&lt;2 Years",
HR_Data[[#This Row],[YearsAtCompany]]&lt;5,"2-4 Years",
HR_Data[[#This Row],[YearsAtCompany]]&lt;10,"5-9 Years",
TRUE,"10+ Years"
)</f>
        <v>5-9 Years</v>
      </c>
      <c r="AM553" s="1">
        <f>IF(HR_Data[[#This Row],[Attrition]]="Yes",1,0)</f>
        <v>0</v>
      </c>
    </row>
    <row r="554" spans="1:39" x14ac:dyDescent="0.3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 cm="1">
        <f t="array" ref="AJ554">_xlfn.IFS(
HR_Data[[#This Row],[Age]]&lt;25,"Under 25",
HR_Data[[#This Row],[Age]]&lt;35,"25-34",
HR_Data[[#This Row],[Age]]&lt;45,"35-44",
HR_Data[[#This Row],[Age]]&lt;55,"45-54",
TRUE,"55+"
)</f>
        <v>55+</v>
      </c>
      <c r="AK554" t="str" cm="1">
        <f t="array" ref="AK554">_xlfn.IFS(
HR_Data[[#This Row],[MonthlyIncome]]&lt;3000,"&lt;3K",
HR_Data[[#This Row],[MonthlyIncome]]&lt;6000,"3K-6K",
HR_Data[[#This Row],[MonthlyIncome]]&lt;10000,"6K-10K",
TRUE,"10K+"
)</f>
        <v>10K+</v>
      </c>
      <c r="AL554" t="str" cm="1">
        <f t="array" ref="AL554">_xlfn.IFS(
HR_Data[[#This Row],[YearsAtCompany]]&lt;2,"&lt;2 Years",
HR_Data[[#This Row],[YearsAtCompany]]&lt;5,"2-4 Years",
HR_Data[[#This Row],[YearsAtCompany]]&lt;10,"5-9 Years",
TRUE,"10+ Years"
)</f>
        <v>10+ Years</v>
      </c>
      <c r="AM554" s="1">
        <f>IF(HR_Data[[#This Row],[Attrition]]="Yes",1,0)</f>
        <v>0</v>
      </c>
    </row>
    <row r="555" spans="1:39" x14ac:dyDescent="0.3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 cm="1">
        <f t="array" ref="AJ555">_xlfn.IFS(
HR_Data[[#This Row],[Age]]&lt;25,"Under 25",
HR_Data[[#This Row],[Age]]&lt;35,"25-34",
HR_Data[[#This Row],[Age]]&lt;45,"35-44",
HR_Data[[#This Row],[Age]]&lt;55,"45-54",
TRUE,"55+"
)</f>
        <v>35-44</v>
      </c>
      <c r="AK555" t="str" cm="1">
        <f t="array" ref="AK555">_xlfn.IFS(
HR_Data[[#This Row],[MonthlyIncome]]&lt;3000,"&lt;3K",
HR_Data[[#This Row],[MonthlyIncome]]&lt;6000,"3K-6K",
HR_Data[[#This Row],[MonthlyIncome]]&lt;10000,"6K-10K",
TRUE,"10K+"
)</f>
        <v>&lt;3K</v>
      </c>
      <c r="AL555" t="str" cm="1">
        <f t="array" ref="AL555">_xlfn.IFS(
HR_Data[[#This Row],[YearsAtCompany]]&lt;2,"&lt;2 Years",
HR_Data[[#This Row],[YearsAtCompany]]&lt;5,"2-4 Years",
HR_Data[[#This Row],[YearsAtCompany]]&lt;10,"5-9 Years",
TRUE,"10+ Years"
)</f>
        <v>2-4 Years</v>
      </c>
      <c r="AM555" s="1">
        <f>IF(HR_Data[[#This Row],[Attrition]]="Yes",1,0)</f>
        <v>0</v>
      </c>
    </row>
    <row r="556" spans="1:39" x14ac:dyDescent="0.3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 cm="1">
        <f t="array" ref="AJ556">_xlfn.IFS(
HR_Data[[#This Row],[Age]]&lt;25,"Under 25",
HR_Data[[#This Row],[Age]]&lt;35,"25-34",
HR_Data[[#This Row],[Age]]&lt;45,"35-44",
HR_Data[[#This Row],[Age]]&lt;55,"45-54",
TRUE,"55+"
)</f>
        <v>25-34</v>
      </c>
      <c r="AK556" t="str" cm="1">
        <f t="array" ref="AK556">_xlfn.IFS(
HR_Data[[#This Row],[MonthlyIncome]]&lt;3000,"&lt;3K",
HR_Data[[#This Row],[MonthlyIncome]]&lt;6000,"3K-6K",
HR_Data[[#This Row],[MonthlyIncome]]&lt;10000,"6K-10K",
TRUE,"10K+"
)</f>
        <v>6K-10K</v>
      </c>
      <c r="AL556" t="str" cm="1">
        <f t="array" ref="AL556">_xlfn.IFS(
HR_Data[[#This Row],[YearsAtCompany]]&lt;2,"&lt;2 Years",
HR_Data[[#This Row],[YearsAtCompany]]&lt;5,"2-4 Years",
HR_Data[[#This Row],[YearsAtCompany]]&lt;10,"5-9 Years",
TRUE,"10+ Years"
)</f>
        <v>5-9 Years</v>
      </c>
      <c r="AM556" s="1">
        <f>IF(HR_Data[[#This Row],[Attrition]]="Yes",1,0)</f>
        <v>0</v>
      </c>
    </row>
    <row r="557" spans="1:39" x14ac:dyDescent="0.3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 cm="1">
        <f t="array" ref="AJ557">_xlfn.IFS(
HR_Data[[#This Row],[Age]]&lt;25,"Under 25",
HR_Data[[#This Row],[Age]]&lt;35,"25-34",
HR_Data[[#This Row],[Age]]&lt;45,"35-44",
HR_Data[[#This Row],[Age]]&lt;55,"45-54",
TRUE,"55+"
)</f>
        <v>25-34</v>
      </c>
      <c r="AK557" t="str" cm="1">
        <f t="array" ref="AK557">_xlfn.IFS(
HR_Data[[#This Row],[MonthlyIncome]]&lt;3000,"&lt;3K",
HR_Data[[#This Row],[MonthlyIncome]]&lt;6000,"3K-6K",
HR_Data[[#This Row],[MonthlyIncome]]&lt;10000,"6K-10K",
TRUE,"10K+"
)</f>
        <v>&lt;3K</v>
      </c>
      <c r="AL557" t="str" cm="1">
        <f t="array" ref="AL557">_xlfn.IFS(
HR_Data[[#This Row],[YearsAtCompany]]&lt;2,"&lt;2 Years",
HR_Data[[#This Row],[YearsAtCompany]]&lt;5,"2-4 Years",
HR_Data[[#This Row],[YearsAtCompany]]&lt;10,"5-9 Years",
TRUE,"10+ Years"
)</f>
        <v>2-4 Years</v>
      </c>
      <c r="AM557" s="1">
        <f>IF(HR_Data[[#This Row],[Attrition]]="Yes",1,0)</f>
        <v>0</v>
      </c>
    </row>
    <row r="558" spans="1:39" x14ac:dyDescent="0.3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 cm="1">
        <f t="array" ref="AJ558">_xlfn.IFS(
HR_Data[[#This Row],[Age]]&lt;25,"Under 25",
HR_Data[[#This Row],[Age]]&lt;35,"25-34",
HR_Data[[#This Row],[Age]]&lt;45,"35-44",
HR_Data[[#This Row],[Age]]&lt;55,"45-54",
TRUE,"55+"
)</f>
        <v>45-54</v>
      </c>
      <c r="AK558" t="str" cm="1">
        <f t="array" ref="AK558">_xlfn.IFS(
HR_Data[[#This Row],[MonthlyIncome]]&lt;3000,"&lt;3K",
HR_Data[[#This Row],[MonthlyIncome]]&lt;6000,"3K-6K",
HR_Data[[#This Row],[MonthlyIncome]]&lt;10000,"6K-10K",
TRUE,"10K+"
)</f>
        <v>&lt;3K</v>
      </c>
      <c r="AL558" t="str" cm="1">
        <f t="array" ref="AL558">_xlfn.IFS(
HR_Data[[#This Row],[YearsAtCompany]]&lt;2,"&lt;2 Years",
HR_Data[[#This Row],[YearsAtCompany]]&lt;5,"2-4 Years",
HR_Data[[#This Row],[YearsAtCompany]]&lt;10,"5-9 Years",
TRUE,"10+ Years"
)</f>
        <v>2-4 Years</v>
      </c>
      <c r="AM558" s="1">
        <f>IF(HR_Data[[#This Row],[Attrition]]="Yes",1,0)</f>
        <v>0</v>
      </c>
    </row>
    <row r="559" spans="1:39" x14ac:dyDescent="0.3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 cm="1">
        <f t="array" ref="AJ559">_xlfn.IFS(
HR_Data[[#This Row],[Age]]&lt;25,"Under 25",
HR_Data[[#This Row],[Age]]&lt;35,"25-34",
HR_Data[[#This Row],[Age]]&lt;45,"35-44",
HR_Data[[#This Row],[Age]]&lt;55,"45-54",
TRUE,"55+"
)</f>
        <v>35-44</v>
      </c>
      <c r="AK559" t="str" cm="1">
        <f t="array" ref="AK559">_xlfn.IFS(
HR_Data[[#This Row],[MonthlyIncome]]&lt;3000,"&lt;3K",
HR_Data[[#This Row],[MonthlyIncome]]&lt;6000,"3K-6K",
HR_Data[[#This Row],[MonthlyIncome]]&lt;10000,"6K-10K",
TRUE,"10K+"
)</f>
        <v>3K-6K</v>
      </c>
      <c r="AL559" t="str" cm="1">
        <f t="array" ref="AL559">_xlfn.IFS(
HR_Data[[#This Row],[YearsAtCompany]]&lt;2,"&lt;2 Years",
HR_Data[[#This Row],[YearsAtCompany]]&lt;5,"2-4 Years",
HR_Data[[#This Row],[YearsAtCompany]]&lt;10,"5-9 Years",
TRUE,"10+ Years"
)</f>
        <v>&lt;2 Years</v>
      </c>
      <c r="AM559" s="1">
        <f>IF(HR_Data[[#This Row],[Attrition]]="Yes",1,0)</f>
        <v>0</v>
      </c>
    </row>
    <row r="560" spans="1:39" x14ac:dyDescent="0.3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 cm="1">
        <f t="array" ref="AJ560">_xlfn.IFS(
HR_Data[[#This Row],[Age]]&lt;25,"Under 25",
HR_Data[[#This Row],[Age]]&lt;35,"25-34",
HR_Data[[#This Row],[Age]]&lt;45,"35-44",
HR_Data[[#This Row],[Age]]&lt;55,"45-54",
TRUE,"55+"
)</f>
        <v>25-34</v>
      </c>
      <c r="AK560" t="str" cm="1">
        <f t="array" ref="AK560">_xlfn.IFS(
HR_Data[[#This Row],[MonthlyIncome]]&lt;3000,"&lt;3K",
HR_Data[[#This Row],[MonthlyIncome]]&lt;6000,"3K-6K",
HR_Data[[#This Row],[MonthlyIncome]]&lt;10000,"6K-10K",
TRUE,"10K+"
)</f>
        <v>3K-6K</v>
      </c>
      <c r="AL560" t="str" cm="1">
        <f t="array" ref="AL560">_xlfn.IFS(
HR_Data[[#This Row],[YearsAtCompany]]&lt;2,"&lt;2 Years",
HR_Data[[#This Row],[YearsAtCompany]]&lt;5,"2-4 Years",
HR_Data[[#This Row],[YearsAtCompany]]&lt;10,"5-9 Years",
TRUE,"10+ Years"
)</f>
        <v>10+ Years</v>
      </c>
      <c r="AM560" s="1">
        <f>IF(HR_Data[[#This Row],[Attrition]]="Yes",1,0)</f>
        <v>0</v>
      </c>
    </row>
    <row r="561" spans="1:39" x14ac:dyDescent="0.3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 cm="1">
        <f t="array" ref="AJ561">_xlfn.IFS(
HR_Data[[#This Row],[Age]]&lt;25,"Under 25",
HR_Data[[#This Row],[Age]]&lt;35,"25-34",
HR_Data[[#This Row],[Age]]&lt;45,"35-44",
HR_Data[[#This Row],[Age]]&lt;55,"45-54",
TRUE,"55+"
)</f>
        <v>35-44</v>
      </c>
      <c r="AK561" t="str" cm="1">
        <f t="array" ref="AK561">_xlfn.IFS(
HR_Data[[#This Row],[MonthlyIncome]]&lt;3000,"&lt;3K",
HR_Data[[#This Row],[MonthlyIncome]]&lt;6000,"3K-6K",
HR_Data[[#This Row],[MonthlyIncome]]&lt;10000,"6K-10K",
TRUE,"10K+"
)</f>
        <v>3K-6K</v>
      </c>
      <c r="AL561" t="str" cm="1">
        <f t="array" ref="AL561">_xlfn.IFS(
HR_Data[[#This Row],[YearsAtCompany]]&lt;2,"&lt;2 Years",
HR_Data[[#This Row],[YearsAtCompany]]&lt;5,"2-4 Years",
HR_Data[[#This Row],[YearsAtCompany]]&lt;10,"5-9 Years",
TRUE,"10+ Years"
)</f>
        <v>&lt;2 Years</v>
      </c>
      <c r="AM561" s="1">
        <f>IF(HR_Data[[#This Row],[Attrition]]="Yes",1,0)</f>
        <v>0</v>
      </c>
    </row>
    <row r="562" spans="1:39" x14ac:dyDescent="0.3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 cm="1">
        <f t="array" ref="AJ562">_xlfn.IFS(
HR_Data[[#This Row],[Age]]&lt;25,"Under 25",
HR_Data[[#This Row],[Age]]&lt;35,"25-34",
HR_Data[[#This Row],[Age]]&lt;45,"35-44",
HR_Data[[#This Row],[Age]]&lt;55,"45-54",
TRUE,"55+"
)</f>
        <v>25-34</v>
      </c>
      <c r="AK562" t="str" cm="1">
        <f t="array" ref="AK562">_xlfn.IFS(
HR_Data[[#This Row],[MonthlyIncome]]&lt;3000,"&lt;3K",
HR_Data[[#This Row],[MonthlyIncome]]&lt;6000,"3K-6K",
HR_Data[[#This Row],[MonthlyIncome]]&lt;10000,"6K-10K",
TRUE,"10K+"
)</f>
        <v>3K-6K</v>
      </c>
      <c r="AL562" t="str" cm="1">
        <f t="array" ref="AL562">_xlfn.IFS(
HR_Data[[#This Row],[YearsAtCompany]]&lt;2,"&lt;2 Years",
HR_Data[[#This Row],[YearsAtCompany]]&lt;5,"2-4 Years",
HR_Data[[#This Row],[YearsAtCompany]]&lt;10,"5-9 Years",
TRUE,"10+ Years"
)</f>
        <v>&lt;2 Years</v>
      </c>
      <c r="AM562" s="1">
        <f>IF(HR_Data[[#This Row],[Attrition]]="Yes",1,0)</f>
        <v>0</v>
      </c>
    </row>
    <row r="563" spans="1:39" x14ac:dyDescent="0.3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 cm="1">
        <f t="array" ref="AJ563">_xlfn.IFS(
HR_Data[[#This Row],[Age]]&lt;25,"Under 25",
HR_Data[[#This Row],[Age]]&lt;35,"25-34",
HR_Data[[#This Row],[Age]]&lt;45,"35-44",
HR_Data[[#This Row],[Age]]&lt;55,"45-54",
TRUE,"55+"
)</f>
        <v>45-54</v>
      </c>
      <c r="AK563" t="str" cm="1">
        <f t="array" ref="AK563">_xlfn.IFS(
HR_Data[[#This Row],[MonthlyIncome]]&lt;3000,"&lt;3K",
HR_Data[[#This Row],[MonthlyIncome]]&lt;6000,"3K-6K",
HR_Data[[#This Row],[MonthlyIncome]]&lt;10000,"6K-10K",
TRUE,"10K+"
)</f>
        <v>10K+</v>
      </c>
      <c r="AL563" t="str" cm="1">
        <f t="array" ref="AL563">_xlfn.IFS(
HR_Data[[#This Row],[YearsAtCompany]]&lt;2,"&lt;2 Years",
HR_Data[[#This Row],[YearsAtCompany]]&lt;5,"2-4 Years",
HR_Data[[#This Row],[YearsAtCompany]]&lt;10,"5-9 Years",
TRUE,"10+ Years"
)</f>
        <v>10+ Years</v>
      </c>
      <c r="AM563" s="1">
        <f>IF(HR_Data[[#This Row],[Attrition]]="Yes",1,0)</f>
        <v>0</v>
      </c>
    </row>
    <row r="564" spans="1:39" x14ac:dyDescent="0.3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 cm="1">
        <f t="array" ref="AJ564">_xlfn.IFS(
HR_Data[[#This Row],[Age]]&lt;25,"Under 25",
HR_Data[[#This Row],[Age]]&lt;35,"25-34",
HR_Data[[#This Row],[Age]]&lt;45,"35-44",
HR_Data[[#This Row],[Age]]&lt;55,"45-54",
TRUE,"55+"
)</f>
        <v>25-34</v>
      </c>
      <c r="AK564" t="str" cm="1">
        <f t="array" ref="AK564">_xlfn.IFS(
HR_Data[[#This Row],[MonthlyIncome]]&lt;3000,"&lt;3K",
HR_Data[[#This Row],[MonthlyIncome]]&lt;6000,"3K-6K",
HR_Data[[#This Row],[MonthlyIncome]]&lt;10000,"6K-10K",
TRUE,"10K+"
)</f>
        <v>&lt;3K</v>
      </c>
      <c r="AL564" t="str" cm="1">
        <f t="array" ref="AL564">_xlfn.IFS(
HR_Data[[#This Row],[YearsAtCompany]]&lt;2,"&lt;2 Years",
HR_Data[[#This Row],[YearsAtCompany]]&lt;5,"2-4 Years",
HR_Data[[#This Row],[YearsAtCompany]]&lt;10,"5-9 Years",
TRUE,"10+ Years"
)</f>
        <v>10+ Years</v>
      </c>
      <c r="AM564" s="1">
        <f>IF(HR_Data[[#This Row],[Attrition]]="Yes",1,0)</f>
        <v>1</v>
      </c>
    </row>
    <row r="565" spans="1:39" x14ac:dyDescent="0.3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 cm="1">
        <f t="array" ref="AJ565">_xlfn.IFS(
HR_Data[[#This Row],[Age]]&lt;25,"Under 25",
HR_Data[[#This Row],[Age]]&lt;35,"25-34",
HR_Data[[#This Row],[Age]]&lt;45,"35-44",
HR_Data[[#This Row],[Age]]&lt;55,"45-54",
TRUE,"55+"
)</f>
        <v>25-34</v>
      </c>
      <c r="AK565" t="str" cm="1">
        <f t="array" ref="AK565">_xlfn.IFS(
HR_Data[[#This Row],[MonthlyIncome]]&lt;3000,"&lt;3K",
HR_Data[[#This Row],[MonthlyIncome]]&lt;6000,"3K-6K",
HR_Data[[#This Row],[MonthlyIncome]]&lt;10000,"6K-10K",
TRUE,"10K+"
)</f>
        <v>6K-10K</v>
      </c>
      <c r="AL565" t="str" cm="1">
        <f t="array" ref="AL565">_xlfn.IFS(
HR_Data[[#This Row],[YearsAtCompany]]&lt;2,"&lt;2 Years",
HR_Data[[#This Row],[YearsAtCompany]]&lt;5,"2-4 Years",
HR_Data[[#This Row],[YearsAtCompany]]&lt;10,"5-9 Years",
TRUE,"10+ Years"
)</f>
        <v>5-9 Years</v>
      </c>
      <c r="AM565" s="1">
        <f>IF(HR_Data[[#This Row],[Attrition]]="Yes",1,0)</f>
        <v>0</v>
      </c>
    </row>
    <row r="566" spans="1:39" x14ac:dyDescent="0.3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 cm="1">
        <f t="array" ref="AJ566">_xlfn.IFS(
HR_Data[[#This Row],[Age]]&lt;25,"Under 25",
HR_Data[[#This Row],[Age]]&lt;35,"25-34",
HR_Data[[#This Row],[Age]]&lt;45,"35-44",
HR_Data[[#This Row],[Age]]&lt;55,"45-54",
TRUE,"55+"
)</f>
        <v>45-54</v>
      </c>
      <c r="AK566" t="str" cm="1">
        <f t="array" ref="AK566">_xlfn.IFS(
HR_Data[[#This Row],[MonthlyIncome]]&lt;3000,"&lt;3K",
HR_Data[[#This Row],[MonthlyIncome]]&lt;6000,"3K-6K",
HR_Data[[#This Row],[MonthlyIncome]]&lt;10000,"6K-10K",
TRUE,"10K+"
)</f>
        <v>6K-10K</v>
      </c>
      <c r="AL566" t="str" cm="1">
        <f t="array" ref="AL566">_xlfn.IFS(
HR_Data[[#This Row],[YearsAtCompany]]&lt;2,"&lt;2 Years",
HR_Data[[#This Row],[YearsAtCompany]]&lt;5,"2-4 Years",
HR_Data[[#This Row],[YearsAtCompany]]&lt;10,"5-9 Years",
TRUE,"10+ Years"
)</f>
        <v>5-9 Years</v>
      </c>
      <c r="AM566" s="1">
        <f>IF(HR_Data[[#This Row],[Attrition]]="Yes",1,0)</f>
        <v>0</v>
      </c>
    </row>
    <row r="567" spans="1:39" x14ac:dyDescent="0.3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 cm="1">
        <f t="array" ref="AJ567">_xlfn.IFS(
HR_Data[[#This Row],[Age]]&lt;25,"Under 25",
HR_Data[[#This Row],[Age]]&lt;35,"25-34",
HR_Data[[#This Row],[Age]]&lt;45,"35-44",
HR_Data[[#This Row],[Age]]&lt;55,"45-54",
TRUE,"55+"
)</f>
        <v>Under 25</v>
      </c>
      <c r="AK567" t="str" cm="1">
        <f t="array" ref="AK567">_xlfn.IFS(
HR_Data[[#This Row],[MonthlyIncome]]&lt;3000,"&lt;3K",
HR_Data[[#This Row],[MonthlyIncome]]&lt;6000,"3K-6K",
HR_Data[[#This Row],[MonthlyIncome]]&lt;10000,"6K-10K",
TRUE,"10K+"
)</f>
        <v>3K-6K</v>
      </c>
      <c r="AL567" t="str" cm="1">
        <f t="array" ref="AL567">_xlfn.IFS(
HR_Data[[#This Row],[YearsAtCompany]]&lt;2,"&lt;2 Years",
HR_Data[[#This Row],[YearsAtCompany]]&lt;5,"2-4 Years",
HR_Data[[#This Row],[YearsAtCompany]]&lt;10,"5-9 Years",
TRUE,"10+ Years"
)</f>
        <v>2-4 Years</v>
      </c>
      <c r="AM567" s="1">
        <f>IF(HR_Data[[#This Row],[Attrition]]="Yes",1,0)</f>
        <v>0</v>
      </c>
    </row>
    <row r="568" spans="1:39" x14ac:dyDescent="0.3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 cm="1">
        <f t="array" ref="AJ568">_xlfn.IFS(
HR_Data[[#This Row],[Age]]&lt;25,"Under 25",
HR_Data[[#This Row],[Age]]&lt;35,"25-34",
HR_Data[[#This Row],[Age]]&lt;45,"35-44",
HR_Data[[#This Row],[Age]]&lt;55,"45-54",
TRUE,"55+"
)</f>
        <v>45-54</v>
      </c>
      <c r="AK568" t="str" cm="1">
        <f t="array" ref="AK568">_xlfn.IFS(
HR_Data[[#This Row],[MonthlyIncome]]&lt;3000,"&lt;3K",
HR_Data[[#This Row],[MonthlyIncome]]&lt;6000,"3K-6K",
HR_Data[[#This Row],[MonthlyIncome]]&lt;10000,"6K-10K",
TRUE,"10K+"
)</f>
        <v>6K-10K</v>
      </c>
      <c r="AL568" t="str" cm="1">
        <f t="array" ref="AL568">_xlfn.IFS(
HR_Data[[#This Row],[YearsAtCompany]]&lt;2,"&lt;2 Years",
HR_Data[[#This Row],[YearsAtCompany]]&lt;5,"2-4 Years",
HR_Data[[#This Row],[YearsAtCompany]]&lt;10,"5-9 Years",
TRUE,"10+ Years"
)</f>
        <v>5-9 Years</v>
      </c>
      <c r="AM568" s="1">
        <f>IF(HR_Data[[#This Row],[Attrition]]="Yes",1,0)</f>
        <v>1</v>
      </c>
    </row>
    <row r="569" spans="1:39" x14ac:dyDescent="0.3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 cm="1">
        <f t="array" ref="AJ569">_xlfn.IFS(
HR_Data[[#This Row],[Age]]&lt;25,"Under 25",
HR_Data[[#This Row],[Age]]&lt;35,"25-34",
HR_Data[[#This Row],[Age]]&lt;45,"35-44",
HR_Data[[#This Row],[Age]]&lt;55,"45-54",
TRUE,"55+"
)</f>
        <v>25-34</v>
      </c>
      <c r="AK569" t="str" cm="1">
        <f t="array" ref="AK569">_xlfn.IFS(
HR_Data[[#This Row],[MonthlyIncome]]&lt;3000,"&lt;3K",
HR_Data[[#This Row],[MonthlyIncome]]&lt;6000,"3K-6K",
HR_Data[[#This Row],[MonthlyIncome]]&lt;10000,"6K-10K",
TRUE,"10K+"
)</f>
        <v>6K-10K</v>
      </c>
      <c r="AL569" t="str" cm="1">
        <f t="array" ref="AL569">_xlfn.IFS(
HR_Data[[#This Row],[YearsAtCompany]]&lt;2,"&lt;2 Years",
HR_Data[[#This Row],[YearsAtCompany]]&lt;5,"2-4 Years",
HR_Data[[#This Row],[YearsAtCompany]]&lt;10,"5-9 Years",
TRUE,"10+ Years"
)</f>
        <v>5-9 Years</v>
      </c>
      <c r="AM569" s="1">
        <f>IF(HR_Data[[#This Row],[Attrition]]="Yes",1,0)</f>
        <v>0</v>
      </c>
    </row>
    <row r="570" spans="1:39" x14ac:dyDescent="0.3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 cm="1">
        <f t="array" ref="AJ570">_xlfn.IFS(
HR_Data[[#This Row],[Age]]&lt;25,"Under 25",
HR_Data[[#This Row],[Age]]&lt;35,"25-34",
HR_Data[[#This Row],[Age]]&lt;45,"35-44",
HR_Data[[#This Row],[Age]]&lt;55,"45-54",
TRUE,"55+"
)</f>
        <v>55+</v>
      </c>
      <c r="AK570" t="str" cm="1">
        <f t="array" ref="AK570">_xlfn.IFS(
HR_Data[[#This Row],[MonthlyIncome]]&lt;3000,"&lt;3K",
HR_Data[[#This Row],[MonthlyIncome]]&lt;6000,"3K-6K",
HR_Data[[#This Row],[MonthlyIncome]]&lt;10000,"6K-10K",
TRUE,"10K+"
)</f>
        <v>10K+</v>
      </c>
      <c r="AL570" t="str" cm="1">
        <f t="array" ref="AL570">_xlfn.IFS(
HR_Data[[#This Row],[YearsAtCompany]]&lt;2,"&lt;2 Years",
HR_Data[[#This Row],[YearsAtCompany]]&lt;5,"2-4 Years",
HR_Data[[#This Row],[YearsAtCompany]]&lt;10,"5-9 Years",
TRUE,"10+ Years"
)</f>
        <v>5-9 Years</v>
      </c>
      <c r="AM570" s="1">
        <f>IF(HR_Data[[#This Row],[Attrition]]="Yes",1,0)</f>
        <v>1</v>
      </c>
    </row>
    <row r="571" spans="1:39" x14ac:dyDescent="0.3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 cm="1">
        <f t="array" ref="AJ571">_xlfn.IFS(
HR_Data[[#This Row],[Age]]&lt;25,"Under 25",
HR_Data[[#This Row],[Age]]&lt;35,"25-34",
HR_Data[[#This Row],[Age]]&lt;45,"35-44",
HR_Data[[#This Row],[Age]]&lt;55,"45-54",
TRUE,"55+"
)</f>
        <v>35-44</v>
      </c>
      <c r="AK571" t="str" cm="1">
        <f t="array" ref="AK571">_xlfn.IFS(
HR_Data[[#This Row],[MonthlyIncome]]&lt;3000,"&lt;3K",
HR_Data[[#This Row],[MonthlyIncome]]&lt;6000,"3K-6K",
HR_Data[[#This Row],[MonthlyIncome]]&lt;10000,"6K-10K",
TRUE,"10K+"
)</f>
        <v>6K-10K</v>
      </c>
      <c r="AL571" t="str" cm="1">
        <f t="array" ref="AL571">_xlfn.IFS(
HR_Data[[#This Row],[YearsAtCompany]]&lt;2,"&lt;2 Years",
HR_Data[[#This Row],[YearsAtCompany]]&lt;5,"2-4 Years",
HR_Data[[#This Row],[YearsAtCompany]]&lt;10,"5-9 Years",
TRUE,"10+ Years"
)</f>
        <v>10+ Years</v>
      </c>
      <c r="AM571" s="1">
        <f>IF(HR_Data[[#This Row],[Attrition]]="Yes",1,0)</f>
        <v>0</v>
      </c>
    </row>
    <row r="572" spans="1:39" x14ac:dyDescent="0.3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 cm="1">
        <f t="array" ref="AJ572">_xlfn.IFS(
HR_Data[[#This Row],[Age]]&lt;25,"Under 25",
HR_Data[[#This Row],[Age]]&lt;35,"25-34",
HR_Data[[#This Row],[Age]]&lt;45,"35-44",
HR_Data[[#This Row],[Age]]&lt;55,"45-54",
TRUE,"55+"
)</f>
        <v>45-54</v>
      </c>
      <c r="AK572" t="str" cm="1">
        <f t="array" ref="AK572">_xlfn.IFS(
HR_Data[[#This Row],[MonthlyIncome]]&lt;3000,"&lt;3K",
HR_Data[[#This Row],[MonthlyIncome]]&lt;6000,"3K-6K",
HR_Data[[#This Row],[MonthlyIncome]]&lt;10000,"6K-10K",
TRUE,"10K+"
)</f>
        <v>3K-6K</v>
      </c>
      <c r="AL572" t="str" cm="1">
        <f t="array" ref="AL572">_xlfn.IFS(
HR_Data[[#This Row],[YearsAtCompany]]&lt;2,"&lt;2 Years",
HR_Data[[#This Row],[YearsAtCompany]]&lt;5,"2-4 Years",
HR_Data[[#This Row],[YearsAtCompany]]&lt;10,"5-9 Years",
TRUE,"10+ Years"
)</f>
        <v>2-4 Years</v>
      </c>
      <c r="AM572" s="1">
        <f>IF(HR_Data[[#This Row],[Attrition]]="Yes",1,0)</f>
        <v>0</v>
      </c>
    </row>
    <row r="573" spans="1:39" x14ac:dyDescent="0.3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 cm="1">
        <f t="array" ref="AJ573">_xlfn.IFS(
HR_Data[[#This Row],[Age]]&lt;25,"Under 25",
HR_Data[[#This Row],[Age]]&lt;35,"25-34",
HR_Data[[#This Row],[Age]]&lt;45,"35-44",
HR_Data[[#This Row],[Age]]&lt;55,"45-54",
TRUE,"55+"
)</f>
        <v>25-34</v>
      </c>
      <c r="AK573" t="str" cm="1">
        <f t="array" ref="AK573">_xlfn.IFS(
HR_Data[[#This Row],[MonthlyIncome]]&lt;3000,"&lt;3K",
HR_Data[[#This Row],[MonthlyIncome]]&lt;6000,"3K-6K",
HR_Data[[#This Row],[MonthlyIncome]]&lt;10000,"6K-10K",
TRUE,"10K+"
)</f>
        <v>3K-6K</v>
      </c>
      <c r="AL573" t="str" cm="1">
        <f t="array" ref="AL573">_xlfn.IFS(
HR_Data[[#This Row],[YearsAtCompany]]&lt;2,"&lt;2 Years",
HR_Data[[#This Row],[YearsAtCompany]]&lt;5,"2-4 Years",
HR_Data[[#This Row],[YearsAtCompany]]&lt;10,"5-9 Years",
TRUE,"10+ Years"
)</f>
        <v>2-4 Years</v>
      </c>
      <c r="AM573" s="1">
        <f>IF(HR_Data[[#This Row],[Attrition]]="Yes",1,0)</f>
        <v>0</v>
      </c>
    </row>
    <row r="574" spans="1:39" x14ac:dyDescent="0.3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 cm="1">
        <f t="array" ref="AJ574">_xlfn.IFS(
HR_Data[[#This Row],[Age]]&lt;25,"Under 25",
HR_Data[[#This Row],[Age]]&lt;35,"25-34",
HR_Data[[#This Row],[Age]]&lt;45,"35-44",
HR_Data[[#This Row],[Age]]&lt;55,"45-54",
TRUE,"55+"
)</f>
        <v>25-34</v>
      </c>
      <c r="AK574" t="str" cm="1">
        <f t="array" ref="AK574">_xlfn.IFS(
HR_Data[[#This Row],[MonthlyIncome]]&lt;3000,"&lt;3K",
HR_Data[[#This Row],[MonthlyIncome]]&lt;6000,"3K-6K",
HR_Data[[#This Row],[MonthlyIncome]]&lt;10000,"6K-10K",
TRUE,"10K+"
)</f>
        <v>3K-6K</v>
      </c>
      <c r="AL574" t="str" cm="1">
        <f t="array" ref="AL574">_xlfn.IFS(
HR_Data[[#This Row],[YearsAtCompany]]&lt;2,"&lt;2 Years",
HR_Data[[#This Row],[YearsAtCompany]]&lt;5,"2-4 Years",
HR_Data[[#This Row],[YearsAtCompany]]&lt;10,"5-9 Years",
TRUE,"10+ Years"
)</f>
        <v>5-9 Years</v>
      </c>
      <c r="AM574" s="1">
        <f>IF(HR_Data[[#This Row],[Attrition]]="Yes",1,0)</f>
        <v>0</v>
      </c>
    </row>
    <row r="575" spans="1:39" x14ac:dyDescent="0.3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 cm="1">
        <f t="array" ref="AJ575">_xlfn.IFS(
HR_Data[[#This Row],[Age]]&lt;25,"Under 25",
HR_Data[[#This Row],[Age]]&lt;35,"25-34",
HR_Data[[#This Row],[Age]]&lt;45,"35-44",
HR_Data[[#This Row],[Age]]&lt;55,"45-54",
TRUE,"55+"
)</f>
        <v>25-34</v>
      </c>
      <c r="AK575" t="str" cm="1">
        <f t="array" ref="AK575">_xlfn.IFS(
HR_Data[[#This Row],[MonthlyIncome]]&lt;3000,"&lt;3K",
HR_Data[[#This Row],[MonthlyIncome]]&lt;6000,"3K-6K",
HR_Data[[#This Row],[MonthlyIncome]]&lt;10000,"6K-10K",
TRUE,"10K+"
)</f>
        <v>3K-6K</v>
      </c>
      <c r="AL575" t="str" cm="1">
        <f t="array" ref="AL575">_xlfn.IFS(
HR_Data[[#This Row],[YearsAtCompany]]&lt;2,"&lt;2 Years",
HR_Data[[#This Row],[YearsAtCompany]]&lt;5,"2-4 Years",
HR_Data[[#This Row],[YearsAtCompany]]&lt;10,"5-9 Years",
TRUE,"10+ Years"
)</f>
        <v>2-4 Years</v>
      </c>
      <c r="AM575" s="1">
        <f>IF(HR_Data[[#This Row],[Attrition]]="Yes",1,0)</f>
        <v>1</v>
      </c>
    </row>
    <row r="576" spans="1:39" x14ac:dyDescent="0.3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 cm="1">
        <f t="array" ref="AJ576">_xlfn.IFS(
HR_Data[[#This Row],[Age]]&lt;25,"Under 25",
HR_Data[[#This Row],[Age]]&lt;35,"25-34",
HR_Data[[#This Row],[Age]]&lt;45,"35-44",
HR_Data[[#This Row],[Age]]&lt;55,"45-54",
TRUE,"55+"
)</f>
        <v>25-34</v>
      </c>
      <c r="AK576" t="str" cm="1">
        <f t="array" ref="AK576">_xlfn.IFS(
HR_Data[[#This Row],[MonthlyIncome]]&lt;3000,"&lt;3K",
HR_Data[[#This Row],[MonthlyIncome]]&lt;6000,"3K-6K",
HR_Data[[#This Row],[MonthlyIncome]]&lt;10000,"6K-10K",
TRUE,"10K+"
)</f>
        <v>3K-6K</v>
      </c>
      <c r="AL576" t="str" cm="1">
        <f t="array" ref="AL576">_xlfn.IFS(
HR_Data[[#This Row],[YearsAtCompany]]&lt;2,"&lt;2 Years",
HR_Data[[#This Row],[YearsAtCompany]]&lt;5,"2-4 Years",
HR_Data[[#This Row],[YearsAtCompany]]&lt;10,"5-9 Years",
TRUE,"10+ Years"
)</f>
        <v>2-4 Years</v>
      </c>
      <c r="AM576" s="1">
        <f>IF(HR_Data[[#This Row],[Attrition]]="Yes",1,0)</f>
        <v>0</v>
      </c>
    </row>
    <row r="577" spans="1:39" x14ac:dyDescent="0.3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 cm="1">
        <f t="array" ref="AJ577">_xlfn.IFS(
HR_Data[[#This Row],[Age]]&lt;25,"Under 25",
HR_Data[[#This Row],[Age]]&lt;35,"25-34",
HR_Data[[#This Row],[Age]]&lt;45,"35-44",
HR_Data[[#This Row],[Age]]&lt;55,"45-54",
TRUE,"55+"
)</f>
        <v>45-54</v>
      </c>
      <c r="AK577" t="str" cm="1">
        <f t="array" ref="AK577">_xlfn.IFS(
HR_Data[[#This Row],[MonthlyIncome]]&lt;3000,"&lt;3K",
HR_Data[[#This Row],[MonthlyIncome]]&lt;6000,"3K-6K",
HR_Data[[#This Row],[MonthlyIncome]]&lt;10000,"6K-10K",
TRUE,"10K+"
)</f>
        <v>3K-6K</v>
      </c>
      <c r="AL577" t="str" cm="1">
        <f t="array" ref="AL577">_xlfn.IFS(
HR_Data[[#This Row],[YearsAtCompany]]&lt;2,"&lt;2 Years",
HR_Data[[#This Row],[YearsAtCompany]]&lt;5,"2-4 Years",
HR_Data[[#This Row],[YearsAtCompany]]&lt;10,"5-9 Years",
TRUE,"10+ Years"
)</f>
        <v>5-9 Years</v>
      </c>
      <c r="AM577" s="1">
        <f>IF(HR_Data[[#This Row],[Attrition]]="Yes",1,0)</f>
        <v>0</v>
      </c>
    </row>
    <row r="578" spans="1:39" x14ac:dyDescent="0.3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 cm="1">
        <f t="array" ref="AJ578">_xlfn.IFS(
HR_Data[[#This Row],[Age]]&lt;25,"Under 25",
HR_Data[[#This Row],[Age]]&lt;35,"25-34",
HR_Data[[#This Row],[Age]]&lt;45,"35-44",
HR_Data[[#This Row],[Age]]&lt;55,"45-54",
TRUE,"55+"
)</f>
        <v>25-34</v>
      </c>
      <c r="AK578" t="str" cm="1">
        <f t="array" ref="AK578">_xlfn.IFS(
HR_Data[[#This Row],[MonthlyIncome]]&lt;3000,"&lt;3K",
HR_Data[[#This Row],[MonthlyIncome]]&lt;6000,"3K-6K",
HR_Data[[#This Row],[MonthlyIncome]]&lt;10000,"6K-10K",
TRUE,"10K+"
)</f>
        <v>3K-6K</v>
      </c>
      <c r="AL578" t="str" cm="1">
        <f t="array" ref="AL578">_xlfn.IFS(
HR_Data[[#This Row],[YearsAtCompany]]&lt;2,"&lt;2 Years",
HR_Data[[#This Row],[YearsAtCompany]]&lt;5,"2-4 Years",
HR_Data[[#This Row],[YearsAtCompany]]&lt;10,"5-9 Years",
TRUE,"10+ Years"
)</f>
        <v>2-4 Years</v>
      </c>
      <c r="AM578" s="1">
        <f>IF(HR_Data[[#This Row],[Attrition]]="Yes",1,0)</f>
        <v>0</v>
      </c>
    </row>
    <row r="579" spans="1:39" x14ac:dyDescent="0.3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 cm="1">
        <f t="array" ref="AJ579">_xlfn.IFS(
HR_Data[[#This Row],[Age]]&lt;25,"Under 25",
HR_Data[[#This Row],[Age]]&lt;35,"25-34",
HR_Data[[#This Row],[Age]]&lt;45,"35-44",
HR_Data[[#This Row],[Age]]&lt;55,"45-54",
TRUE,"55+"
)</f>
        <v>35-44</v>
      </c>
      <c r="AK579" t="str" cm="1">
        <f t="array" ref="AK579">_xlfn.IFS(
HR_Data[[#This Row],[MonthlyIncome]]&lt;3000,"&lt;3K",
HR_Data[[#This Row],[MonthlyIncome]]&lt;6000,"3K-6K",
HR_Data[[#This Row],[MonthlyIncome]]&lt;10000,"6K-10K",
TRUE,"10K+"
)</f>
        <v>&lt;3K</v>
      </c>
      <c r="AL579" t="str" cm="1">
        <f t="array" ref="AL579">_xlfn.IFS(
HR_Data[[#This Row],[YearsAtCompany]]&lt;2,"&lt;2 Years",
HR_Data[[#This Row],[YearsAtCompany]]&lt;5,"2-4 Years",
HR_Data[[#This Row],[YearsAtCompany]]&lt;10,"5-9 Years",
TRUE,"10+ Years"
)</f>
        <v>5-9 Years</v>
      </c>
      <c r="AM579" s="1">
        <f>IF(HR_Data[[#This Row],[Attrition]]="Yes",1,0)</f>
        <v>0</v>
      </c>
    </row>
    <row r="580" spans="1:39" x14ac:dyDescent="0.3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 cm="1">
        <f t="array" ref="AJ580">_xlfn.IFS(
HR_Data[[#This Row],[Age]]&lt;25,"Under 25",
HR_Data[[#This Row],[Age]]&lt;35,"25-34",
HR_Data[[#This Row],[Age]]&lt;45,"35-44",
HR_Data[[#This Row],[Age]]&lt;55,"45-54",
TRUE,"55+"
)</f>
        <v>35-44</v>
      </c>
      <c r="AK580" t="str" cm="1">
        <f t="array" ref="AK580">_xlfn.IFS(
HR_Data[[#This Row],[MonthlyIncome]]&lt;3000,"&lt;3K",
HR_Data[[#This Row],[MonthlyIncome]]&lt;6000,"3K-6K",
HR_Data[[#This Row],[MonthlyIncome]]&lt;10000,"6K-10K",
TRUE,"10K+"
)</f>
        <v>3K-6K</v>
      </c>
      <c r="AL580" t="str" cm="1">
        <f t="array" ref="AL580">_xlfn.IFS(
HR_Data[[#This Row],[YearsAtCompany]]&lt;2,"&lt;2 Years",
HR_Data[[#This Row],[YearsAtCompany]]&lt;5,"2-4 Years",
HR_Data[[#This Row],[YearsAtCompany]]&lt;10,"5-9 Years",
TRUE,"10+ Years"
)</f>
        <v>10+ Years</v>
      </c>
      <c r="AM580" s="1">
        <f>IF(HR_Data[[#This Row],[Attrition]]="Yes",1,0)</f>
        <v>0</v>
      </c>
    </row>
    <row r="581" spans="1:39" x14ac:dyDescent="0.3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 cm="1">
        <f t="array" ref="AJ581">_xlfn.IFS(
HR_Data[[#This Row],[Age]]&lt;25,"Under 25",
HR_Data[[#This Row],[Age]]&lt;35,"25-34",
HR_Data[[#This Row],[Age]]&lt;45,"35-44",
HR_Data[[#This Row],[Age]]&lt;55,"45-54",
TRUE,"55+"
)</f>
        <v>25-34</v>
      </c>
      <c r="AK581" t="str" cm="1">
        <f t="array" ref="AK581">_xlfn.IFS(
HR_Data[[#This Row],[MonthlyIncome]]&lt;3000,"&lt;3K",
HR_Data[[#This Row],[MonthlyIncome]]&lt;6000,"3K-6K",
HR_Data[[#This Row],[MonthlyIncome]]&lt;10000,"6K-10K",
TRUE,"10K+"
)</f>
        <v>3K-6K</v>
      </c>
      <c r="AL581" t="str" cm="1">
        <f t="array" ref="AL581">_xlfn.IFS(
HR_Data[[#This Row],[YearsAtCompany]]&lt;2,"&lt;2 Years",
HR_Data[[#This Row],[YearsAtCompany]]&lt;5,"2-4 Years",
HR_Data[[#This Row],[YearsAtCompany]]&lt;10,"5-9 Years",
TRUE,"10+ Years"
)</f>
        <v>5-9 Years</v>
      </c>
      <c r="AM581" s="1">
        <f>IF(HR_Data[[#This Row],[Attrition]]="Yes",1,0)</f>
        <v>0</v>
      </c>
    </row>
    <row r="582" spans="1:39" x14ac:dyDescent="0.3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 cm="1">
        <f t="array" ref="AJ582">_xlfn.IFS(
HR_Data[[#This Row],[Age]]&lt;25,"Under 25",
HR_Data[[#This Row],[Age]]&lt;35,"25-34",
HR_Data[[#This Row],[Age]]&lt;45,"35-44",
HR_Data[[#This Row],[Age]]&lt;55,"45-54",
TRUE,"55+"
)</f>
        <v>35-44</v>
      </c>
      <c r="AK582" t="str" cm="1">
        <f t="array" ref="AK582">_xlfn.IFS(
HR_Data[[#This Row],[MonthlyIncome]]&lt;3000,"&lt;3K",
HR_Data[[#This Row],[MonthlyIncome]]&lt;6000,"3K-6K",
HR_Data[[#This Row],[MonthlyIncome]]&lt;10000,"6K-10K",
TRUE,"10K+"
)</f>
        <v>&lt;3K</v>
      </c>
      <c r="AL582" t="str" cm="1">
        <f t="array" ref="AL582">_xlfn.IFS(
HR_Data[[#This Row],[YearsAtCompany]]&lt;2,"&lt;2 Years",
HR_Data[[#This Row],[YearsAtCompany]]&lt;5,"2-4 Years",
HR_Data[[#This Row],[YearsAtCompany]]&lt;10,"5-9 Years",
TRUE,"10+ Years"
)</f>
        <v>2-4 Years</v>
      </c>
      <c r="AM582" s="1">
        <f>IF(HR_Data[[#This Row],[Attrition]]="Yes",1,0)</f>
        <v>0</v>
      </c>
    </row>
    <row r="583" spans="1:39" x14ac:dyDescent="0.3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 cm="1">
        <f t="array" ref="AJ583">_xlfn.IFS(
HR_Data[[#This Row],[Age]]&lt;25,"Under 25",
HR_Data[[#This Row],[Age]]&lt;35,"25-34",
HR_Data[[#This Row],[Age]]&lt;45,"35-44",
HR_Data[[#This Row],[Age]]&lt;55,"45-54",
TRUE,"55+"
)</f>
        <v>25-34</v>
      </c>
      <c r="AK583" t="str" cm="1">
        <f t="array" ref="AK583">_xlfn.IFS(
HR_Data[[#This Row],[MonthlyIncome]]&lt;3000,"&lt;3K",
HR_Data[[#This Row],[MonthlyIncome]]&lt;6000,"3K-6K",
HR_Data[[#This Row],[MonthlyIncome]]&lt;10000,"6K-10K",
TRUE,"10K+"
)</f>
        <v>3K-6K</v>
      </c>
      <c r="AL583" t="str" cm="1">
        <f t="array" ref="AL583">_xlfn.IFS(
HR_Data[[#This Row],[YearsAtCompany]]&lt;2,"&lt;2 Years",
HR_Data[[#This Row],[YearsAtCompany]]&lt;5,"2-4 Years",
HR_Data[[#This Row],[YearsAtCompany]]&lt;10,"5-9 Years",
TRUE,"10+ Years"
)</f>
        <v>2-4 Years</v>
      </c>
      <c r="AM583" s="1">
        <f>IF(HR_Data[[#This Row],[Attrition]]="Yes",1,0)</f>
        <v>0</v>
      </c>
    </row>
    <row r="584" spans="1:39" x14ac:dyDescent="0.3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 cm="1">
        <f t="array" ref="AJ584">_xlfn.IFS(
HR_Data[[#This Row],[Age]]&lt;25,"Under 25",
HR_Data[[#This Row],[Age]]&lt;35,"25-34",
HR_Data[[#This Row],[Age]]&lt;45,"35-44",
HR_Data[[#This Row],[Age]]&lt;55,"45-54",
TRUE,"55+"
)</f>
        <v>35-44</v>
      </c>
      <c r="AK584" t="str" cm="1">
        <f t="array" ref="AK584">_xlfn.IFS(
HR_Data[[#This Row],[MonthlyIncome]]&lt;3000,"&lt;3K",
HR_Data[[#This Row],[MonthlyIncome]]&lt;6000,"3K-6K",
HR_Data[[#This Row],[MonthlyIncome]]&lt;10000,"6K-10K",
TRUE,"10K+"
)</f>
        <v>3K-6K</v>
      </c>
      <c r="AL584" t="str" cm="1">
        <f t="array" ref="AL584">_xlfn.IFS(
HR_Data[[#This Row],[YearsAtCompany]]&lt;2,"&lt;2 Years",
HR_Data[[#This Row],[YearsAtCompany]]&lt;5,"2-4 Years",
HR_Data[[#This Row],[YearsAtCompany]]&lt;10,"5-9 Years",
TRUE,"10+ Years"
)</f>
        <v>5-9 Years</v>
      </c>
      <c r="AM584" s="1">
        <f>IF(HR_Data[[#This Row],[Attrition]]="Yes",1,0)</f>
        <v>0</v>
      </c>
    </row>
    <row r="585" spans="1:39" x14ac:dyDescent="0.3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 cm="1">
        <f t="array" ref="AJ585">_xlfn.IFS(
HR_Data[[#This Row],[Age]]&lt;25,"Under 25",
HR_Data[[#This Row],[Age]]&lt;35,"25-34",
HR_Data[[#This Row],[Age]]&lt;45,"35-44",
HR_Data[[#This Row],[Age]]&lt;55,"45-54",
TRUE,"55+"
)</f>
        <v>25-34</v>
      </c>
      <c r="AK585" t="str" cm="1">
        <f t="array" ref="AK585">_xlfn.IFS(
HR_Data[[#This Row],[MonthlyIncome]]&lt;3000,"&lt;3K",
HR_Data[[#This Row],[MonthlyIncome]]&lt;6000,"3K-6K",
HR_Data[[#This Row],[MonthlyIncome]]&lt;10000,"6K-10K",
TRUE,"10K+"
)</f>
        <v>6K-10K</v>
      </c>
      <c r="AL585" t="str" cm="1">
        <f t="array" ref="AL585">_xlfn.IFS(
HR_Data[[#This Row],[YearsAtCompany]]&lt;2,"&lt;2 Years",
HR_Data[[#This Row],[YearsAtCompany]]&lt;5,"2-4 Years",
HR_Data[[#This Row],[YearsAtCompany]]&lt;10,"5-9 Years",
TRUE,"10+ Years"
)</f>
        <v>2-4 Years</v>
      </c>
      <c r="AM585" s="1">
        <f>IF(HR_Data[[#This Row],[Attrition]]="Yes",1,0)</f>
        <v>0</v>
      </c>
    </row>
    <row r="586" spans="1:39" x14ac:dyDescent="0.3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 cm="1">
        <f t="array" ref="AJ586">_xlfn.IFS(
HR_Data[[#This Row],[Age]]&lt;25,"Under 25",
HR_Data[[#This Row],[Age]]&lt;35,"25-34",
HR_Data[[#This Row],[Age]]&lt;45,"35-44",
HR_Data[[#This Row],[Age]]&lt;55,"45-54",
TRUE,"55+"
)</f>
        <v>35-44</v>
      </c>
      <c r="AK586" t="str" cm="1">
        <f t="array" ref="AK586">_xlfn.IFS(
HR_Data[[#This Row],[MonthlyIncome]]&lt;3000,"&lt;3K",
HR_Data[[#This Row],[MonthlyIncome]]&lt;6000,"3K-6K",
HR_Data[[#This Row],[MonthlyIncome]]&lt;10000,"6K-10K",
TRUE,"10K+"
)</f>
        <v>10K+</v>
      </c>
      <c r="AL586" t="str" cm="1">
        <f t="array" ref="AL586">_xlfn.IFS(
HR_Data[[#This Row],[YearsAtCompany]]&lt;2,"&lt;2 Years",
HR_Data[[#This Row],[YearsAtCompany]]&lt;5,"2-4 Years",
HR_Data[[#This Row],[YearsAtCompany]]&lt;10,"5-9 Years",
TRUE,"10+ Years"
)</f>
        <v>10+ Years</v>
      </c>
      <c r="AM586" s="1">
        <f>IF(HR_Data[[#This Row],[Attrition]]="Yes",1,0)</f>
        <v>0</v>
      </c>
    </row>
    <row r="587" spans="1:39" x14ac:dyDescent="0.3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 cm="1">
        <f t="array" ref="AJ587">_xlfn.IFS(
HR_Data[[#This Row],[Age]]&lt;25,"Under 25",
HR_Data[[#This Row],[Age]]&lt;35,"25-34",
HR_Data[[#This Row],[Age]]&lt;45,"35-44",
HR_Data[[#This Row],[Age]]&lt;55,"45-54",
TRUE,"55+"
)</f>
        <v>Under 25</v>
      </c>
      <c r="AK587" t="str" cm="1">
        <f t="array" ref="AK587">_xlfn.IFS(
HR_Data[[#This Row],[MonthlyIncome]]&lt;3000,"&lt;3K",
HR_Data[[#This Row],[MonthlyIncome]]&lt;6000,"3K-6K",
HR_Data[[#This Row],[MonthlyIncome]]&lt;10000,"6K-10K",
TRUE,"10K+"
)</f>
        <v>&lt;3K</v>
      </c>
      <c r="AL587" t="str" cm="1">
        <f t="array" ref="AL587">_xlfn.IFS(
HR_Data[[#This Row],[YearsAtCompany]]&lt;2,"&lt;2 Years",
HR_Data[[#This Row],[YearsAtCompany]]&lt;5,"2-4 Years",
HR_Data[[#This Row],[YearsAtCompany]]&lt;10,"5-9 Years",
TRUE,"10+ Years"
)</f>
        <v>&lt;2 Years</v>
      </c>
      <c r="AM587" s="1">
        <f>IF(HR_Data[[#This Row],[Attrition]]="Yes",1,0)</f>
        <v>1</v>
      </c>
    </row>
    <row r="588" spans="1:39" x14ac:dyDescent="0.3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 cm="1">
        <f t="array" ref="AJ588">_xlfn.IFS(
HR_Data[[#This Row],[Age]]&lt;25,"Under 25",
HR_Data[[#This Row],[Age]]&lt;35,"25-34",
HR_Data[[#This Row],[Age]]&lt;45,"35-44",
HR_Data[[#This Row],[Age]]&lt;55,"45-54",
TRUE,"55+"
)</f>
        <v>Under 25</v>
      </c>
      <c r="AK588" t="str" cm="1">
        <f t="array" ref="AK588">_xlfn.IFS(
HR_Data[[#This Row],[MonthlyIncome]]&lt;3000,"&lt;3K",
HR_Data[[#This Row],[MonthlyIncome]]&lt;6000,"3K-6K",
HR_Data[[#This Row],[MonthlyIncome]]&lt;10000,"6K-10K",
TRUE,"10K+"
)</f>
        <v>&lt;3K</v>
      </c>
      <c r="AL588" t="str" cm="1">
        <f t="array" ref="AL588">_xlfn.IFS(
HR_Data[[#This Row],[YearsAtCompany]]&lt;2,"&lt;2 Years",
HR_Data[[#This Row],[YearsAtCompany]]&lt;5,"2-4 Years",
HR_Data[[#This Row],[YearsAtCompany]]&lt;10,"5-9 Years",
TRUE,"10+ Years"
)</f>
        <v>&lt;2 Years</v>
      </c>
      <c r="AM588" s="1">
        <f>IF(HR_Data[[#This Row],[Attrition]]="Yes",1,0)</f>
        <v>0</v>
      </c>
    </row>
    <row r="589" spans="1:39" x14ac:dyDescent="0.3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 cm="1">
        <f t="array" ref="AJ589">_xlfn.IFS(
HR_Data[[#This Row],[Age]]&lt;25,"Under 25",
HR_Data[[#This Row],[Age]]&lt;35,"25-34",
HR_Data[[#This Row],[Age]]&lt;45,"35-44",
HR_Data[[#This Row],[Age]]&lt;55,"45-54",
TRUE,"55+"
)</f>
        <v>45-54</v>
      </c>
      <c r="AK589" t="str" cm="1">
        <f t="array" ref="AK589">_xlfn.IFS(
HR_Data[[#This Row],[MonthlyIncome]]&lt;3000,"&lt;3K",
HR_Data[[#This Row],[MonthlyIncome]]&lt;6000,"3K-6K",
HR_Data[[#This Row],[MonthlyIncome]]&lt;10000,"6K-10K",
TRUE,"10K+"
)</f>
        <v>3K-6K</v>
      </c>
      <c r="AL589" t="str" cm="1">
        <f t="array" ref="AL589">_xlfn.IFS(
HR_Data[[#This Row],[YearsAtCompany]]&lt;2,"&lt;2 Years",
HR_Data[[#This Row],[YearsAtCompany]]&lt;5,"2-4 Years",
HR_Data[[#This Row],[YearsAtCompany]]&lt;10,"5-9 Years",
TRUE,"10+ Years"
)</f>
        <v>5-9 Years</v>
      </c>
      <c r="AM589" s="1">
        <f>IF(HR_Data[[#This Row],[Attrition]]="Yes",1,0)</f>
        <v>0</v>
      </c>
    </row>
    <row r="590" spans="1:39" x14ac:dyDescent="0.3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 cm="1">
        <f t="array" ref="AJ590">_xlfn.IFS(
HR_Data[[#This Row],[Age]]&lt;25,"Under 25",
HR_Data[[#This Row],[Age]]&lt;35,"25-34",
HR_Data[[#This Row],[Age]]&lt;45,"35-44",
HR_Data[[#This Row],[Age]]&lt;55,"45-54",
TRUE,"55+"
)</f>
        <v>45-54</v>
      </c>
      <c r="AK590" t="str" cm="1">
        <f t="array" ref="AK590">_xlfn.IFS(
HR_Data[[#This Row],[MonthlyIncome]]&lt;3000,"&lt;3K",
HR_Data[[#This Row],[MonthlyIncome]]&lt;6000,"3K-6K",
HR_Data[[#This Row],[MonthlyIncome]]&lt;10000,"6K-10K",
TRUE,"10K+"
)</f>
        <v>10K+</v>
      </c>
      <c r="AL590" t="str" cm="1">
        <f t="array" ref="AL590">_xlfn.IFS(
HR_Data[[#This Row],[YearsAtCompany]]&lt;2,"&lt;2 Years",
HR_Data[[#This Row],[YearsAtCompany]]&lt;5,"2-4 Years",
HR_Data[[#This Row],[YearsAtCompany]]&lt;10,"5-9 Years",
TRUE,"10+ Years"
)</f>
        <v>2-4 Years</v>
      </c>
      <c r="AM590" s="1">
        <f>IF(HR_Data[[#This Row],[Attrition]]="Yes",1,0)</f>
        <v>0</v>
      </c>
    </row>
    <row r="591" spans="1:39" x14ac:dyDescent="0.3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 cm="1">
        <f t="array" ref="AJ591">_xlfn.IFS(
HR_Data[[#This Row],[Age]]&lt;25,"Under 25",
HR_Data[[#This Row],[Age]]&lt;35,"25-34",
HR_Data[[#This Row],[Age]]&lt;45,"35-44",
HR_Data[[#This Row],[Age]]&lt;55,"45-54",
TRUE,"55+"
)</f>
        <v>25-34</v>
      </c>
      <c r="AK591" t="str" cm="1">
        <f t="array" ref="AK591">_xlfn.IFS(
HR_Data[[#This Row],[MonthlyIncome]]&lt;3000,"&lt;3K",
HR_Data[[#This Row],[MonthlyIncome]]&lt;6000,"3K-6K",
HR_Data[[#This Row],[MonthlyIncome]]&lt;10000,"6K-10K",
TRUE,"10K+"
)</f>
        <v>&lt;3K</v>
      </c>
      <c r="AL591" t="str" cm="1">
        <f t="array" ref="AL591">_xlfn.IFS(
HR_Data[[#This Row],[YearsAtCompany]]&lt;2,"&lt;2 Years",
HR_Data[[#This Row],[YearsAtCompany]]&lt;5,"2-4 Years",
HR_Data[[#This Row],[YearsAtCompany]]&lt;10,"5-9 Years",
TRUE,"10+ Years"
)</f>
        <v>&lt;2 Years</v>
      </c>
      <c r="AM591" s="1">
        <f>IF(HR_Data[[#This Row],[Attrition]]="Yes",1,0)</f>
        <v>1</v>
      </c>
    </row>
    <row r="592" spans="1:39" x14ac:dyDescent="0.3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 cm="1">
        <f t="array" ref="AJ592">_xlfn.IFS(
HR_Data[[#This Row],[Age]]&lt;25,"Under 25",
HR_Data[[#This Row],[Age]]&lt;35,"25-34",
HR_Data[[#This Row],[Age]]&lt;45,"35-44",
HR_Data[[#This Row],[Age]]&lt;55,"45-54",
TRUE,"55+"
)</f>
        <v>25-34</v>
      </c>
      <c r="AK592" t="str" cm="1">
        <f t="array" ref="AK592">_xlfn.IFS(
HR_Data[[#This Row],[MonthlyIncome]]&lt;3000,"&lt;3K",
HR_Data[[#This Row],[MonthlyIncome]]&lt;6000,"3K-6K",
HR_Data[[#This Row],[MonthlyIncome]]&lt;10000,"6K-10K",
TRUE,"10K+"
)</f>
        <v>10K+</v>
      </c>
      <c r="AL592" t="str" cm="1">
        <f t="array" ref="AL592">_xlfn.IFS(
HR_Data[[#This Row],[YearsAtCompany]]&lt;2,"&lt;2 Years",
HR_Data[[#This Row],[YearsAtCompany]]&lt;5,"2-4 Years",
HR_Data[[#This Row],[YearsAtCompany]]&lt;10,"5-9 Years",
TRUE,"10+ Years"
)</f>
        <v>10+ Years</v>
      </c>
      <c r="AM592" s="1">
        <f>IF(HR_Data[[#This Row],[Attrition]]="Yes",1,0)</f>
        <v>0</v>
      </c>
    </row>
    <row r="593" spans="1:39" x14ac:dyDescent="0.3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 cm="1">
        <f t="array" ref="AJ593">_xlfn.IFS(
HR_Data[[#This Row],[Age]]&lt;25,"Under 25",
HR_Data[[#This Row],[Age]]&lt;35,"25-34",
HR_Data[[#This Row],[Age]]&lt;45,"35-44",
HR_Data[[#This Row],[Age]]&lt;55,"45-54",
TRUE,"55+"
)</f>
        <v>25-34</v>
      </c>
      <c r="AK593" t="str" cm="1">
        <f t="array" ref="AK593">_xlfn.IFS(
HR_Data[[#This Row],[MonthlyIncome]]&lt;3000,"&lt;3K",
HR_Data[[#This Row],[MonthlyIncome]]&lt;6000,"3K-6K",
HR_Data[[#This Row],[MonthlyIncome]]&lt;10000,"6K-10K",
TRUE,"10K+"
)</f>
        <v>3K-6K</v>
      </c>
      <c r="AL593" t="str" cm="1">
        <f t="array" ref="AL593">_xlfn.IFS(
HR_Data[[#This Row],[YearsAtCompany]]&lt;2,"&lt;2 Years",
HR_Data[[#This Row],[YearsAtCompany]]&lt;5,"2-4 Years",
HR_Data[[#This Row],[YearsAtCompany]]&lt;10,"5-9 Years",
TRUE,"10+ Years"
)</f>
        <v>2-4 Years</v>
      </c>
      <c r="AM593" s="1">
        <f>IF(HR_Data[[#This Row],[Attrition]]="Yes",1,0)</f>
        <v>1</v>
      </c>
    </row>
    <row r="594" spans="1:39" x14ac:dyDescent="0.3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 cm="1">
        <f t="array" ref="AJ594">_xlfn.IFS(
HR_Data[[#This Row],[Age]]&lt;25,"Under 25",
HR_Data[[#This Row],[Age]]&lt;35,"25-34",
HR_Data[[#This Row],[Age]]&lt;45,"35-44",
HR_Data[[#This Row],[Age]]&lt;55,"45-54",
TRUE,"55+"
)</f>
        <v>45-54</v>
      </c>
      <c r="AK594" t="str" cm="1">
        <f t="array" ref="AK594">_xlfn.IFS(
HR_Data[[#This Row],[MonthlyIncome]]&lt;3000,"&lt;3K",
HR_Data[[#This Row],[MonthlyIncome]]&lt;6000,"3K-6K",
HR_Data[[#This Row],[MonthlyIncome]]&lt;10000,"6K-10K",
TRUE,"10K+"
)</f>
        <v>10K+</v>
      </c>
      <c r="AL594" t="str" cm="1">
        <f t="array" ref="AL594">_xlfn.IFS(
HR_Data[[#This Row],[YearsAtCompany]]&lt;2,"&lt;2 Years",
HR_Data[[#This Row],[YearsAtCompany]]&lt;5,"2-4 Years",
HR_Data[[#This Row],[YearsAtCompany]]&lt;10,"5-9 Years",
TRUE,"10+ Years"
)</f>
        <v>10+ Years</v>
      </c>
      <c r="AM594" s="1">
        <f>IF(HR_Data[[#This Row],[Attrition]]="Yes",1,0)</f>
        <v>0</v>
      </c>
    </row>
    <row r="595" spans="1:39" x14ac:dyDescent="0.3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 cm="1">
        <f t="array" ref="AJ595">_xlfn.IFS(
HR_Data[[#This Row],[Age]]&lt;25,"Under 25",
HR_Data[[#This Row],[Age]]&lt;35,"25-34",
HR_Data[[#This Row],[Age]]&lt;45,"35-44",
HR_Data[[#This Row],[Age]]&lt;55,"45-54",
TRUE,"55+"
)</f>
        <v>35-44</v>
      </c>
      <c r="AK595" t="str" cm="1">
        <f t="array" ref="AK595">_xlfn.IFS(
HR_Data[[#This Row],[MonthlyIncome]]&lt;3000,"&lt;3K",
HR_Data[[#This Row],[MonthlyIncome]]&lt;6000,"3K-6K",
HR_Data[[#This Row],[MonthlyIncome]]&lt;10000,"6K-10K",
TRUE,"10K+"
)</f>
        <v>3K-6K</v>
      </c>
      <c r="AL595" t="str" cm="1">
        <f t="array" ref="AL595">_xlfn.IFS(
HR_Data[[#This Row],[YearsAtCompany]]&lt;2,"&lt;2 Years",
HR_Data[[#This Row],[YearsAtCompany]]&lt;5,"2-4 Years",
HR_Data[[#This Row],[YearsAtCompany]]&lt;10,"5-9 Years",
TRUE,"10+ Years"
)</f>
        <v>5-9 Years</v>
      </c>
      <c r="AM595" s="1">
        <f>IF(HR_Data[[#This Row],[Attrition]]="Yes",1,0)</f>
        <v>0</v>
      </c>
    </row>
    <row r="596" spans="1:39" x14ac:dyDescent="0.3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 cm="1">
        <f t="array" ref="AJ596">_xlfn.IFS(
HR_Data[[#This Row],[Age]]&lt;25,"Under 25",
HR_Data[[#This Row],[Age]]&lt;35,"25-34",
HR_Data[[#This Row],[Age]]&lt;45,"35-44",
HR_Data[[#This Row],[Age]]&lt;55,"45-54",
TRUE,"55+"
)</f>
        <v>25-34</v>
      </c>
      <c r="AK596" t="str" cm="1">
        <f t="array" ref="AK596">_xlfn.IFS(
HR_Data[[#This Row],[MonthlyIncome]]&lt;3000,"&lt;3K",
HR_Data[[#This Row],[MonthlyIncome]]&lt;6000,"3K-6K",
HR_Data[[#This Row],[MonthlyIncome]]&lt;10000,"6K-10K",
TRUE,"10K+"
)</f>
        <v>&lt;3K</v>
      </c>
      <c r="AL596" t="str" cm="1">
        <f t="array" ref="AL596">_xlfn.IFS(
HR_Data[[#This Row],[YearsAtCompany]]&lt;2,"&lt;2 Years",
HR_Data[[#This Row],[YearsAtCompany]]&lt;5,"2-4 Years",
HR_Data[[#This Row],[YearsAtCompany]]&lt;10,"5-9 Years",
TRUE,"10+ Years"
)</f>
        <v>10+ Years</v>
      </c>
      <c r="AM596" s="1">
        <f>IF(HR_Data[[#This Row],[Attrition]]="Yes",1,0)</f>
        <v>0</v>
      </c>
    </row>
    <row r="597" spans="1:39" x14ac:dyDescent="0.3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 cm="1">
        <f t="array" ref="AJ597">_xlfn.IFS(
HR_Data[[#This Row],[Age]]&lt;25,"Under 25",
HR_Data[[#This Row],[Age]]&lt;35,"25-34",
HR_Data[[#This Row],[Age]]&lt;45,"35-44",
HR_Data[[#This Row],[Age]]&lt;55,"45-54",
TRUE,"55+"
)</f>
        <v>55+</v>
      </c>
      <c r="AK597" t="str" cm="1">
        <f t="array" ref="AK597">_xlfn.IFS(
HR_Data[[#This Row],[MonthlyIncome]]&lt;3000,"&lt;3K",
HR_Data[[#This Row],[MonthlyIncome]]&lt;6000,"3K-6K",
HR_Data[[#This Row],[MonthlyIncome]]&lt;10000,"6K-10K",
TRUE,"10K+"
)</f>
        <v>10K+</v>
      </c>
      <c r="AL597" t="str" cm="1">
        <f t="array" ref="AL597">_xlfn.IFS(
HR_Data[[#This Row],[YearsAtCompany]]&lt;2,"&lt;2 Years",
HR_Data[[#This Row],[YearsAtCompany]]&lt;5,"2-4 Years",
HR_Data[[#This Row],[YearsAtCompany]]&lt;10,"5-9 Years",
TRUE,"10+ Years"
)</f>
        <v>10+ Years</v>
      </c>
      <c r="AM597" s="1">
        <f>IF(HR_Data[[#This Row],[Attrition]]="Yes",1,0)</f>
        <v>1</v>
      </c>
    </row>
    <row r="598" spans="1:39" x14ac:dyDescent="0.3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 cm="1">
        <f t="array" ref="AJ598">_xlfn.IFS(
HR_Data[[#This Row],[Age]]&lt;25,"Under 25",
HR_Data[[#This Row],[Age]]&lt;35,"25-34",
HR_Data[[#This Row],[Age]]&lt;45,"35-44",
HR_Data[[#This Row],[Age]]&lt;55,"45-54",
TRUE,"55+"
)</f>
        <v>35-44</v>
      </c>
      <c r="AK598" t="str" cm="1">
        <f t="array" ref="AK598">_xlfn.IFS(
HR_Data[[#This Row],[MonthlyIncome]]&lt;3000,"&lt;3K",
HR_Data[[#This Row],[MonthlyIncome]]&lt;6000,"3K-6K",
HR_Data[[#This Row],[MonthlyIncome]]&lt;10000,"6K-10K",
TRUE,"10K+"
)</f>
        <v>&lt;3K</v>
      </c>
      <c r="AL598" t="str" cm="1">
        <f t="array" ref="AL598">_xlfn.IFS(
HR_Data[[#This Row],[YearsAtCompany]]&lt;2,"&lt;2 Years",
HR_Data[[#This Row],[YearsAtCompany]]&lt;5,"2-4 Years",
HR_Data[[#This Row],[YearsAtCompany]]&lt;10,"5-9 Years",
TRUE,"10+ Years"
)</f>
        <v>2-4 Years</v>
      </c>
      <c r="AM598" s="1">
        <f>IF(HR_Data[[#This Row],[Attrition]]="Yes",1,0)</f>
        <v>0</v>
      </c>
    </row>
    <row r="599" spans="1:39" x14ac:dyDescent="0.3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 cm="1">
        <f t="array" ref="AJ599">_xlfn.IFS(
HR_Data[[#This Row],[Age]]&lt;25,"Under 25",
HR_Data[[#This Row],[Age]]&lt;35,"25-34",
HR_Data[[#This Row],[Age]]&lt;45,"35-44",
HR_Data[[#This Row],[Age]]&lt;55,"45-54",
TRUE,"55+"
)</f>
        <v>35-44</v>
      </c>
      <c r="AK599" t="str" cm="1">
        <f t="array" ref="AK599">_xlfn.IFS(
HR_Data[[#This Row],[MonthlyIncome]]&lt;3000,"&lt;3K",
HR_Data[[#This Row],[MonthlyIncome]]&lt;6000,"3K-6K",
HR_Data[[#This Row],[MonthlyIncome]]&lt;10000,"6K-10K",
TRUE,"10K+"
)</f>
        <v>6K-10K</v>
      </c>
      <c r="AL599" t="str" cm="1">
        <f t="array" ref="AL599">_xlfn.IFS(
HR_Data[[#This Row],[YearsAtCompany]]&lt;2,"&lt;2 Years",
HR_Data[[#This Row],[YearsAtCompany]]&lt;5,"2-4 Years",
HR_Data[[#This Row],[YearsAtCompany]]&lt;10,"5-9 Years",
TRUE,"10+ Years"
)</f>
        <v>2-4 Years</v>
      </c>
      <c r="AM599" s="1">
        <f>IF(HR_Data[[#This Row],[Attrition]]="Yes",1,0)</f>
        <v>0</v>
      </c>
    </row>
    <row r="600" spans="1:39" x14ac:dyDescent="0.3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 cm="1">
        <f t="array" ref="AJ600">_xlfn.IFS(
HR_Data[[#This Row],[Age]]&lt;25,"Under 25",
HR_Data[[#This Row],[Age]]&lt;35,"25-34",
HR_Data[[#This Row],[Age]]&lt;45,"35-44",
HR_Data[[#This Row],[Age]]&lt;55,"45-54",
TRUE,"55+"
)</f>
        <v>25-34</v>
      </c>
      <c r="AK600" t="str" cm="1">
        <f t="array" ref="AK600">_xlfn.IFS(
HR_Data[[#This Row],[MonthlyIncome]]&lt;3000,"&lt;3K",
HR_Data[[#This Row],[MonthlyIncome]]&lt;6000,"3K-6K",
HR_Data[[#This Row],[MonthlyIncome]]&lt;10000,"6K-10K",
TRUE,"10K+"
)</f>
        <v>3K-6K</v>
      </c>
      <c r="AL600" t="str" cm="1">
        <f t="array" ref="AL600">_xlfn.IFS(
HR_Data[[#This Row],[YearsAtCompany]]&lt;2,"&lt;2 Years",
HR_Data[[#This Row],[YearsAtCompany]]&lt;5,"2-4 Years",
HR_Data[[#This Row],[YearsAtCompany]]&lt;10,"5-9 Years",
TRUE,"10+ Years"
)</f>
        <v>2-4 Years</v>
      </c>
      <c r="AM600" s="1">
        <f>IF(HR_Data[[#This Row],[Attrition]]="Yes",1,0)</f>
        <v>1</v>
      </c>
    </row>
    <row r="601" spans="1:39" x14ac:dyDescent="0.3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 cm="1">
        <f t="array" ref="AJ601">_xlfn.IFS(
HR_Data[[#This Row],[Age]]&lt;25,"Under 25",
HR_Data[[#This Row],[Age]]&lt;35,"25-34",
HR_Data[[#This Row],[Age]]&lt;45,"35-44",
HR_Data[[#This Row],[Age]]&lt;55,"45-54",
TRUE,"55+"
)</f>
        <v>35-44</v>
      </c>
      <c r="AK601" t="str" cm="1">
        <f t="array" ref="AK601">_xlfn.IFS(
HR_Data[[#This Row],[MonthlyIncome]]&lt;3000,"&lt;3K",
HR_Data[[#This Row],[MonthlyIncome]]&lt;6000,"3K-6K",
HR_Data[[#This Row],[MonthlyIncome]]&lt;10000,"6K-10K",
TRUE,"10K+"
)</f>
        <v>&lt;3K</v>
      </c>
      <c r="AL601" t="str" cm="1">
        <f t="array" ref="AL601">_xlfn.IFS(
HR_Data[[#This Row],[YearsAtCompany]]&lt;2,"&lt;2 Years",
HR_Data[[#This Row],[YearsAtCompany]]&lt;5,"2-4 Years",
HR_Data[[#This Row],[YearsAtCompany]]&lt;10,"5-9 Years",
TRUE,"10+ Years"
)</f>
        <v>5-9 Years</v>
      </c>
      <c r="AM601" s="1">
        <f>IF(HR_Data[[#This Row],[Attrition]]="Yes",1,0)</f>
        <v>0</v>
      </c>
    </row>
    <row r="602" spans="1:39" x14ac:dyDescent="0.3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 cm="1">
        <f t="array" ref="AJ602">_xlfn.IFS(
HR_Data[[#This Row],[Age]]&lt;25,"Under 25",
HR_Data[[#This Row],[Age]]&lt;35,"25-34",
HR_Data[[#This Row],[Age]]&lt;45,"35-44",
HR_Data[[#This Row],[Age]]&lt;55,"45-54",
TRUE,"55+"
)</f>
        <v>25-34</v>
      </c>
      <c r="AK602" t="str" cm="1">
        <f t="array" ref="AK602">_xlfn.IFS(
HR_Data[[#This Row],[MonthlyIncome]]&lt;3000,"&lt;3K",
HR_Data[[#This Row],[MonthlyIncome]]&lt;6000,"3K-6K",
HR_Data[[#This Row],[MonthlyIncome]]&lt;10000,"6K-10K",
TRUE,"10K+"
)</f>
        <v>6K-10K</v>
      </c>
      <c r="AL602" t="str" cm="1">
        <f t="array" ref="AL602">_xlfn.IFS(
HR_Data[[#This Row],[YearsAtCompany]]&lt;2,"&lt;2 Years",
HR_Data[[#This Row],[YearsAtCompany]]&lt;5,"2-4 Years",
HR_Data[[#This Row],[YearsAtCompany]]&lt;10,"5-9 Years",
TRUE,"10+ Years"
)</f>
        <v>10+ Years</v>
      </c>
      <c r="AM602" s="1">
        <f>IF(HR_Data[[#This Row],[Attrition]]="Yes",1,0)</f>
        <v>0</v>
      </c>
    </row>
    <row r="603" spans="1:39" x14ac:dyDescent="0.3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 cm="1">
        <f t="array" ref="AJ603">_xlfn.IFS(
HR_Data[[#This Row],[Age]]&lt;25,"Under 25",
HR_Data[[#This Row],[Age]]&lt;35,"25-34",
HR_Data[[#This Row],[Age]]&lt;45,"35-44",
HR_Data[[#This Row],[Age]]&lt;55,"45-54",
TRUE,"55+"
)</f>
        <v>35-44</v>
      </c>
      <c r="AK603" t="str" cm="1">
        <f t="array" ref="AK603">_xlfn.IFS(
HR_Data[[#This Row],[MonthlyIncome]]&lt;3000,"&lt;3K",
HR_Data[[#This Row],[MonthlyIncome]]&lt;6000,"3K-6K",
HR_Data[[#This Row],[MonthlyIncome]]&lt;10000,"6K-10K",
TRUE,"10K+"
)</f>
        <v>3K-6K</v>
      </c>
      <c r="AL603" t="str" cm="1">
        <f t="array" ref="AL603">_xlfn.IFS(
HR_Data[[#This Row],[YearsAtCompany]]&lt;2,"&lt;2 Years",
HR_Data[[#This Row],[YearsAtCompany]]&lt;5,"2-4 Years",
HR_Data[[#This Row],[YearsAtCompany]]&lt;10,"5-9 Years",
TRUE,"10+ Years"
)</f>
        <v>&lt;2 Years</v>
      </c>
      <c r="AM603" s="1">
        <f>IF(HR_Data[[#This Row],[Attrition]]="Yes",1,0)</f>
        <v>0</v>
      </c>
    </row>
    <row r="604" spans="1:39" x14ac:dyDescent="0.3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 cm="1">
        <f t="array" ref="AJ604">_xlfn.IFS(
HR_Data[[#This Row],[Age]]&lt;25,"Under 25",
HR_Data[[#This Row],[Age]]&lt;35,"25-34",
HR_Data[[#This Row],[Age]]&lt;45,"35-44",
HR_Data[[#This Row],[Age]]&lt;55,"45-54",
TRUE,"55+"
)</f>
        <v>25-34</v>
      </c>
      <c r="AK604" t="str" cm="1">
        <f t="array" ref="AK604">_xlfn.IFS(
HR_Data[[#This Row],[MonthlyIncome]]&lt;3000,"&lt;3K",
HR_Data[[#This Row],[MonthlyIncome]]&lt;6000,"3K-6K",
HR_Data[[#This Row],[MonthlyIncome]]&lt;10000,"6K-10K",
TRUE,"10K+"
)</f>
        <v>6K-10K</v>
      </c>
      <c r="AL604" t="str" cm="1">
        <f t="array" ref="AL604">_xlfn.IFS(
HR_Data[[#This Row],[YearsAtCompany]]&lt;2,"&lt;2 Years",
HR_Data[[#This Row],[YearsAtCompany]]&lt;5,"2-4 Years",
HR_Data[[#This Row],[YearsAtCompany]]&lt;10,"5-9 Years",
TRUE,"10+ Years"
)</f>
        <v>&lt;2 Years</v>
      </c>
      <c r="AM604" s="1">
        <f>IF(HR_Data[[#This Row],[Attrition]]="Yes",1,0)</f>
        <v>0</v>
      </c>
    </row>
    <row r="605" spans="1:39" x14ac:dyDescent="0.3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 cm="1">
        <f t="array" ref="AJ605">_xlfn.IFS(
HR_Data[[#This Row],[Age]]&lt;25,"Under 25",
HR_Data[[#This Row],[Age]]&lt;35,"25-34",
HR_Data[[#This Row],[Age]]&lt;45,"35-44",
HR_Data[[#This Row],[Age]]&lt;55,"45-54",
TRUE,"55+"
)</f>
        <v>45-54</v>
      </c>
      <c r="AK605" t="str" cm="1">
        <f t="array" ref="AK605">_xlfn.IFS(
HR_Data[[#This Row],[MonthlyIncome]]&lt;3000,"&lt;3K",
HR_Data[[#This Row],[MonthlyIncome]]&lt;6000,"3K-6K",
HR_Data[[#This Row],[MonthlyIncome]]&lt;10000,"6K-10K",
TRUE,"10K+"
)</f>
        <v>&lt;3K</v>
      </c>
      <c r="AL605" t="str" cm="1">
        <f t="array" ref="AL605">_xlfn.IFS(
HR_Data[[#This Row],[YearsAtCompany]]&lt;2,"&lt;2 Years",
HR_Data[[#This Row],[YearsAtCompany]]&lt;5,"2-4 Years",
HR_Data[[#This Row],[YearsAtCompany]]&lt;10,"5-9 Years",
TRUE,"10+ Years"
)</f>
        <v>&lt;2 Years</v>
      </c>
      <c r="AM605" s="1">
        <f>IF(HR_Data[[#This Row],[Attrition]]="Yes",1,0)</f>
        <v>0</v>
      </c>
    </row>
    <row r="606" spans="1:39" x14ac:dyDescent="0.3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 cm="1">
        <f t="array" ref="AJ606">_xlfn.IFS(
HR_Data[[#This Row],[Age]]&lt;25,"Under 25",
HR_Data[[#This Row],[Age]]&lt;35,"25-34",
HR_Data[[#This Row],[Age]]&lt;45,"35-44",
HR_Data[[#This Row],[Age]]&lt;55,"45-54",
TRUE,"55+"
)</f>
        <v>35-44</v>
      </c>
      <c r="AK606" t="str" cm="1">
        <f t="array" ref="AK606">_xlfn.IFS(
HR_Data[[#This Row],[MonthlyIncome]]&lt;3000,"&lt;3K",
HR_Data[[#This Row],[MonthlyIncome]]&lt;6000,"3K-6K",
HR_Data[[#This Row],[MonthlyIncome]]&lt;10000,"6K-10K",
TRUE,"10K+"
)</f>
        <v>3K-6K</v>
      </c>
      <c r="AL606" t="str" cm="1">
        <f t="array" ref="AL606">_xlfn.IFS(
HR_Data[[#This Row],[YearsAtCompany]]&lt;2,"&lt;2 Years",
HR_Data[[#This Row],[YearsAtCompany]]&lt;5,"2-4 Years",
HR_Data[[#This Row],[YearsAtCompany]]&lt;10,"5-9 Years",
TRUE,"10+ Years"
)</f>
        <v>5-9 Years</v>
      </c>
      <c r="AM606" s="1">
        <f>IF(HR_Data[[#This Row],[Attrition]]="Yes",1,0)</f>
        <v>0</v>
      </c>
    </row>
    <row r="607" spans="1:39" x14ac:dyDescent="0.3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 cm="1">
        <f t="array" ref="AJ607">_xlfn.IFS(
HR_Data[[#This Row],[Age]]&lt;25,"Under 25",
HR_Data[[#This Row],[Age]]&lt;35,"25-34",
HR_Data[[#This Row],[Age]]&lt;45,"35-44",
HR_Data[[#This Row],[Age]]&lt;55,"45-54",
TRUE,"55+"
)</f>
        <v>35-44</v>
      </c>
      <c r="AK607" t="str" cm="1">
        <f t="array" ref="AK607">_xlfn.IFS(
HR_Data[[#This Row],[MonthlyIncome]]&lt;3000,"&lt;3K",
HR_Data[[#This Row],[MonthlyIncome]]&lt;6000,"3K-6K",
HR_Data[[#This Row],[MonthlyIncome]]&lt;10000,"6K-10K",
TRUE,"10K+"
)</f>
        <v>6K-10K</v>
      </c>
      <c r="AL607" t="str" cm="1">
        <f t="array" ref="AL607">_xlfn.IFS(
HR_Data[[#This Row],[YearsAtCompany]]&lt;2,"&lt;2 Years",
HR_Data[[#This Row],[YearsAtCompany]]&lt;5,"2-4 Years",
HR_Data[[#This Row],[YearsAtCompany]]&lt;10,"5-9 Years",
TRUE,"10+ Years"
)</f>
        <v>2-4 Years</v>
      </c>
      <c r="AM607" s="1">
        <f>IF(HR_Data[[#This Row],[Attrition]]="Yes",1,0)</f>
        <v>0</v>
      </c>
    </row>
    <row r="608" spans="1:39" x14ac:dyDescent="0.3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 cm="1">
        <f t="array" ref="AJ608">_xlfn.IFS(
HR_Data[[#This Row],[Age]]&lt;25,"Under 25",
HR_Data[[#This Row],[Age]]&lt;35,"25-34",
HR_Data[[#This Row],[Age]]&lt;45,"35-44",
HR_Data[[#This Row],[Age]]&lt;55,"45-54",
TRUE,"55+"
)</f>
        <v>25-34</v>
      </c>
      <c r="AK608" t="str" cm="1">
        <f t="array" ref="AK608">_xlfn.IFS(
HR_Data[[#This Row],[MonthlyIncome]]&lt;3000,"&lt;3K",
HR_Data[[#This Row],[MonthlyIncome]]&lt;6000,"3K-6K",
HR_Data[[#This Row],[MonthlyIncome]]&lt;10000,"6K-10K",
TRUE,"10K+"
)</f>
        <v>&lt;3K</v>
      </c>
      <c r="AL608" t="str" cm="1">
        <f t="array" ref="AL608">_xlfn.IFS(
HR_Data[[#This Row],[YearsAtCompany]]&lt;2,"&lt;2 Years",
HR_Data[[#This Row],[YearsAtCompany]]&lt;5,"2-4 Years",
HR_Data[[#This Row],[YearsAtCompany]]&lt;10,"5-9 Years",
TRUE,"10+ Years"
)</f>
        <v>5-9 Years</v>
      </c>
      <c r="AM608" s="1">
        <f>IF(HR_Data[[#This Row],[Attrition]]="Yes",1,0)</f>
        <v>0</v>
      </c>
    </row>
    <row r="609" spans="1:39" x14ac:dyDescent="0.3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 cm="1">
        <f t="array" ref="AJ609">_xlfn.IFS(
HR_Data[[#This Row],[Age]]&lt;25,"Under 25",
HR_Data[[#This Row],[Age]]&lt;35,"25-34",
HR_Data[[#This Row],[Age]]&lt;45,"35-44",
HR_Data[[#This Row],[Age]]&lt;55,"45-54",
TRUE,"55+"
)</f>
        <v>45-54</v>
      </c>
      <c r="AK609" t="str" cm="1">
        <f t="array" ref="AK609">_xlfn.IFS(
HR_Data[[#This Row],[MonthlyIncome]]&lt;3000,"&lt;3K",
HR_Data[[#This Row],[MonthlyIncome]]&lt;6000,"3K-6K",
HR_Data[[#This Row],[MonthlyIncome]]&lt;10000,"6K-10K",
TRUE,"10K+"
)</f>
        <v>6K-10K</v>
      </c>
      <c r="AL609" t="str" cm="1">
        <f t="array" ref="AL609">_xlfn.IFS(
HR_Data[[#This Row],[YearsAtCompany]]&lt;2,"&lt;2 Years",
HR_Data[[#This Row],[YearsAtCompany]]&lt;5,"2-4 Years",
HR_Data[[#This Row],[YearsAtCompany]]&lt;10,"5-9 Years",
TRUE,"10+ Years"
)</f>
        <v>5-9 Years</v>
      </c>
      <c r="AM609" s="1">
        <f>IF(HR_Data[[#This Row],[Attrition]]="Yes",1,0)</f>
        <v>1</v>
      </c>
    </row>
    <row r="610" spans="1:39" x14ac:dyDescent="0.3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 cm="1">
        <f t="array" ref="AJ610">_xlfn.IFS(
HR_Data[[#This Row],[Age]]&lt;25,"Under 25",
HR_Data[[#This Row],[Age]]&lt;35,"25-34",
HR_Data[[#This Row],[Age]]&lt;45,"35-44",
HR_Data[[#This Row],[Age]]&lt;55,"45-54",
TRUE,"55+"
)</f>
        <v>55+</v>
      </c>
      <c r="AK610" t="str" cm="1">
        <f t="array" ref="AK610">_xlfn.IFS(
HR_Data[[#This Row],[MonthlyIncome]]&lt;3000,"&lt;3K",
HR_Data[[#This Row],[MonthlyIncome]]&lt;6000,"3K-6K",
HR_Data[[#This Row],[MonthlyIncome]]&lt;10000,"6K-10K",
TRUE,"10K+"
)</f>
        <v>3K-6K</v>
      </c>
      <c r="AL610" t="str" cm="1">
        <f t="array" ref="AL610">_xlfn.IFS(
HR_Data[[#This Row],[YearsAtCompany]]&lt;2,"&lt;2 Years",
HR_Data[[#This Row],[YearsAtCompany]]&lt;5,"2-4 Years",
HR_Data[[#This Row],[YearsAtCompany]]&lt;10,"5-9 Years",
TRUE,"10+ Years"
)</f>
        <v>5-9 Years</v>
      </c>
      <c r="AM610" s="1">
        <f>IF(HR_Data[[#This Row],[Attrition]]="Yes",1,0)</f>
        <v>1</v>
      </c>
    </row>
    <row r="611" spans="1:39" x14ac:dyDescent="0.3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 cm="1">
        <f t="array" ref="AJ611">_xlfn.IFS(
HR_Data[[#This Row],[Age]]&lt;25,"Under 25",
HR_Data[[#This Row],[Age]]&lt;35,"25-34",
HR_Data[[#This Row],[Age]]&lt;45,"35-44",
HR_Data[[#This Row],[Age]]&lt;55,"45-54",
TRUE,"55+"
)</f>
        <v>35-44</v>
      </c>
      <c r="AK611" t="str" cm="1">
        <f t="array" ref="AK611">_xlfn.IFS(
HR_Data[[#This Row],[MonthlyIncome]]&lt;3000,"&lt;3K",
HR_Data[[#This Row],[MonthlyIncome]]&lt;6000,"3K-6K",
HR_Data[[#This Row],[MonthlyIncome]]&lt;10000,"6K-10K",
TRUE,"10K+"
)</f>
        <v>10K+</v>
      </c>
      <c r="AL611" t="str" cm="1">
        <f t="array" ref="AL611">_xlfn.IFS(
HR_Data[[#This Row],[YearsAtCompany]]&lt;2,"&lt;2 Years",
HR_Data[[#This Row],[YearsAtCompany]]&lt;5,"2-4 Years",
HR_Data[[#This Row],[YearsAtCompany]]&lt;10,"5-9 Years",
TRUE,"10+ Years"
)</f>
        <v>2-4 Years</v>
      </c>
      <c r="AM611" s="1">
        <f>IF(HR_Data[[#This Row],[Attrition]]="Yes",1,0)</f>
        <v>0</v>
      </c>
    </row>
    <row r="612" spans="1:39" x14ac:dyDescent="0.3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 cm="1">
        <f t="array" ref="AJ612">_xlfn.IFS(
HR_Data[[#This Row],[Age]]&lt;25,"Under 25",
HR_Data[[#This Row],[Age]]&lt;35,"25-34",
HR_Data[[#This Row],[Age]]&lt;45,"35-44",
HR_Data[[#This Row],[Age]]&lt;55,"45-54",
TRUE,"55+"
)</f>
        <v>25-34</v>
      </c>
      <c r="AK612" t="str" cm="1">
        <f t="array" ref="AK612">_xlfn.IFS(
HR_Data[[#This Row],[MonthlyIncome]]&lt;3000,"&lt;3K",
HR_Data[[#This Row],[MonthlyIncome]]&lt;6000,"3K-6K",
HR_Data[[#This Row],[MonthlyIncome]]&lt;10000,"6K-10K",
TRUE,"10K+"
)</f>
        <v>10K+</v>
      </c>
      <c r="AL612" t="str" cm="1">
        <f t="array" ref="AL612">_xlfn.IFS(
HR_Data[[#This Row],[YearsAtCompany]]&lt;2,"&lt;2 Years",
HR_Data[[#This Row],[YearsAtCompany]]&lt;5,"2-4 Years",
HR_Data[[#This Row],[YearsAtCompany]]&lt;10,"5-9 Years",
TRUE,"10+ Years"
)</f>
        <v>5-9 Years</v>
      </c>
      <c r="AM612" s="1">
        <f>IF(HR_Data[[#This Row],[Attrition]]="Yes",1,0)</f>
        <v>0</v>
      </c>
    </row>
    <row r="613" spans="1:39" x14ac:dyDescent="0.3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 cm="1">
        <f t="array" ref="AJ613">_xlfn.IFS(
HR_Data[[#This Row],[Age]]&lt;25,"Under 25",
HR_Data[[#This Row],[Age]]&lt;35,"25-34",
HR_Data[[#This Row],[Age]]&lt;45,"35-44",
HR_Data[[#This Row],[Age]]&lt;55,"45-54",
TRUE,"55+"
)</f>
        <v>35-44</v>
      </c>
      <c r="AK613" t="str" cm="1">
        <f t="array" ref="AK613">_xlfn.IFS(
HR_Data[[#This Row],[MonthlyIncome]]&lt;3000,"&lt;3K",
HR_Data[[#This Row],[MonthlyIncome]]&lt;6000,"3K-6K",
HR_Data[[#This Row],[MonthlyIncome]]&lt;10000,"6K-10K",
TRUE,"10K+"
)</f>
        <v>10K+</v>
      </c>
      <c r="AL613" t="str" cm="1">
        <f t="array" ref="AL613">_xlfn.IFS(
HR_Data[[#This Row],[YearsAtCompany]]&lt;2,"&lt;2 Years",
HR_Data[[#This Row],[YearsAtCompany]]&lt;5,"2-4 Years",
HR_Data[[#This Row],[YearsAtCompany]]&lt;10,"5-9 Years",
TRUE,"10+ Years"
)</f>
        <v>5-9 Years</v>
      </c>
      <c r="AM613" s="1">
        <f>IF(HR_Data[[#This Row],[Attrition]]="Yes",1,0)</f>
        <v>0</v>
      </c>
    </row>
    <row r="614" spans="1:39" x14ac:dyDescent="0.3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 cm="1">
        <f t="array" ref="AJ614">_xlfn.IFS(
HR_Data[[#This Row],[Age]]&lt;25,"Under 25",
HR_Data[[#This Row],[Age]]&lt;35,"25-34",
HR_Data[[#This Row],[Age]]&lt;45,"35-44",
HR_Data[[#This Row],[Age]]&lt;55,"45-54",
TRUE,"55+"
)</f>
        <v>25-34</v>
      </c>
      <c r="AK614" t="str" cm="1">
        <f t="array" ref="AK614">_xlfn.IFS(
HR_Data[[#This Row],[MonthlyIncome]]&lt;3000,"&lt;3K",
HR_Data[[#This Row],[MonthlyIncome]]&lt;6000,"3K-6K",
HR_Data[[#This Row],[MonthlyIncome]]&lt;10000,"6K-10K",
TRUE,"10K+"
)</f>
        <v>3K-6K</v>
      </c>
      <c r="AL614" t="str" cm="1">
        <f t="array" ref="AL614">_xlfn.IFS(
HR_Data[[#This Row],[YearsAtCompany]]&lt;2,"&lt;2 Years",
HR_Data[[#This Row],[YearsAtCompany]]&lt;5,"2-4 Years",
HR_Data[[#This Row],[YearsAtCompany]]&lt;10,"5-9 Years",
TRUE,"10+ Years"
)</f>
        <v>5-9 Years</v>
      </c>
      <c r="AM614" s="1">
        <f>IF(HR_Data[[#This Row],[Attrition]]="Yes",1,0)</f>
        <v>0</v>
      </c>
    </row>
    <row r="615" spans="1:39" x14ac:dyDescent="0.3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 cm="1">
        <f t="array" ref="AJ615">_xlfn.IFS(
HR_Data[[#This Row],[Age]]&lt;25,"Under 25",
HR_Data[[#This Row],[Age]]&lt;35,"25-34",
HR_Data[[#This Row],[Age]]&lt;45,"35-44",
HR_Data[[#This Row],[Age]]&lt;55,"45-54",
TRUE,"55+"
)</f>
        <v>25-34</v>
      </c>
      <c r="AK615" t="str" cm="1">
        <f t="array" ref="AK615">_xlfn.IFS(
HR_Data[[#This Row],[MonthlyIncome]]&lt;3000,"&lt;3K",
HR_Data[[#This Row],[MonthlyIncome]]&lt;6000,"3K-6K",
HR_Data[[#This Row],[MonthlyIncome]]&lt;10000,"6K-10K",
TRUE,"10K+"
)</f>
        <v>3K-6K</v>
      </c>
      <c r="AL615" t="str" cm="1">
        <f t="array" ref="AL615">_xlfn.IFS(
HR_Data[[#This Row],[YearsAtCompany]]&lt;2,"&lt;2 Years",
HR_Data[[#This Row],[YearsAtCompany]]&lt;5,"2-4 Years",
HR_Data[[#This Row],[YearsAtCompany]]&lt;10,"5-9 Years",
TRUE,"10+ Years"
)</f>
        <v>2-4 Years</v>
      </c>
      <c r="AM615" s="1">
        <f>IF(HR_Data[[#This Row],[Attrition]]="Yes",1,0)</f>
        <v>0</v>
      </c>
    </row>
    <row r="616" spans="1:39" x14ac:dyDescent="0.3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 cm="1">
        <f t="array" ref="AJ616">_xlfn.IFS(
HR_Data[[#This Row],[Age]]&lt;25,"Under 25",
HR_Data[[#This Row],[Age]]&lt;35,"25-34",
HR_Data[[#This Row],[Age]]&lt;45,"35-44",
HR_Data[[#This Row],[Age]]&lt;55,"45-54",
TRUE,"55+"
)</f>
        <v>25-34</v>
      </c>
      <c r="AK616" t="str" cm="1">
        <f t="array" ref="AK616">_xlfn.IFS(
HR_Data[[#This Row],[MonthlyIncome]]&lt;3000,"&lt;3K",
HR_Data[[#This Row],[MonthlyIncome]]&lt;6000,"3K-6K",
HR_Data[[#This Row],[MonthlyIncome]]&lt;10000,"6K-10K",
TRUE,"10K+"
)</f>
        <v>&lt;3K</v>
      </c>
      <c r="AL616" t="str" cm="1">
        <f t="array" ref="AL616">_xlfn.IFS(
HR_Data[[#This Row],[YearsAtCompany]]&lt;2,"&lt;2 Years",
HR_Data[[#This Row],[YearsAtCompany]]&lt;5,"2-4 Years",
HR_Data[[#This Row],[YearsAtCompany]]&lt;10,"5-9 Years",
TRUE,"10+ Years"
)</f>
        <v>5-9 Years</v>
      </c>
      <c r="AM616" s="1">
        <f>IF(HR_Data[[#This Row],[Attrition]]="Yes",1,0)</f>
        <v>1</v>
      </c>
    </row>
    <row r="617" spans="1:39" x14ac:dyDescent="0.3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 cm="1">
        <f t="array" ref="AJ617">_xlfn.IFS(
HR_Data[[#This Row],[Age]]&lt;25,"Under 25",
HR_Data[[#This Row],[Age]]&lt;35,"25-34",
HR_Data[[#This Row],[Age]]&lt;45,"35-44",
HR_Data[[#This Row],[Age]]&lt;55,"45-54",
TRUE,"55+"
)</f>
        <v>25-34</v>
      </c>
      <c r="AK617" t="str" cm="1">
        <f t="array" ref="AK617">_xlfn.IFS(
HR_Data[[#This Row],[MonthlyIncome]]&lt;3000,"&lt;3K",
HR_Data[[#This Row],[MonthlyIncome]]&lt;6000,"3K-6K",
HR_Data[[#This Row],[MonthlyIncome]]&lt;10000,"6K-10K",
TRUE,"10K+"
)</f>
        <v>&lt;3K</v>
      </c>
      <c r="AL617" t="str" cm="1">
        <f t="array" ref="AL617">_xlfn.IFS(
HR_Data[[#This Row],[YearsAtCompany]]&lt;2,"&lt;2 Years",
HR_Data[[#This Row],[YearsAtCompany]]&lt;5,"2-4 Years",
HR_Data[[#This Row],[YearsAtCompany]]&lt;10,"5-9 Years",
TRUE,"10+ Years"
)</f>
        <v>&lt;2 Years</v>
      </c>
      <c r="AM617" s="1">
        <f>IF(HR_Data[[#This Row],[Attrition]]="Yes",1,0)</f>
        <v>0</v>
      </c>
    </row>
    <row r="618" spans="1:39" x14ac:dyDescent="0.3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 cm="1">
        <f t="array" ref="AJ618">_xlfn.IFS(
HR_Data[[#This Row],[Age]]&lt;25,"Under 25",
HR_Data[[#This Row],[Age]]&lt;35,"25-34",
HR_Data[[#This Row],[Age]]&lt;45,"35-44",
HR_Data[[#This Row],[Age]]&lt;55,"45-54",
TRUE,"55+"
)</f>
        <v>45-54</v>
      </c>
      <c r="AK618" t="str" cm="1">
        <f t="array" ref="AK618">_xlfn.IFS(
HR_Data[[#This Row],[MonthlyIncome]]&lt;3000,"&lt;3K",
HR_Data[[#This Row],[MonthlyIncome]]&lt;6000,"3K-6K",
HR_Data[[#This Row],[MonthlyIncome]]&lt;10000,"6K-10K",
TRUE,"10K+"
)</f>
        <v>10K+</v>
      </c>
      <c r="AL618" t="str" cm="1">
        <f t="array" ref="AL618">_xlfn.IFS(
HR_Data[[#This Row],[YearsAtCompany]]&lt;2,"&lt;2 Years",
HR_Data[[#This Row],[YearsAtCompany]]&lt;5,"2-4 Years",
HR_Data[[#This Row],[YearsAtCompany]]&lt;10,"5-9 Years",
TRUE,"10+ Years"
)</f>
        <v>10+ Years</v>
      </c>
      <c r="AM618" s="1">
        <f>IF(HR_Data[[#This Row],[Attrition]]="Yes",1,0)</f>
        <v>0</v>
      </c>
    </row>
    <row r="619" spans="1:39" x14ac:dyDescent="0.3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 cm="1">
        <f t="array" ref="AJ619">_xlfn.IFS(
HR_Data[[#This Row],[Age]]&lt;25,"Under 25",
HR_Data[[#This Row],[Age]]&lt;35,"25-34",
HR_Data[[#This Row],[Age]]&lt;45,"35-44",
HR_Data[[#This Row],[Age]]&lt;55,"45-54",
TRUE,"55+"
)</f>
        <v>35-44</v>
      </c>
      <c r="AK619" t="str" cm="1">
        <f t="array" ref="AK619">_xlfn.IFS(
HR_Data[[#This Row],[MonthlyIncome]]&lt;3000,"&lt;3K",
HR_Data[[#This Row],[MonthlyIncome]]&lt;6000,"3K-6K",
HR_Data[[#This Row],[MonthlyIncome]]&lt;10000,"6K-10K",
TRUE,"10K+"
)</f>
        <v>3K-6K</v>
      </c>
      <c r="AL619" t="str" cm="1">
        <f t="array" ref="AL619">_xlfn.IFS(
HR_Data[[#This Row],[YearsAtCompany]]&lt;2,"&lt;2 Years",
HR_Data[[#This Row],[YearsAtCompany]]&lt;5,"2-4 Years",
HR_Data[[#This Row],[YearsAtCompany]]&lt;10,"5-9 Years",
TRUE,"10+ Years"
)</f>
        <v>5-9 Years</v>
      </c>
      <c r="AM619" s="1">
        <f>IF(HR_Data[[#This Row],[Attrition]]="Yes",1,0)</f>
        <v>0</v>
      </c>
    </row>
    <row r="620" spans="1:39" x14ac:dyDescent="0.3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 cm="1">
        <f t="array" ref="AJ620">_xlfn.IFS(
HR_Data[[#This Row],[Age]]&lt;25,"Under 25",
HR_Data[[#This Row],[Age]]&lt;35,"25-34",
HR_Data[[#This Row],[Age]]&lt;45,"35-44",
HR_Data[[#This Row],[Age]]&lt;55,"45-54",
TRUE,"55+"
)</f>
        <v>25-34</v>
      </c>
      <c r="AK620" t="str" cm="1">
        <f t="array" ref="AK620">_xlfn.IFS(
HR_Data[[#This Row],[MonthlyIncome]]&lt;3000,"&lt;3K",
HR_Data[[#This Row],[MonthlyIncome]]&lt;6000,"3K-6K",
HR_Data[[#This Row],[MonthlyIncome]]&lt;10000,"6K-10K",
TRUE,"10K+"
)</f>
        <v>3K-6K</v>
      </c>
      <c r="AL620" t="str" cm="1">
        <f t="array" ref="AL620">_xlfn.IFS(
HR_Data[[#This Row],[YearsAtCompany]]&lt;2,"&lt;2 Years",
HR_Data[[#This Row],[YearsAtCompany]]&lt;5,"2-4 Years",
HR_Data[[#This Row],[YearsAtCompany]]&lt;10,"5-9 Years",
TRUE,"10+ Years"
)</f>
        <v>2-4 Years</v>
      </c>
      <c r="AM620" s="1">
        <f>IF(HR_Data[[#This Row],[Attrition]]="Yes",1,0)</f>
        <v>0</v>
      </c>
    </row>
    <row r="621" spans="1:39" x14ac:dyDescent="0.3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 cm="1">
        <f t="array" ref="AJ621">_xlfn.IFS(
HR_Data[[#This Row],[Age]]&lt;25,"Under 25",
HR_Data[[#This Row],[Age]]&lt;35,"25-34",
HR_Data[[#This Row],[Age]]&lt;45,"35-44",
HR_Data[[#This Row],[Age]]&lt;55,"45-54",
TRUE,"55+"
)</f>
        <v>25-34</v>
      </c>
      <c r="AK621" t="str" cm="1">
        <f t="array" ref="AK621">_xlfn.IFS(
HR_Data[[#This Row],[MonthlyIncome]]&lt;3000,"&lt;3K",
HR_Data[[#This Row],[MonthlyIncome]]&lt;6000,"3K-6K",
HR_Data[[#This Row],[MonthlyIncome]]&lt;10000,"6K-10K",
TRUE,"10K+"
)</f>
        <v>3K-6K</v>
      </c>
      <c r="AL621" t="str" cm="1">
        <f t="array" ref="AL621">_xlfn.IFS(
HR_Data[[#This Row],[YearsAtCompany]]&lt;2,"&lt;2 Years",
HR_Data[[#This Row],[YearsAtCompany]]&lt;5,"2-4 Years",
HR_Data[[#This Row],[YearsAtCompany]]&lt;10,"5-9 Years",
TRUE,"10+ Years"
)</f>
        <v>5-9 Years</v>
      </c>
      <c r="AM621" s="1">
        <f>IF(HR_Data[[#This Row],[Attrition]]="Yes",1,0)</f>
        <v>0</v>
      </c>
    </row>
    <row r="622" spans="1:39" x14ac:dyDescent="0.3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 cm="1">
        <f t="array" ref="AJ622">_xlfn.IFS(
HR_Data[[#This Row],[Age]]&lt;25,"Under 25",
HR_Data[[#This Row],[Age]]&lt;35,"25-34",
HR_Data[[#This Row],[Age]]&lt;45,"35-44",
HR_Data[[#This Row],[Age]]&lt;55,"45-54",
TRUE,"55+"
)</f>
        <v>35-44</v>
      </c>
      <c r="AK622" t="str" cm="1">
        <f t="array" ref="AK622">_xlfn.IFS(
HR_Data[[#This Row],[MonthlyIncome]]&lt;3000,"&lt;3K",
HR_Data[[#This Row],[MonthlyIncome]]&lt;6000,"3K-6K",
HR_Data[[#This Row],[MonthlyIncome]]&lt;10000,"6K-10K",
TRUE,"10K+"
)</f>
        <v>&lt;3K</v>
      </c>
      <c r="AL622" t="str" cm="1">
        <f t="array" ref="AL622">_xlfn.IFS(
HR_Data[[#This Row],[YearsAtCompany]]&lt;2,"&lt;2 Years",
HR_Data[[#This Row],[YearsAtCompany]]&lt;5,"2-4 Years",
HR_Data[[#This Row],[YearsAtCompany]]&lt;10,"5-9 Years",
TRUE,"10+ Years"
)</f>
        <v>5-9 Years</v>
      </c>
      <c r="AM622" s="1">
        <f>IF(HR_Data[[#This Row],[Attrition]]="Yes",1,0)</f>
        <v>0</v>
      </c>
    </row>
    <row r="623" spans="1:39" x14ac:dyDescent="0.3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 cm="1">
        <f t="array" ref="AJ623">_xlfn.IFS(
HR_Data[[#This Row],[Age]]&lt;25,"Under 25",
HR_Data[[#This Row],[Age]]&lt;35,"25-34",
HR_Data[[#This Row],[Age]]&lt;45,"35-44",
HR_Data[[#This Row],[Age]]&lt;55,"45-54",
TRUE,"55+"
)</f>
        <v>35-44</v>
      </c>
      <c r="AK623" t="str" cm="1">
        <f t="array" ref="AK623">_xlfn.IFS(
HR_Data[[#This Row],[MonthlyIncome]]&lt;3000,"&lt;3K",
HR_Data[[#This Row],[MonthlyIncome]]&lt;6000,"3K-6K",
HR_Data[[#This Row],[MonthlyIncome]]&lt;10000,"6K-10K",
TRUE,"10K+"
)</f>
        <v>6K-10K</v>
      </c>
      <c r="AL623" t="str" cm="1">
        <f t="array" ref="AL623">_xlfn.IFS(
HR_Data[[#This Row],[YearsAtCompany]]&lt;2,"&lt;2 Years",
HR_Data[[#This Row],[YearsAtCompany]]&lt;5,"2-4 Years",
HR_Data[[#This Row],[YearsAtCompany]]&lt;10,"5-9 Years",
TRUE,"10+ Years"
)</f>
        <v>10+ Years</v>
      </c>
      <c r="AM623" s="1">
        <f>IF(HR_Data[[#This Row],[Attrition]]="Yes",1,0)</f>
        <v>0</v>
      </c>
    </row>
    <row r="624" spans="1:39" x14ac:dyDescent="0.3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 cm="1">
        <f t="array" ref="AJ624">_xlfn.IFS(
HR_Data[[#This Row],[Age]]&lt;25,"Under 25",
HR_Data[[#This Row],[Age]]&lt;35,"25-34",
HR_Data[[#This Row],[Age]]&lt;45,"35-44",
HR_Data[[#This Row],[Age]]&lt;55,"45-54",
TRUE,"55+"
)</f>
        <v>25-34</v>
      </c>
      <c r="AK624" t="str" cm="1">
        <f t="array" ref="AK624">_xlfn.IFS(
HR_Data[[#This Row],[MonthlyIncome]]&lt;3000,"&lt;3K",
HR_Data[[#This Row],[MonthlyIncome]]&lt;6000,"3K-6K",
HR_Data[[#This Row],[MonthlyIncome]]&lt;10000,"6K-10K",
TRUE,"10K+"
)</f>
        <v>3K-6K</v>
      </c>
      <c r="AL624" t="str" cm="1">
        <f t="array" ref="AL624">_xlfn.IFS(
HR_Data[[#This Row],[YearsAtCompany]]&lt;2,"&lt;2 Years",
HR_Data[[#This Row],[YearsAtCompany]]&lt;5,"2-4 Years",
HR_Data[[#This Row],[YearsAtCompany]]&lt;10,"5-9 Years",
TRUE,"10+ Years"
)</f>
        <v>5-9 Years</v>
      </c>
      <c r="AM624" s="1">
        <f>IF(HR_Data[[#This Row],[Attrition]]="Yes",1,0)</f>
        <v>0</v>
      </c>
    </row>
    <row r="625" spans="1:39" x14ac:dyDescent="0.3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 cm="1">
        <f t="array" ref="AJ625">_xlfn.IFS(
HR_Data[[#This Row],[Age]]&lt;25,"Under 25",
HR_Data[[#This Row],[Age]]&lt;35,"25-34",
HR_Data[[#This Row],[Age]]&lt;45,"35-44",
HR_Data[[#This Row],[Age]]&lt;55,"45-54",
TRUE,"55+"
)</f>
        <v>25-34</v>
      </c>
      <c r="AK625" t="str" cm="1">
        <f t="array" ref="AK625">_xlfn.IFS(
HR_Data[[#This Row],[MonthlyIncome]]&lt;3000,"&lt;3K",
HR_Data[[#This Row],[MonthlyIncome]]&lt;6000,"3K-6K",
HR_Data[[#This Row],[MonthlyIncome]]&lt;10000,"6K-10K",
TRUE,"10K+"
)</f>
        <v>3K-6K</v>
      </c>
      <c r="AL625" t="str" cm="1">
        <f t="array" ref="AL625">_xlfn.IFS(
HR_Data[[#This Row],[YearsAtCompany]]&lt;2,"&lt;2 Years",
HR_Data[[#This Row],[YearsAtCompany]]&lt;5,"2-4 Years",
HR_Data[[#This Row],[YearsAtCompany]]&lt;10,"5-9 Years",
TRUE,"10+ Years"
)</f>
        <v>5-9 Years</v>
      </c>
      <c r="AM625" s="1">
        <f>IF(HR_Data[[#This Row],[Attrition]]="Yes",1,0)</f>
        <v>0</v>
      </c>
    </row>
    <row r="626" spans="1:39" x14ac:dyDescent="0.3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 cm="1">
        <f t="array" ref="AJ626">_xlfn.IFS(
HR_Data[[#This Row],[Age]]&lt;25,"Under 25",
HR_Data[[#This Row],[Age]]&lt;35,"25-34",
HR_Data[[#This Row],[Age]]&lt;45,"35-44",
HR_Data[[#This Row],[Age]]&lt;55,"45-54",
TRUE,"55+"
)</f>
        <v>45-54</v>
      </c>
      <c r="AK626" t="str" cm="1">
        <f t="array" ref="AK626">_xlfn.IFS(
HR_Data[[#This Row],[MonthlyIncome]]&lt;3000,"&lt;3K",
HR_Data[[#This Row],[MonthlyIncome]]&lt;6000,"3K-6K",
HR_Data[[#This Row],[MonthlyIncome]]&lt;10000,"6K-10K",
TRUE,"10K+"
)</f>
        <v>10K+</v>
      </c>
      <c r="AL626" t="str" cm="1">
        <f t="array" ref="AL626">_xlfn.IFS(
HR_Data[[#This Row],[YearsAtCompany]]&lt;2,"&lt;2 Years",
HR_Data[[#This Row],[YearsAtCompany]]&lt;5,"2-4 Years",
HR_Data[[#This Row],[YearsAtCompany]]&lt;10,"5-9 Years",
TRUE,"10+ Years"
)</f>
        <v>5-9 Years</v>
      </c>
      <c r="AM626" s="1">
        <f>IF(HR_Data[[#This Row],[Attrition]]="Yes",1,0)</f>
        <v>0</v>
      </c>
    </row>
    <row r="627" spans="1:39" x14ac:dyDescent="0.3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 cm="1">
        <f t="array" ref="AJ627">_xlfn.IFS(
HR_Data[[#This Row],[Age]]&lt;25,"Under 25",
HR_Data[[#This Row],[Age]]&lt;35,"25-34",
HR_Data[[#This Row],[Age]]&lt;45,"35-44",
HR_Data[[#This Row],[Age]]&lt;55,"45-54",
TRUE,"55+"
)</f>
        <v>45-54</v>
      </c>
      <c r="AK627" t="str" cm="1">
        <f t="array" ref="AK627">_xlfn.IFS(
HR_Data[[#This Row],[MonthlyIncome]]&lt;3000,"&lt;3K",
HR_Data[[#This Row],[MonthlyIncome]]&lt;6000,"3K-6K",
HR_Data[[#This Row],[MonthlyIncome]]&lt;10000,"6K-10K",
TRUE,"10K+"
)</f>
        <v>10K+</v>
      </c>
      <c r="AL627" t="str" cm="1">
        <f t="array" ref="AL627">_xlfn.IFS(
HR_Data[[#This Row],[YearsAtCompany]]&lt;2,"&lt;2 Years",
HR_Data[[#This Row],[YearsAtCompany]]&lt;5,"2-4 Years",
HR_Data[[#This Row],[YearsAtCompany]]&lt;10,"5-9 Years",
TRUE,"10+ Years"
)</f>
        <v>5-9 Years</v>
      </c>
      <c r="AM627" s="1">
        <f>IF(HR_Data[[#This Row],[Attrition]]="Yes",1,0)</f>
        <v>0</v>
      </c>
    </row>
    <row r="628" spans="1:39" x14ac:dyDescent="0.3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 cm="1">
        <f t="array" ref="AJ628">_xlfn.IFS(
HR_Data[[#This Row],[Age]]&lt;25,"Under 25",
HR_Data[[#This Row],[Age]]&lt;35,"25-34",
HR_Data[[#This Row],[Age]]&lt;45,"35-44",
HR_Data[[#This Row],[Age]]&lt;55,"45-54",
TRUE,"55+"
)</f>
        <v>25-34</v>
      </c>
      <c r="AK628" t="str" cm="1">
        <f t="array" ref="AK628">_xlfn.IFS(
HR_Data[[#This Row],[MonthlyIncome]]&lt;3000,"&lt;3K",
HR_Data[[#This Row],[MonthlyIncome]]&lt;6000,"3K-6K",
HR_Data[[#This Row],[MonthlyIncome]]&lt;10000,"6K-10K",
TRUE,"10K+"
)</f>
        <v>3K-6K</v>
      </c>
      <c r="AL628" t="str" cm="1">
        <f t="array" ref="AL628">_xlfn.IFS(
HR_Data[[#This Row],[YearsAtCompany]]&lt;2,"&lt;2 Years",
HR_Data[[#This Row],[YearsAtCompany]]&lt;5,"2-4 Years",
HR_Data[[#This Row],[YearsAtCompany]]&lt;10,"5-9 Years",
TRUE,"10+ Years"
)</f>
        <v>5-9 Years</v>
      </c>
      <c r="AM628" s="1">
        <f>IF(HR_Data[[#This Row],[Attrition]]="Yes",1,0)</f>
        <v>0</v>
      </c>
    </row>
    <row r="629" spans="1:39" x14ac:dyDescent="0.3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 cm="1">
        <f t="array" ref="AJ629">_xlfn.IFS(
HR_Data[[#This Row],[Age]]&lt;25,"Under 25",
HR_Data[[#This Row],[Age]]&lt;35,"25-34",
HR_Data[[#This Row],[Age]]&lt;45,"35-44",
HR_Data[[#This Row],[Age]]&lt;55,"45-54",
TRUE,"55+"
)</f>
        <v>45-54</v>
      </c>
      <c r="AK629" t="str" cm="1">
        <f t="array" ref="AK629">_xlfn.IFS(
HR_Data[[#This Row],[MonthlyIncome]]&lt;3000,"&lt;3K",
HR_Data[[#This Row],[MonthlyIncome]]&lt;6000,"3K-6K",
HR_Data[[#This Row],[MonthlyIncome]]&lt;10000,"6K-10K",
TRUE,"10K+"
)</f>
        <v>10K+</v>
      </c>
      <c r="AL629" t="str" cm="1">
        <f t="array" ref="AL629">_xlfn.IFS(
HR_Data[[#This Row],[YearsAtCompany]]&lt;2,"&lt;2 Years",
HR_Data[[#This Row],[YearsAtCompany]]&lt;5,"2-4 Years",
HR_Data[[#This Row],[YearsAtCompany]]&lt;10,"5-9 Years",
TRUE,"10+ Years"
)</f>
        <v>5-9 Years</v>
      </c>
      <c r="AM629" s="1">
        <f>IF(HR_Data[[#This Row],[Attrition]]="Yes",1,0)</f>
        <v>0</v>
      </c>
    </row>
    <row r="630" spans="1:39" x14ac:dyDescent="0.3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 cm="1">
        <f t="array" ref="AJ630">_xlfn.IFS(
HR_Data[[#This Row],[Age]]&lt;25,"Under 25",
HR_Data[[#This Row],[Age]]&lt;35,"25-34",
HR_Data[[#This Row],[Age]]&lt;45,"35-44",
HR_Data[[#This Row],[Age]]&lt;55,"45-54",
TRUE,"55+"
)</f>
        <v>35-44</v>
      </c>
      <c r="AK630" t="str" cm="1">
        <f t="array" ref="AK630">_xlfn.IFS(
HR_Data[[#This Row],[MonthlyIncome]]&lt;3000,"&lt;3K",
HR_Data[[#This Row],[MonthlyIncome]]&lt;6000,"3K-6K",
HR_Data[[#This Row],[MonthlyIncome]]&lt;10000,"6K-10K",
TRUE,"10K+"
)</f>
        <v>6K-10K</v>
      </c>
      <c r="AL630" t="str" cm="1">
        <f t="array" ref="AL630">_xlfn.IFS(
HR_Data[[#This Row],[YearsAtCompany]]&lt;2,"&lt;2 Years",
HR_Data[[#This Row],[YearsAtCompany]]&lt;5,"2-4 Years",
HR_Data[[#This Row],[YearsAtCompany]]&lt;10,"5-9 Years",
TRUE,"10+ Years"
)</f>
        <v>&lt;2 Years</v>
      </c>
      <c r="AM630" s="1">
        <f>IF(HR_Data[[#This Row],[Attrition]]="Yes",1,0)</f>
        <v>0</v>
      </c>
    </row>
    <row r="631" spans="1:39" x14ac:dyDescent="0.3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 cm="1">
        <f t="array" ref="AJ631">_xlfn.IFS(
HR_Data[[#This Row],[Age]]&lt;25,"Under 25",
HR_Data[[#This Row],[Age]]&lt;35,"25-34",
HR_Data[[#This Row],[Age]]&lt;45,"35-44",
HR_Data[[#This Row],[Age]]&lt;55,"45-54",
TRUE,"55+"
)</f>
        <v>25-34</v>
      </c>
      <c r="AK631" t="str" cm="1">
        <f t="array" ref="AK631">_xlfn.IFS(
HR_Data[[#This Row],[MonthlyIncome]]&lt;3000,"&lt;3K",
HR_Data[[#This Row],[MonthlyIncome]]&lt;6000,"3K-6K",
HR_Data[[#This Row],[MonthlyIncome]]&lt;10000,"6K-10K",
TRUE,"10K+"
)</f>
        <v>3K-6K</v>
      </c>
      <c r="AL631" t="str" cm="1">
        <f t="array" ref="AL631">_xlfn.IFS(
HR_Data[[#This Row],[YearsAtCompany]]&lt;2,"&lt;2 Years",
HR_Data[[#This Row],[YearsAtCompany]]&lt;5,"2-4 Years",
HR_Data[[#This Row],[YearsAtCompany]]&lt;10,"5-9 Years",
TRUE,"10+ Years"
)</f>
        <v>5-9 Years</v>
      </c>
      <c r="AM631" s="1">
        <f>IF(HR_Data[[#This Row],[Attrition]]="Yes",1,0)</f>
        <v>0</v>
      </c>
    </row>
    <row r="632" spans="1:39" x14ac:dyDescent="0.3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 cm="1">
        <f t="array" ref="AJ632">_xlfn.IFS(
HR_Data[[#This Row],[Age]]&lt;25,"Under 25",
HR_Data[[#This Row],[Age]]&lt;35,"25-34",
HR_Data[[#This Row],[Age]]&lt;45,"35-44",
HR_Data[[#This Row],[Age]]&lt;55,"45-54",
TRUE,"55+"
)</f>
        <v>Under 25</v>
      </c>
      <c r="AK632" t="str" cm="1">
        <f t="array" ref="AK632">_xlfn.IFS(
HR_Data[[#This Row],[MonthlyIncome]]&lt;3000,"&lt;3K",
HR_Data[[#This Row],[MonthlyIncome]]&lt;6000,"3K-6K",
HR_Data[[#This Row],[MonthlyIncome]]&lt;10000,"6K-10K",
TRUE,"10K+"
)</f>
        <v>3K-6K</v>
      </c>
      <c r="AL632" t="str" cm="1">
        <f t="array" ref="AL632">_xlfn.IFS(
HR_Data[[#This Row],[YearsAtCompany]]&lt;2,"&lt;2 Years",
HR_Data[[#This Row],[YearsAtCompany]]&lt;5,"2-4 Years",
HR_Data[[#This Row],[YearsAtCompany]]&lt;10,"5-9 Years",
TRUE,"10+ Years"
)</f>
        <v>2-4 Years</v>
      </c>
      <c r="AM632" s="1">
        <f>IF(HR_Data[[#This Row],[Attrition]]="Yes",1,0)</f>
        <v>0</v>
      </c>
    </row>
    <row r="633" spans="1:39" x14ac:dyDescent="0.3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 cm="1">
        <f t="array" ref="AJ633">_xlfn.IFS(
HR_Data[[#This Row],[Age]]&lt;25,"Under 25",
HR_Data[[#This Row],[Age]]&lt;35,"25-34",
HR_Data[[#This Row],[Age]]&lt;45,"35-44",
HR_Data[[#This Row],[Age]]&lt;55,"45-54",
TRUE,"55+"
)</f>
        <v>35-44</v>
      </c>
      <c r="AK633" t="str" cm="1">
        <f t="array" ref="AK633">_xlfn.IFS(
HR_Data[[#This Row],[MonthlyIncome]]&lt;3000,"&lt;3K",
HR_Data[[#This Row],[MonthlyIncome]]&lt;6000,"3K-6K",
HR_Data[[#This Row],[MonthlyIncome]]&lt;10000,"6K-10K",
TRUE,"10K+"
)</f>
        <v>&lt;3K</v>
      </c>
      <c r="AL633" t="str" cm="1">
        <f t="array" ref="AL633">_xlfn.IFS(
HR_Data[[#This Row],[YearsAtCompany]]&lt;2,"&lt;2 Years",
HR_Data[[#This Row],[YearsAtCompany]]&lt;5,"2-4 Years",
HR_Data[[#This Row],[YearsAtCompany]]&lt;10,"5-9 Years",
TRUE,"10+ Years"
)</f>
        <v>2-4 Years</v>
      </c>
      <c r="AM633" s="1">
        <f>IF(HR_Data[[#This Row],[Attrition]]="Yes",1,0)</f>
        <v>0</v>
      </c>
    </row>
    <row r="634" spans="1:39" x14ac:dyDescent="0.3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 cm="1">
        <f t="array" ref="AJ634">_xlfn.IFS(
HR_Data[[#This Row],[Age]]&lt;25,"Under 25",
HR_Data[[#This Row],[Age]]&lt;35,"25-34",
HR_Data[[#This Row],[Age]]&lt;45,"35-44",
HR_Data[[#This Row],[Age]]&lt;55,"45-54",
TRUE,"55+"
)</f>
        <v>35-44</v>
      </c>
      <c r="AK634" t="str" cm="1">
        <f t="array" ref="AK634">_xlfn.IFS(
HR_Data[[#This Row],[MonthlyIncome]]&lt;3000,"&lt;3K",
HR_Data[[#This Row],[MonthlyIncome]]&lt;6000,"3K-6K",
HR_Data[[#This Row],[MonthlyIncome]]&lt;10000,"6K-10K",
TRUE,"10K+"
)</f>
        <v>&lt;3K</v>
      </c>
      <c r="AL634" t="str" cm="1">
        <f t="array" ref="AL634">_xlfn.IFS(
HR_Data[[#This Row],[YearsAtCompany]]&lt;2,"&lt;2 Years",
HR_Data[[#This Row],[YearsAtCompany]]&lt;5,"2-4 Years",
HR_Data[[#This Row],[YearsAtCompany]]&lt;10,"5-9 Years",
TRUE,"10+ Years"
)</f>
        <v>2-4 Years</v>
      </c>
      <c r="AM634" s="1">
        <f>IF(HR_Data[[#This Row],[Attrition]]="Yes",1,0)</f>
        <v>0</v>
      </c>
    </row>
    <row r="635" spans="1:39" x14ac:dyDescent="0.3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 cm="1">
        <f t="array" ref="AJ635">_xlfn.IFS(
HR_Data[[#This Row],[Age]]&lt;25,"Under 25",
HR_Data[[#This Row],[Age]]&lt;35,"25-34",
HR_Data[[#This Row],[Age]]&lt;45,"35-44",
HR_Data[[#This Row],[Age]]&lt;55,"45-54",
TRUE,"55+"
)</f>
        <v>35-44</v>
      </c>
      <c r="AK635" t="str" cm="1">
        <f t="array" ref="AK635">_xlfn.IFS(
HR_Data[[#This Row],[MonthlyIncome]]&lt;3000,"&lt;3K",
HR_Data[[#This Row],[MonthlyIncome]]&lt;6000,"3K-6K",
HR_Data[[#This Row],[MonthlyIncome]]&lt;10000,"6K-10K",
TRUE,"10K+"
)</f>
        <v>&lt;3K</v>
      </c>
      <c r="AL635" t="str" cm="1">
        <f t="array" ref="AL635">_xlfn.IFS(
HR_Data[[#This Row],[YearsAtCompany]]&lt;2,"&lt;2 Years",
HR_Data[[#This Row],[YearsAtCompany]]&lt;5,"2-4 Years",
HR_Data[[#This Row],[YearsAtCompany]]&lt;10,"5-9 Years",
TRUE,"10+ Years"
)</f>
        <v>5-9 Years</v>
      </c>
      <c r="AM635" s="1">
        <f>IF(HR_Data[[#This Row],[Attrition]]="Yes",1,0)</f>
        <v>0</v>
      </c>
    </row>
    <row r="636" spans="1:39" x14ac:dyDescent="0.3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 cm="1">
        <f t="array" ref="AJ636">_xlfn.IFS(
HR_Data[[#This Row],[Age]]&lt;25,"Under 25",
HR_Data[[#This Row],[Age]]&lt;35,"25-34",
HR_Data[[#This Row],[Age]]&lt;45,"35-44",
HR_Data[[#This Row],[Age]]&lt;55,"45-54",
TRUE,"55+"
)</f>
        <v>25-34</v>
      </c>
      <c r="AK636" t="str" cm="1">
        <f t="array" ref="AK636">_xlfn.IFS(
HR_Data[[#This Row],[MonthlyIncome]]&lt;3000,"&lt;3K",
HR_Data[[#This Row],[MonthlyIncome]]&lt;6000,"3K-6K",
HR_Data[[#This Row],[MonthlyIncome]]&lt;10000,"6K-10K",
TRUE,"10K+"
)</f>
        <v>3K-6K</v>
      </c>
      <c r="AL636" t="str" cm="1">
        <f t="array" ref="AL636">_xlfn.IFS(
HR_Data[[#This Row],[YearsAtCompany]]&lt;2,"&lt;2 Years",
HR_Data[[#This Row],[YearsAtCompany]]&lt;5,"2-4 Years",
HR_Data[[#This Row],[YearsAtCompany]]&lt;10,"5-9 Years",
TRUE,"10+ Years"
)</f>
        <v>5-9 Years</v>
      </c>
      <c r="AM636" s="1">
        <f>IF(HR_Data[[#This Row],[Attrition]]="Yes",1,0)</f>
        <v>0</v>
      </c>
    </row>
    <row r="637" spans="1:39" x14ac:dyDescent="0.3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 cm="1">
        <f t="array" ref="AJ637">_xlfn.IFS(
HR_Data[[#This Row],[Age]]&lt;25,"Under 25",
HR_Data[[#This Row],[Age]]&lt;35,"25-34",
HR_Data[[#This Row],[Age]]&lt;45,"35-44",
HR_Data[[#This Row],[Age]]&lt;55,"45-54",
TRUE,"55+"
)</f>
        <v>35-44</v>
      </c>
      <c r="AK637" t="str" cm="1">
        <f t="array" ref="AK637">_xlfn.IFS(
HR_Data[[#This Row],[MonthlyIncome]]&lt;3000,"&lt;3K",
HR_Data[[#This Row],[MonthlyIncome]]&lt;6000,"3K-6K",
HR_Data[[#This Row],[MonthlyIncome]]&lt;10000,"6K-10K",
TRUE,"10K+"
)</f>
        <v>10K+</v>
      </c>
      <c r="AL637" t="str" cm="1">
        <f t="array" ref="AL637">_xlfn.IFS(
HR_Data[[#This Row],[YearsAtCompany]]&lt;2,"&lt;2 Years",
HR_Data[[#This Row],[YearsAtCompany]]&lt;5,"2-4 Years",
HR_Data[[#This Row],[YearsAtCompany]]&lt;10,"5-9 Years",
TRUE,"10+ Years"
)</f>
        <v>10+ Years</v>
      </c>
      <c r="AM637" s="1">
        <f>IF(HR_Data[[#This Row],[Attrition]]="Yes",1,0)</f>
        <v>0</v>
      </c>
    </row>
    <row r="638" spans="1:39" x14ac:dyDescent="0.3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 cm="1">
        <f t="array" ref="AJ638">_xlfn.IFS(
HR_Data[[#This Row],[Age]]&lt;25,"Under 25",
HR_Data[[#This Row],[Age]]&lt;35,"25-34",
HR_Data[[#This Row],[Age]]&lt;45,"35-44",
HR_Data[[#This Row],[Age]]&lt;55,"45-54",
TRUE,"55+"
)</f>
        <v>35-44</v>
      </c>
      <c r="AK638" t="str" cm="1">
        <f t="array" ref="AK638">_xlfn.IFS(
HR_Data[[#This Row],[MonthlyIncome]]&lt;3000,"&lt;3K",
HR_Data[[#This Row],[MonthlyIncome]]&lt;6000,"3K-6K",
HR_Data[[#This Row],[MonthlyIncome]]&lt;10000,"6K-10K",
TRUE,"10K+"
)</f>
        <v>&lt;3K</v>
      </c>
      <c r="AL638" t="str" cm="1">
        <f t="array" ref="AL638">_xlfn.IFS(
HR_Data[[#This Row],[YearsAtCompany]]&lt;2,"&lt;2 Years",
HR_Data[[#This Row],[YearsAtCompany]]&lt;5,"2-4 Years",
HR_Data[[#This Row],[YearsAtCompany]]&lt;10,"5-9 Years",
TRUE,"10+ Years"
)</f>
        <v>10+ Years</v>
      </c>
      <c r="AM638" s="1">
        <f>IF(HR_Data[[#This Row],[Attrition]]="Yes",1,0)</f>
        <v>1</v>
      </c>
    </row>
    <row r="639" spans="1:39" x14ac:dyDescent="0.3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 cm="1">
        <f t="array" ref="AJ639">_xlfn.IFS(
HR_Data[[#This Row],[Age]]&lt;25,"Under 25",
HR_Data[[#This Row],[Age]]&lt;35,"25-34",
HR_Data[[#This Row],[Age]]&lt;45,"35-44",
HR_Data[[#This Row],[Age]]&lt;55,"45-54",
TRUE,"55+"
)</f>
        <v>25-34</v>
      </c>
      <c r="AK639" t="str" cm="1">
        <f t="array" ref="AK639">_xlfn.IFS(
HR_Data[[#This Row],[MonthlyIncome]]&lt;3000,"&lt;3K",
HR_Data[[#This Row],[MonthlyIncome]]&lt;6000,"3K-6K",
HR_Data[[#This Row],[MonthlyIncome]]&lt;10000,"6K-10K",
TRUE,"10K+"
)</f>
        <v>&lt;3K</v>
      </c>
      <c r="AL639" t="str" cm="1">
        <f t="array" ref="AL639">_xlfn.IFS(
HR_Data[[#This Row],[YearsAtCompany]]&lt;2,"&lt;2 Years",
HR_Data[[#This Row],[YearsAtCompany]]&lt;5,"2-4 Years",
HR_Data[[#This Row],[YearsAtCompany]]&lt;10,"5-9 Years",
TRUE,"10+ Years"
)</f>
        <v>2-4 Years</v>
      </c>
      <c r="AM639" s="1">
        <f>IF(HR_Data[[#This Row],[Attrition]]="Yes",1,0)</f>
        <v>0</v>
      </c>
    </row>
    <row r="640" spans="1:39" x14ac:dyDescent="0.3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 cm="1">
        <f t="array" ref="AJ640">_xlfn.IFS(
HR_Data[[#This Row],[Age]]&lt;25,"Under 25",
HR_Data[[#This Row],[Age]]&lt;35,"25-34",
HR_Data[[#This Row],[Age]]&lt;45,"35-44",
HR_Data[[#This Row],[Age]]&lt;55,"45-54",
TRUE,"55+"
)</f>
        <v>25-34</v>
      </c>
      <c r="AK640" t="str" cm="1">
        <f t="array" ref="AK640">_xlfn.IFS(
HR_Data[[#This Row],[MonthlyIncome]]&lt;3000,"&lt;3K",
HR_Data[[#This Row],[MonthlyIncome]]&lt;6000,"3K-6K",
HR_Data[[#This Row],[MonthlyIncome]]&lt;10000,"6K-10K",
TRUE,"10K+"
)</f>
        <v>3K-6K</v>
      </c>
      <c r="AL640" t="str" cm="1">
        <f t="array" ref="AL640">_xlfn.IFS(
HR_Data[[#This Row],[YearsAtCompany]]&lt;2,"&lt;2 Years",
HR_Data[[#This Row],[YearsAtCompany]]&lt;5,"2-4 Years",
HR_Data[[#This Row],[YearsAtCompany]]&lt;10,"5-9 Years",
TRUE,"10+ Years"
)</f>
        <v>5-9 Years</v>
      </c>
      <c r="AM640" s="1">
        <f>IF(HR_Data[[#This Row],[Attrition]]="Yes",1,0)</f>
        <v>0</v>
      </c>
    </row>
    <row r="641" spans="1:39" x14ac:dyDescent="0.3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 cm="1">
        <f t="array" ref="AJ641">_xlfn.IFS(
HR_Data[[#This Row],[Age]]&lt;25,"Under 25",
HR_Data[[#This Row],[Age]]&lt;35,"25-34",
HR_Data[[#This Row],[Age]]&lt;45,"35-44",
HR_Data[[#This Row],[Age]]&lt;55,"45-54",
TRUE,"55+"
)</f>
        <v>45-54</v>
      </c>
      <c r="AK641" t="str" cm="1">
        <f t="array" ref="AK641">_xlfn.IFS(
HR_Data[[#This Row],[MonthlyIncome]]&lt;3000,"&lt;3K",
HR_Data[[#This Row],[MonthlyIncome]]&lt;6000,"3K-6K",
HR_Data[[#This Row],[MonthlyIncome]]&lt;10000,"6K-10K",
TRUE,"10K+"
)</f>
        <v>3K-6K</v>
      </c>
      <c r="AL641" t="str" cm="1">
        <f t="array" ref="AL641">_xlfn.IFS(
HR_Data[[#This Row],[YearsAtCompany]]&lt;2,"&lt;2 Years",
HR_Data[[#This Row],[YearsAtCompany]]&lt;5,"2-4 Years",
HR_Data[[#This Row],[YearsAtCompany]]&lt;10,"5-9 Years",
TRUE,"10+ Years"
)</f>
        <v>2-4 Years</v>
      </c>
      <c r="AM641" s="1">
        <f>IF(HR_Data[[#This Row],[Attrition]]="Yes",1,0)</f>
        <v>0</v>
      </c>
    </row>
    <row r="642" spans="1:39" x14ac:dyDescent="0.3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 cm="1">
        <f t="array" ref="AJ642">_xlfn.IFS(
HR_Data[[#This Row],[Age]]&lt;25,"Under 25",
HR_Data[[#This Row],[Age]]&lt;35,"25-34",
HR_Data[[#This Row],[Age]]&lt;45,"35-44",
HR_Data[[#This Row],[Age]]&lt;55,"45-54",
TRUE,"55+"
)</f>
        <v>Under 25</v>
      </c>
      <c r="AK642" t="str" cm="1">
        <f t="array" ref="AK642">_xlfn.IFS(
HR_Data[[#This Row],[MonthlyIncome]]&lt;3000,"&lt;3K",
HR_Data[[#This Row],[MonthlyIncome]]&lt;6000,"3K-6K",
HR_Data[[#This Row],[MonthlyIncome]]&lt;10000,"6K-10K",
TRUE,"10K+"
)</f>
        <v>3K-6K</v>
      </c>
      <c r="AL642" t="str" cm="1">
        <f t="array" ref="AL642">_xlfn.IFS(
HR_Data[[#This Row],[YearsAtCompany]]&lt;2,"&lt;2 Years",
HR_Data[[#This Row],[YearsAtCompany]]&lt;5,"2-4 Years",
HR_Data[[#This Row],[YearsAtCompany]]&lt;10,"5-9 Years",
TRUE,"10+ Years"
)</f>
        <v>5-9 Years</v>
      </c>
      <c r="AM642" s="1">
        <f>IF(HR_Data[[#This Row],[Attrition]]="Yes",1,0)</f>
        <v>0</v>
      </c>
    </row>
    <row r="643" spans="1:39" x14ac:dyDescent="0.3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 cm="1">
        <f t="array" ref="AJ643">_xlfn.IFS(
HR_Data[[#This Row],[Age]]&lt;25,"Under 25",
HR_Data[[#This Row],[Age]]&lt;35,"25-34",
HR_Data[[#This Row],[Age]]&lt;45,"35-44",
HR_Data[[#This Row],[Age]]&lt;55,"45-54",
TRUE,"55+"
)</f>
        <v>25-34</v>
      </c>
      <c r="AK643" t="str" cm="1">
        <f t="array" ref="AK643">_xlfn.IFS(
HR_Data[[#This Row],[MonthlyIncome]]&lt;3000,"&lt;3K",
HR_Data[[#This Row],[MonthlyIncome]]&lt;6000,"3K-6K",
HR_Data[[#This Row],[MonthlyIncome]]&lt;10000,"6K-10K",
TRUE,"10K+"
)</f>
        <v>6K-10K</v>
      </c>
      <c r="AL643" t="str" cm="1">
        <f t="array" ref="AL643">_xlfn.IFS(
HR_Data[[#This Row],[YearsAtCompany]]&lt;2,"&lt;2 Years",
HR_Data[[#This Row],[YearsAtCompany]]&lt;5,"2-4 Years",
HR_Data[[#This Row],[YearsAtCompany]]&lt;10,"5-9 Years",
TRUE,"10+ Years"
)</f>
        <v>10+ Years</v>
      </c>
      <c r="AM643" s="1">
        <f>IF(HR_Data[[#This Row],[Attrition]]="Yes",1,0)</f>
        <v>0</v>
      </c>
    </row>
    <row r="644" spans="1:39" x14ac:dyDescent="0.3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 cm="1">
        <f t="array" ref="AJ644">_xlfn.IFS(
HR_Data[[#This Row],[Age]]&lt;25,"Under 25",
HR_Data[[#This Row],[Age]]&lt;35,"25-34",
HR_Data[[#This Row],[Age]]&lt;45,"35-44",
HR_Data[[#This Row],[Age]]&lt;55,"45-54",
TRUE,"55+"
)</f>
        <v>35-44</v>
      </c>
      <c r="AK644" t="str" cm="1">
        <f t="array" ref="AK644">_xlfn.IFS(
HR_Data[[#This Row],[MonthlyIncome]]&lt;3000,"&lt;3K",
HR_Data[[#This Row],[MonthlyIncome]]&lt;6000,"3K-6K",
HR_Data[[#This Row],[MonthlyIncome]]&lt;10000,"6K-10K",
TRUE,"10K+"
)</f>
        <v>&lt;3K</v>
      </c>
      <c r="AL644" t="str" cm="1">
        <f t="array" ref="AL644">_xlfn.IFS(
HR_Data[[#This Row],[YearsAtCompany]]&lt;2,"&lt;2 Years",
HR_Data[[#This Row],[YearsAtCompany]]&lt;5,"2-4 Years",
HR_Data[[#This Row],[YearsAtCompany]]&lt;10,"5-9 Years",
TRUE,"10+ Years"
)</f>
        <v>2-4 Years</v>
      </c>
      <c r="AM644" s="1">
        <f>IF(HR_Data[[#This Row],[Attrition]]="Yes",1,0)</f>
        <v>0</v>
      </c>
    </row>
    <row r="645" spans="1:39" x14ac:dyDescent="0.3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 cm="1">
        <f t="array" ref="AJ645">_xlfn.IFS(
HR_Data[[#This Row],[Age]]&lt;25,"Under 25",
HR_Data[[#This Row],[Age]]&lt;35,"25-34",
HR_Data[[#This Row],[Age]]&lt;45,"35-44",
HR_Data[[#This Row],[Age]]&lt;55,"45-54",
TRUE,"55+"
)</f>
        <v>35-44</v>
      </c>
      <c r="AK645" t="str" cm="1">
        <f t="array" ref="AK645">_xlfn.IFS(
HR_Data[[#This Row],[MonthlyIncome]]&lt;3000,"&lt;3K",
HR_Data[[#This Row],[MonthlyIncome]]&lt;6000,"3K-6K",
HR_Data[[#This Row],[MonthlyIncome]]&lt;10000,"6K-10K",
TRUE,"10K+"
)</f>
        <v>3K-6K</v>
      </c>
      <c r="AL645" t="str" cm="1">
        <f t="array" ref="AL645">_xlfn.IFS(
HR_Data[[#This Row],[YearsAtCompany]]&lt;2,"&lt;2 Years",
HR_Data[[#This Row],[YearsAtCompany]]&lt;5,"2-4 Years",
HR_Data[[#This Row],[YearsAtCompany]]&lt;10,"5-9 Years",
TRUE,"10+ Years"
)</f>
        <v>5-9 Years</v>
      </c>
      <c r="AM645" s="1">
        <f>IF(HR_Data[[#This Row],[Attrition]]="Yes",1,0)</f>
        <v>0</v>
      </c>
    </row>
    <row r="646" spans="1:39" x14ac:dyDescent="0.3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 cm="1">
        <f t="array" ref="AJ646">_xlfn.IFS(
HR_Data[[#This Row],[Age]]&lt;25,"Under 25",
HR_Data[[#This Row],[Age]]&lt;35,"25-34",
HR_Data[[#This Row],[Age]]&lt;45,"35-44",
HR_Data[[#This Row],[Age]]&lt;55,"45-54",
TRUE,"55+"
)</f>
        <v>25-34</v>
      </c>
      <c r="AK646" t="str" cm="1">
        <f t="array" ref="AK646">_xlfn.IFS(
HR_Data[[#This Row],[MonthlyIncome]]&lt;3000,"&lt;3K",
HR_Data[[#This Row],[MonthlyIncome]]&lt;6000,"3K-6K",
HR_Data[[#This Row],[MonthlyIncome]]&lt;10000,"6K-10K",
TRUE,"10K+"
)</f>
        <v>&lt;3K</v>
      </c>
      <c r="AL646" t="str" cm="1">
        <f t="array" ref="AL646">_xlfn.IFS(
HR_Data[[#This Row],[YearsAtCompany]]&lt;2,"&lt;2 Years",
HR_Data[[#This Row],[YearsAtCompany]]&lt;5,"2-4 Years",
HR_Data[[#This Row],[YearsAtCompany]]&lt;10,"5-9 Years",
TRUE,"10+ Years"
)</f>
        <v>5-9 Years</v>
      </c>
      <c r="AM646" s="1">
        <f>IF(HR_Data[[#This Row],[Attrition]]="Yes",1,0)</f>
        <v>0</v>
      </c>
    </row>
    <row r="647" spans="1:39" x14ac:dyDescent="0.3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 cm="1">
        <f t="array" ref="AJ647">_xlfn.IFS(
HR_Data[[#This Row],[Age]]&lt;25,"Under 25",
HR_Data[[#This Row],[Age]]&lt;35,"25-34",
HR_Data[[#This Row],[Age]]&lt;45,"35-44",
HR_Data[[#This Row],[Age]]&lt;55,"45-54",
TRUE,"55+"
)</f>
        <v>25-34</v>
      </c>
      <c r="AK647" t="str" cm="1">
        <f t="array" ref="AK647">_xlfn.IFS(
HR_Data[[#This Row],[MonthlyIncome]]&lt;3000,"&lt;3K",
HR_Data[[#This Row],[MonthlyIncome]]&lt;6000,"3K-6K",
HR_Data[[#This Row],[MonthlyIncome]]&lt;10000,"6K-10K",
TRUE,"10K+"
)</f>
        <v>&lt;3K</v>
      </c>
      <c r="AL647" t="str" cm="1">
        <f t="array" ref="AL647">_xlfn.IFS(
HR_Data[[#This Row],[YearsAtCompany]]&lt;2,"&lt;2 Years",
HR_Data[[#This Row],[YearsAtCompany]]&lt;5,"2-4 Years",
HR_Data[[#This Row],[YearsAtCompany]]&lt;10,"5-9 Years",
TRUE,"10+ Years"
)</f>
        <v>2-4 Years</v>
      </c>
      <c r="AM647" s="1">
        <f>IF(HR_Data[[#This Row],[Attrition]]="Yes",1,0)</f>
        <v>1</v>
      </c>
    </row>
    <row r="648" spans="1:39" x14ac:dyDescent="0.3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 cm="1">
        <f t="array" ref="AJ648">_xlfn.IFS(
HR_Data[[#This Row],[Age]]&lt;25,"Under 25",
HR_Data[[#This Row],[Age]]&lt;35,"25-34",
HR_Data[[#This Row],[Age]]&lt;45,"35-44",
HR_Data[[#This Row],[Age]]&lt;55,"45-54",
TRUE,"55+"
)</f>
        <v>45-54</v>
      </c>
      <c r="AK648" t="str" cm="1">
        <f t="array" ref="AK648">_xlfn.IFS(
HR_Data[[#This Row],[MonthlyIncome]]&lt;3000,"&lt;3K",
HR_Data[[#This Row],[MonthlyIncome]]&lt;6000,"3K-6K",
HR_Data[[#This Row],[MonthlyIncome]]&lt;10000,"6K-10K",
TRUE,"10K+"
)</f>
        <v>10K+</v>
      </c>
      <c r="AL648" t="str" cm="1">
        <f t="array" ref="AL648">_xlfn.IFS(
HR_Data[[#This Row],[YearsAtCompany]]&lt;2,"&lt;2 Years",
HR_Data[[#This Row],[YearsAtCompany]]&lt;5,"2-4 Years",
HR_Data[[#This Row],[YearsAtCompany]]&lt;10,"5-9 Years",
TRUE,"10+ Years"
)</f>
        <v>2-4 Years</v>
      </c>
      <c r="AM648" s="1">
        <f>IF(HR_Data[[#This Row],[Attrition]]="Yes",1,0)</f>
        <v>0</v>
      </c>
    </row>
    <row r="649" spans="1:39" x14ac:dyDescent="0.3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 cm="1">
        <f t="array" ref="AJ649">_xlfn.IFS(
HR_Data[[#This Row],[Age]]&lt;25,"Under 25",
HR_Data[[#This Row],[Age]]&lt;35,"25-34",
HR_Data[[#This Row],[Age]]&lt;45,"35-44",
HR_Data[[#This Row],[Age]]&lt;55,"45-54",
TRUE,"55+"
)</f>
        <v>35-44</v>
      </c>
      <c r="AK649" t="str" cm="1">
        <f t="array" ref="AK649">_xlfn.IFS(
HR_Data[[#This Row],[MonthlyIncome]]&lt;3000,"&lt;3K",
HR_Data[[#This Row],[MonthlyIncome]]&lt;6000,"3K-6K",
HR_Data[[#This Row],[MonthlyIncome]]&lt;10000,"6K-10K",
TRUE,"10K+"
)</f>
        <v>10K+</v>
      </c>
      <c r="AL649" t="str" cm="1">
        <f t="array" ref="AL649">_xlfn.IFS(
HR_Data[[#This Row],[YearsAtCompany]]&lt;2,"&lt;2 Years",
HR_Data[[#This Row],[YearsAtCompany]]&lt;5,"2-4 Years",
HR_Data[[#This Row],[YearsAtCompany]]&lt;10,"5-9 Years",
TRUE,"10+ Years"
)</f>
        <v>10+ Years</v>
      </c>
      <c r="AM649" s="1">
        <f>IF(HR_Data[[#This Row],[Attrition]]="Yes",1,0)</f>
        <v>0</v>
      </c>
    </row>
    <row r="650" spans="1:39" x14ac:dyDescent="0.3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 cm="1">
        <f t="array" ref="AJ650">_xlfn.IFS(
HR_Data[[#This Row],[Age]]&lt;25,"Under 25",
HR_Data[[#This Row],[Age]]&lt;35,"25-34",
HR_Data[[#This Row],[Age]]&lt;45,"35-44",
HR_Data[[#This Row],[Age]]&lt;55,"45-54",
TRUE,"55+"
)</f>
        <v>35-44</v>
      </c>
      <c r="AK650" t="str" cm="1">
        <f t="array" ref="AK650">_xlfn.IFS(
HR_Data[[#This Row],[MonthlyIncome]]&lt;3000,"&lt;3K",
HR_Data[[#This Row],[MonthlyIncome]]&lt;6000,"3K-6K",
HR_Data[[#This Row],[MonthlyIncome]]&lt;10000,"6K-10K",
TRUE,"10K+"
)</f>
        <v>&lt;3K</v>
      </c>
      <c r="AL650" t="str" cm="1">
        <f t="array" ref="AL650">_xlfn.IFS(
HR_Data[[#This Row],[YearsAtCompany]]&lt;2,"&lt;2 Years",
HR_Data[[#This Row],[YearsAtCompany]]&lt;5,"2-4 Years",
HR_Data[[#This Row],[YearsAtCompany]]&lt;10,"5-9 Years",
TRUE,"10+ Years"
)</f>
        <v>5-9 Years</v>
      </c>
      <c r="AM650" s="1">
        <f>IF(HR_Data[[#This Row],[Attrition]]="Yes",1,0)</f>
        <v>0</v>
      </c>
    </row>
    <row r="651" spans="1:39" x14ac:dyDescent="0.3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 cm="1">
        <f t="array" ref="AJ651">_xlfn.IFS(
HR_Data[[#This Row],[Age]]&lt;25,"Under 25",
HR_Data[[#This Row],[Age]]&lt;35,"25-34",
HR_Data[[#This Row],[Age]]&lt;45,"35-44",
HR_Data[[#This Row],[Age]]&lt;55,"45-54",
TRUE,"55+"
)</f>
        <v>45-54</v>
      </c>
      <c r="AK651" t="str" cm="1">
        <f t="array" ref="AK651">_xlfn.IFS(
HR_Data[[#This Row],[MonthlyIncome]]&lt;3000,"&lt;3K",
HR_Data[[#This Row],[MonthlyIncome]]&lt;6000,"3K-6K",
HR_Data[[#This Row],[MonthlyIncome]]&lt;10000,"6K-10K",
TRUE,"10K+"
)</f>
        <v>10K+</v>
      </c>
      <c r="AL651" t="str" cm="1">
        <f t="array" ref="AL651">_xlfn.IFS(
HR_Data[[#This Row],[YearsAtCompany]]&lt;2,"&lt;2 Years",
HR_Data[[#This Row],[YearsAtCompany]]&lt;5,"2-4 Years",
HR_Data[[#This Row],[YearsAtCompany]]&lt;10,"5-9 Years",
TRUE,"10+ Years"
)</f>
        <v>10+ Years</v>
      </c>
      <c r="AM651" s="1">
        <f>IF(HR_Data[[#This Row],[Attrition]]="Yes",1,0)</f>
        <v>0</v>
      </c>
    </row>
    <row r="652" spans="1:39" x14ac:dyDescent="0.3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 cm="1">
        <f t="array" ref="AJ652">_xlfn.IFS(
HR_Data[[#This Row],[Age]]&lt;25,"Under 25",
HR_Data[[#This Row],[Age]]&lt;35,"25-34",
HR_Data[[#This Row],[Age]]&lt;45,"35-44",
HR_Data[[#This Row],[Age]]&lt;55,"45-54",
TRUE,"55+"
)</f>
        <v>35-44</v>
      </c>
      <c r="AK652" t="str" cm="1">
        <f t="array" ref="AK652">_xlfn.IFS(
HR_Data[[#This Row],[MonthlyIncome]]&lt;3000,"&lt;3K",
HR_Data[[#This Row],[MonthlyIncome]]&lt;6000,"3K-6K",
HR_Data[[#This Row],[MonthlyIncome]]&lt;10000,"6K-10K",
TRUE,"10K+"
)</f>
        <v>3K-6K</v>
      </c>
      <c r="AL652" t="str" cm="1">
        <f t="array" ref="AL652">_xlfn.IFS(
HR_Data[[#This Row],[YearsAtCompany]]&lt;2,"&lt;2 Years",
HR_Data[[#This Row],[YearsAtCompany]]&lt;5,"2-4 Years",
HR_Data[[#This Row],[YearsAtCompany]]&lt;10,"5-9 Years",
TRUE,"10+ Years"
)</f>
        <v>5-9 Years</v>
      </c>
      <c r="AM652" s="1">
        <f>IF(HR_Data[[#This Row],[Attrition]]="Yes",1,0)</f>
        <v>0</v>
      </c>
    </row>
    <row r="653" spans="1:39" x14ac:dyDescent="0.3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 cm="1">
        <f t="array" ref="AJ653">_xlfn.IFS(
HR_Data[[#This Row],[Age]]&lt;25,"Under 25",
HR_Data[[#This Row],[Age]]&lt;35,"25-34",
HR_Data[[#This Row],[Age]]&lt;45,"35-44",
HR_Data[[#This Row],[Age]]&lt;55,"45-54",
TRUE,"55+"
)</f>
        <v>45-54</v>
      </c>
      <c r="AK653" t="str" cm="1">
        <f t="array" ref="AK653">_xlfn.IFS(
HR_Data[[#This Row],[MonthlyIncome]]&lt;3000,"&lt;3K",
HR_Data[[#This Row],[MonthlyIncome]]&lt;6000,"3K-6K",
HR_Data[[#This Row],[MonthlyIncome]]&lt;10000,"6K-10K",
TRUE,"10K+"
)</f>
        <v>3K-6K</v>
      </c>
      <c r="AL653" t="str" cm="1">
        <f t="array" ref="AL653">_xlfn.IFS(
HR_Data[[#This Row],[YearsAtCompany]]&lt;2,"&lt;2 Years",
HR_Data[[#This Row],[YearsAtCompany]]&lt;5,"2-4 Years",
HR_Data[[#This Row],[YearsAtCompany]]&lt;10,"5-9 Years",
TRUE,"10+ Years"
)</f>
        <v>5-9 Years</v>
      </c>
      <c r="AM653" s="1">
        <f>IF(HR_Data[[#This Row],[Attrition]]="Yes",1,0)</f>
        <v>0</v>
      </c>
    </row>
    <row r="654" spans="1:39" x14ac:dyDescent="0.3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 cm="1">
        <f t="array" ref="AJ654">_xlfn.IFS(
HR_Data[[#This Row],[Age]]&lt;25,"Under 25",
HR_Data[[#This Row],[Age]]&lt;35,"25-34",
HR_Data[[#This Row],[Age]]&lt;45,"35-44",
HR_Data[[#This Row],[Age]]&lt;55,"45-54",
TRUE,"55+"
)</f>
        <v>35-44</v>
      </c>
      <c r="AK654" t="str" cm="1">
        <f t="array" ref="AK654">_xlfn.IFS(
HR_Data[[#This Row],[MonthlyIncome]]&lt;3000,"&lt;3K",
HR_Data[[#This Row],[MonthlyIncome]]&lt;6000,"3K-6K",
HR_Data[[#This Row],[MonthlyIncome]]&lt;10000,"6K-10K",
TRUE,"10K+"
)</f>
        <v>6K-10K</v>
      </c>
      <c r="AL654" t="str" cm="1">
        <f t="array" ref="AL654">_xlfn.IFS(
HR_Data[[#This Row],[YearsAtCompany]]&lt;2,"&lt;2 Years",
HR_Data[[#This Row],[YearsAtCompany]]&lt;5,"2-4 Years",
HR_Data[[#This Row],[YearsAtCompany]]&lt;10,"5-9 Years",
TRUE,"10+ Years"
)</f>
        <v>10+ Years</v>
      </c>
      <c r="AM654" s="1">
        <f>IF(HR_Data[[#This Row],[Attrition]]="Yes",1,0)</f>
        <v>0</v>
      </c>
    </row>
    <row r="655" spans="1:39" x14ac:dyDescent="0.3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 cm="1">
        <f t="array" ref="AJ655">_xlfn.IFS(
HR_Data[[#This Row],[Age]]&lt;25,"Under 25",
HR_Data[[#This Row],[Age]]&lt;35,"25-34",
HR_Data[[#This Row],[Age]]&lt;45,"35-44",
HR_Data[[#This Row],[Age]]&lt;55,"45-54",
TRUE,"55+"
)</f>
        <v>45-54</v>
      </c>
      <c r="AK655" t="str" cm="1">
        <f t="array" ref="AK655">_xlfn.IFS(
HR_Data[[#This Row],[MonthlyIncome]]&lt;3000,"&lt;3K",
HR_Data[[#This Row],[MonthlyIncome]]&lt;6000,"3K-6K",
HR_Data[[#This Row],[MonthlyIncome]]&lt;10000,"6K-10K",
TRUE,"10K+"
)</f>
        <v>10K+</v>
      </c>
      <c r="AL655" t="str" cm="1">
        <f t="array" ref="AL655">_xlfn.IFS(
HR_Data[[#This Row],[YearsAtCompany]]&lt;2,"&lt;2 Years",
HR_Data[[#This Row],[YearsAtCompany]]&lt;5,"2-4 Years",
HR_Data[[#This Row],[YearsAtCompany]]&lt;10,"5-9 Years",
TRUE,"10+ Years"
)</f>
        <v>10+ Years</v>
      </c>
      <c r="AM655" s="1">
        <f>IF(HR_Data[[#This Row],[Attrition]]="Yes",1,0)</f>
        <v>0</v>
      </c>
    </row>
    <row r="656" spans="1:39" x14ac:dyDescent="0.3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 cm="1">
        <f t="array" ref="AJ656">_xlfn.IFS(
HR_Data[[#This Row],[Age]]&lt;25,"Under 25",
HR_Data[[#This Row],[Age]]&lt;35,"25-34",
HR_Data[[#This Row],[Age]]&lt;45,"35-44",
HR_Data[[#This Row],[Age]]&lt;55,"45-54",
TRUE,"55+"
)</f>
        <v>35-44</v>
      </c>
      <c r="AK656" t="str" cm="1">
        <f t="array" ref="AK656">_xlfn.IFS(
HR_Data[[#This Row],[MonthlyIncome]]&lt;3000,"&lt;3K",
HR_Data[[#This Row],[MonthlyIncome]]&lt;6000,"3K-6K",
HR_Data[[#This Row],[MonthlyIncome]]&lt;10000,"6K-10K",
TRUE,"10K+"
)</f>
        <v>3K-6K</v>
      </c>
      <c r="AL656" t="str" cm="1">
        <f t="array" ref="AL656">_xlfn.IFS(
HR_Data[[#This Row],[YearsAtCompany]]&lt;2,"&lt;2 Years",
HR_Data[[#This Row],[YearsAtCompany]]&lt;5,"2-4 Years",
HR_Data[[#This Row],[YearsAtCompany]]&lt;10,"5-9 Years",
TRUE,"10+ Years"
)</f>
        <v>5-9 Years</v>
      </c>
      <c r="AM656" s="1">
        <f>IF(HR_Data[[#This Row],[Attrition]]="Yes",1,0)</f>
        <v>0</v>
      </c>
    </row>
    <row r="657" spans="1:39" x14ac:dyDescent="0.3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 cm="1">
        <f t="array" ref="AJ657">_xlfn.IFS(
HR_Data[[#This Row],[Age]]&lt;25,"Under 25",
HR_Data[[#This Row],[Age]]&lt;35,"25-34",
HR_Data[[#This Row],[Age]]&lt;45,"35-44",
HR_Data[[#This Row],[Age]]&lt;55,"45-54",
TRUE,"55+"
)</f>
        <v>25-34</v>
      </c>
      <c r="AK657" t="str" cm="1">
        <f t="array" ref="AK657">_xlfn.IFS(
HR_Data[[#This Row],[MonthlyIncome]]&lt;3000,"&lt;3K",
HR_Data[[#This Row],[MonthlyIncome]]&lt;6000,"3K-6K",
HR_Data[[#This Row],[MonthlyIncome]]&lt;10000,"6K-10K",
TRUE,"10K+"
)</f>
        <v>&lt;3K</v>
      </c>
      <c r="AL657" t="str" cm="1">
        <f t="array" ref="AL657">_xlfn.IFS(
HR_Data[[#This Row],[YearsAtCompany]]&lt;2,"&lt;2 Years",
HR_Data[[#This Row],[YearsAtCompany]]&lt;5,"2-4 Years",
HR_Data[[#This Row],[YearsAtCompany]]&lt;10,"5-9 Years",
TRUE,"10+ Years"
)</f>
        <v>2-4 Years</v>
      </c>
      <c r="AM657" s="1">
        <f>IF(HR_Data[[#This Row],[Attrition]]="Yes",1,0)</f>
        <v>0</v>
      </c>
    </row>
    <row r="658" spans="1:39" x14ac:dyDescent="0.3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 cm="1">
        <f t="array" ref="AJ658">_xlfn.IFS(
HR_Data[[#This Row],[Age]]&lt;25,"Under 25",
HR_Data[[#This Row],[Age]]&lt;35,"25-34",
HR_Data[[#This Row],[Age]]&lt;45,"35-44",
HR_Data[[#This Row],[Age]]&lt;55,"45-54",
TRUE,"55+"
)</f>
        <v>25-34</v>
      </c>
      <c r="AK658" t="str" cm="1">
        <f t="array" ref="AK658">_xlfn.IFS(
HR_Data[[#This Row],[MonthlyIncome]]&lt;3000,"&lt;3K",
HR_Data[[#This Row],[MonthlyIncome]]&lt;6000,"3K-6K",
HR_Data[[#This Row],[MonthlyIncome]]&lt;10000,"6K-10K",
TRUE,"10K+"
)</f>
        <v>&lt;3K</v>
      </c>
      <c r="AL658" t="str" cm="1">
        <f t="array" ref="AL658">_xlfn.IFS(
HR_Data[[#This Row],[YearsAtCompany]]&lt;2,"&lt;2 Years",
HR_Data[[#This Row],[YearsAtCompany]]&lt;5,"2-4 Years",
HR_Data[[#This Row],[YearsAtCompany]]&lt;10,"5-9 Years",
TRUE,"10+ Years"
)</f>
        <v>&lt;2 Years</v>
      </c>
      <c r="AM658" s="1">
        <f>IF(HR_Data[[#This Row],[Attrition]]="Yes",1,0)</f>
        <v>1</v>
      </c>
    </row>
    <row r="659" spans="1:39" x14ac:dyDescent="0.3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 cm="1">
        <f t="array" ref="AJ659">_xlfn.IFS(
HR_Data[[#This Row],[Age]]&lt;25,"Under 25",
HR_Data[[#This Row],[Age]]&lt;35,"25-34",
HR_Data[[#This Row],[Age]]&lt;45,"35-44",
HR_Data[[#This Row],[Age]]&lt;55,"45-54",
TRUE,"55+"
)</f>
        <v>25-34</v>
      </c>
      <c r="AK659" t="str" cm="1">
        <f t="array" ref="AK659">_xlfn.IFS(
HR_Data[[#This Row],[MonthlyIncome]]&lt;3000,"&lt;3K",
HR_Data[[#This Row],[MonthlyIncome]]&lt;6000,"3K-6K",
HR_Data[[#This Row],[MonthlyIncome]]&lt;10000,"6K-10K",
TRUE,"10K+"
)</f>
        <v>&lt;3K</v>
      </c>
      <c r="AL659" t="str" cm="1">
        <f t="array" ref="AL659">_xlfn.IFS(
HR_Data[[#This Row],[YearsAtCompany]]&lt;2,"&lt;2 Years",
HR_Data[[#This Row],[YearsAtCompany]]&lt;5,"2-4 Years",
HR_Data[[#This Row],[YearsAtCompany]]&lt;10,"5-9 Years",
TRUE,"10+ Years"
)</f>
        <v>2-4 Years</v>
      </c>
      <c r="AM659" s="1">
        <f>IF(HR_Data[[#This Row],[Attrition]]="Yes",1,0)</f>
        <v>0</v>
      </c>
    </row>
    <row r="660" spans="1:39" x14ac:dyDescent="0.3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 cm="1">
        <f t="array" ref="AJ660">_xlfn.IFS(
HR_Data[[#This Row],[Age]]&lt;25,"Under 25",
HR_Data[[#This Row],[Age]]&lt;35,"25-34",
HR_Data[[#This Row],[Age]]&lt;45,"35-44",
HR_Data[[#This Row],[Age]]&lt;55,"45-54",
TRUE,"55+"
)</f>
        <v>35-44</v>
      </c>
      <c r="AK660" t="str" cm="1">
        <f t="array" ref="AK660">_xlfn.IFS(
HR_Data[[#This Row],[MonthlyIncome]]&lt;3000,"&lt;3K",
HR_Data[[#This Row],[MonthlyIncome]]&lt;6000,"3K-6K",
HR_Data[[#This Row],[MonthlyIncome]]&lt;10000,"6K-10K",
TRUE,"10K+"
)</f>
        <v>&lt;3K</v>
      </c>
      <c r="AL660" t="str" cm="1">
        <f t="array" ref="AL660">_xlfn.IFS(
HR_Data[[#This Row],[YearsAtCompany]]&lt;2,"&lt;2 Years",
HR_Data[[#This Row],[YearsAtCompany]]&lt;5,"2-4 Years",
HR_Data[[#This Row],[YearsAtCompany]]&lt;10,"5-9 Years",
TRUE,"10+ Years"
)</f>
        <v>5-9 Years</v>
      </c>
      <c r="AM660" s="1">
        <f>IF(HR_Data[[#This Row],[Attrition]]="Yes",1,0)</f>
        <v>0</v>
      </c>
    </row>
    <row r="661" spans="1:39" x14ac:dyDescent="0.3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 cm="1">
        <f t="array" ref="AJ661">_xlfn.IFS(
HR_Data[[#This Row],[Age]]&lt;25,"Under 25",
HR_Data[[#This Row],[Age]]&lt;35,"25-34",
HR_Data[[#This Row],[Age]]&lt;45,"35-44",
HR_Data[[#This Row],[Age]]&lt;55,"45-54",
TRUE,"55+"
)</f>
        <v>25-34</v>
      </c>
      <c r="AK661" t="str" cm="1">
        <f t="array" ref="AK661">_xlfn.IFS(
HR_Data[[#This Row],[MonthlyIncome]]&lt;3000,"&lt;3K",
HR_Data[[#This Row],[MonthlyIncome]]&lt;6000,"3K-6K",
HR_Data[[#This Row],[MonthlyIncome]]&lt;10000,"6K-10K",
TRUE,"10K+"
)</f>
        <v>3K-6K</v>
      </c>
      <c r="AL661" t="str" cm="1">
        <f t="array" ref="AL661">_xlfn.IFS(
HR_Data[[#This Row],[YearsAtCompany]]&lt;2,"&lt;2 Years",
HR_Data[[#This Row],[YearsAtCompany]]&lt;5,"2-4 Years",
HR_Data[[#This Row],[YearsAtCompany]]&lt;10,"5-9 Years",
TRUE,"10+ Years"
)</f>
        <v>2-4 Years</v>
      </c>
      <c r="AM661" s="1">
        <f>IF(HR_Data[[#This Row],[Attrition]]="Yes",1,0)</f>
        <v>0</v>
      </c>
    </row>
    <row r="662" spans="1:39" x14ac:dyDescent="0.3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 cm="1">
        <f t="array" ref="AJ662">_xlfn.IFS(
HR_Data[[#This Row],[Age]]&lt;25,"Under 25",
HR_Data[[#This Row],[Age]]&lt;35,"25-34",
HR_Data[[#This Row],[Age]]&lt;45,"35-44",
HR_Data[[#This Row],[Age]]&lt;55,"45-54",
TRUE,"55+"
)</f>
        <v>55+</v>
      </c>
      <c r="AK662" t="str" cm="1">
        <f t="array" ref="AK662">_xlfn.IFS(
HR_Data[[#This Row],[MonthlyIncome]]&lt;3000,"&lt;3K",
HR_Data[[#This Row],[MonthlyIncome]]&lt;6000,"3K-6K",
HR_Data[[#This Row],[MonthlyIncome]]&lt;10000,"6K-10K",
TRUE,"10K+"
)</f>
        <v>&lt;3K</v>
      </c>
      <c r="AL662" t="str" cm="1">
        <f t="array" ref="AL662">_xlfn.IFS(
HR_Data[[#This Row],[YearsAtCompany]]&lt;2,"&lt;2 Years",
HR_Data[[#This Row],[YearsAtCompany]]&lt;5,"2-4 Years",
HR_Data[[#This Row],[YearsAtCompany]]&lt;10,"5-9 Years",
TRUE,"10+ Years"
)</f>
        <v>&lt;2 Years</v>
      </c>
      <c r="AM662" s="1">
        <f>IF(HR_Data[[#This Row],[Attrition]]="Yes",1,0)</f>
        <v>1</v>
      </c>
    </row>
    <row r="663" spans="1:39" x14ac:dyDescent="0.3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 cm="1">
        <f t="array" ref="AJ663">_xlfn.IFS(
HR_Data[[#This Row],[Age]]&lt;25,"Under 25",
HR_Data[[#This Row],[Age]]&lt;35,"25-34",
HR_Data[[#This Row],[Age]]&lt;45,"35-44",
HR_Data[[#This Row],[Age]]&lt;55,"45-54",
TRUE,"55+"
)</f>
        <v>35-44</v>
      </c>
      <c r="AK663" t="str" cm="1">
        <f t="array" ref="AK663">_xlfn.IFS(
HR_Data[[#This Row],[MonthlyIncome]]&lt;3000,"&lt;3K",
HR_Data[[#This Row],[MonthlyIncome]]&lt;6000,"3K-6K",
HR_Data[[#This Row],[MonthlyIncome]]&lt;10000,"6K-10K",
TRUE,"10K+"
)</f>
        <v>3K-6K</v>
      </c>
      <c r="AL663" t="str" cm="1">
        <f t="array" ref="AL663">_xlfn.IFS(
HR_Data[[#This Row],[YearsAtCompany]]&lt;2,"&lt;2 Years",
HR_Data[[#This Row],[YearsAtCompany]]&lt;5,"2-4 Years",
HR_Data[[#This Row],[YearsAtCompany]]&lt;10,"5-9 Years",
TRUE,"10+ Years"
)</f>
        <v>&lt;2 Years</v>
      </c>
      <c r="AM663" s="1">
        <f>IF(HR_Data[[#This Row],[Attrition]]="Yes",1,0)</f>
        <v>0</v>
      </c>
    </row>
    <row r="664" spans="1:39" x14ac:dyDescent="0.3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 cm="1">
        <f t="array" ref="AJ664">_xlfn.IFS(
HR_Data[[#This Row],[Age]]&lt;25,"Under 25",
HR_Data[[#This Row],[Age]]&lt;35,"25-34",
HR_Data[[#This Row],[Age]]&lt;45,"35-44",
HR_Data[[#This Row],[Age]]&lt;55,"45-54",
TRUE,"55+"
)</f>
        <v>Under 25</v>
      </c>
      <c r="AK664" t="str" cm="1">
        <f t="array" ref="AK664">_xlfn.IFS(
HR_Data[[#This Row],[MonthlyIncome]]&lt;3000,"&lt;3K",
HR_Data[[#This Row],[MonthlyIncome]]&lt;6000,"3K-6K",
HR_Data[[#This Row],[MonthlyIncome]]&lt;10000,"6K-10K",
TRUE,"10K+"
)</f>
        <v>&lt;3K</v>
      </c>
      <c r="AL664" t="str" cm="1">
        <f t="array" ref="AL664">_xlfn.IFS(
HR_Data[[#This Row],[YearsAtCompany]]&lt;2,"&lt;2 Years",
HR_Data[[#This Row],[YearsAtCompany]]&lt;5,"2-4 Years",
HR_Data[[#This Row],[YearsAtCompany]]&lt;10,"5-9 Years",
TRUE,"10+ Years"
)</f>
        <v>2-4 Years</v>
      </c>
      <c r="AM664" s="1">
        <f>IF(HR_Data[[#This Row],[Attrition]]="Yes",1,0)</f>
        <v>1</v>
      </c>
    </row>
    <row r="665" spans="1:39" x14ac:dyDescent="0.3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 cm="1">
        <f t="array" ref="AJ665">_xlfn.IFS(
HR_Data[[#This Row],[Age]]&lt;25,"Under 25",
HR_Data[[#This Row],[Age]]&lt;35,"25-34",
HR_Data[[#This Row],[Age]]&lt;45,"35-44",
HR_Data[[#This Row],[Age]]&lt;55,"45-54",
TRUE,"55+"
)</f>
        <v>Under 25</v>
      </c>
      <c r="AK665" t="str" cm="1">
        <f t="array" ref="AK665">_xlfn.IFS(
HR_Data[[#This Row],[MonthlyIncome]]&lt;3000,"&lt;3K",
HR_Data[[#This Row],[MonthlyIncome]]&lt;6000,"3K-6K",
HR_Data[[#This Row],[MonthlyIncome]]&lt;10000,"6K-10K",
TRUE,"10K+"
)</f>
        <v>&lt;3K</v>
      </c>
      <c r="AL665" t="str" cm="1">
        <f t="array" ref="AL665">_xlfn.IFS(
HR_Data[[#This Row],[YearsAtCompany]]&lt;2,"&lt;2 Years",
HR_Data[[#This Row],[YearsAtCompany]]&lt;5,"2-4 Years",
HR_Data[[#This Row],[YearsAtCompany]]&lt;10,"5-9 Years",
TRUE,"10+ Years"
)</f>
        <v>&lt;2 Years</v>
      </c>
      <c r="AM665" s="1">
        <f>IF(HR_Data[[#This Row],[Attrition]]="Yes",1,0)</f>
        <v>1</v>
      </c>
    </row>
    <row r="666" spans="1:39" x14ac:dyDescent="0.3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 cm="1">
        <f t="array" ref="AJ666">_xlfn.IFS(
HR_Data[[#This Row],[Age]]&lt;25,"Under 25",
HR_Data[[#This Row],[Age]]&lt;35,"25-34",
HR_Data[[#This Row],[Age]]&lt;45,"35-44",
HR_Data[[#This Row],[Age]]&lt;55,"45-54",
TRUE,"55+"
)</f>
        <v>35-44</v>
      </c>
      <c r="AK666" t="str" cm="1">
        <f t="array" ref="AK666">_xlfn.IFS(
HR_Data[[#This Row],[MonthlyIncome]]&lt;3000,"&lt;3K",
HR_Data[[#This Row],[MonthlyIncome]]&lt;6000,"3K-6K",
HR_Data[[#This Row],[MonthlyIncome]]&lt;10000,"6K-10K",
TRUE,"10K+"
)</f>
        <v>6K-10K</v>
      </c>
      <c r="AL666" t="str" cm="1">
        <f t="array" ref="AL666">_xlfn.IFS(
HR_Data[[#This Row],[YearsAtCompany]]&lt;2,"&lt;2 Years",
HR_Data[[#This Row],[YearsAtCompany]]&lt;5,"2-4 Years",
HR_Data[[#This Row],[YearsAtCompany]]&lt;10,"5-9 Years",
TRUE,"10+ Years"
)</f>
        <v>10+ Years</v>
      </c>
      <c r="AM666" s="1">
        <f>IF(HR_Data[[#This Row],[Attrition]]="Yes",1,0)</f>
        <v>0</v>
      </c>
    </row>
    <row r="667" spans="1:39" x14ac:dyDescent="0.3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 cm="1">
        <f t="array" ref="AJ667">_xlfn.IFS(
HR_Data[[#This Row],[Age]]&lt;25,"Under 25",
HR_Data[[#This Row],[Age]]&lt;35,"25-34",
HR_Data[[#This Row],[Age]]&lt;45,"35-44",
HR_Data[[#This Row],[Age]]&lt;55,"45-54",
TRUE,"55+"
)</f>
        <v>45-54</v>
      </c>
      <c r="AK667" t="str" cm="1">
        <f t="array" ref="AK667">_xlfn.IFS(
HR_Data[[#This Row],[MonthlyIncome]]&lt;3000,"&lt;3K",
HR_Data[[#This Row],[MonthlyIncome]]&lt;6000,"3K-6K",
HR_Data[[#This Row],[MonthlyIncome]]&lt;10000,"6K-10K",
TRUE,"10K+"
)</f>
        <v>3K-6K</v>
      </c>
      <c r="AL667" t="str" cm="1">
        <f t="array" ref="AL667">_xlfn.IFS(
HR_Data[[#This Row],[YearsAtCompany]]&lt;2,"&lt;2 Years",
HR_Data[[#This Row],[YearsAtCompany]]&lt;5,"2-4 Years",
HR_Data[[#This Row],[YearsAtCompany]]&lt;10,"5-9 Years",
TRUE,"10+ Years"
)</f>
        <v>2-4 Years</v>
      </c>
      <c r="AM667" s="1">
        <f>IF(HR_Data[[#This Row],[Attrition]]="Yes",1,0)</f>
        <v>0</v>
      </c>
    </row>
    <row r="668" spans="1:39" x14ac:dyDescent="0.3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 cm="1">
        <f t="array" ref="AJ668">_xlfn.IFS(
HR_Data[[#This Row],[Age]]&lt;25,"Under 25",
HR_Data[[#This Row],[Age]]&lt;35,"25-34",
HR_Data[[#This Row],[Age]]&lt;45,"35-44",
HR_Data[[#This Row],[Age]]&lt;55,"45-54",
TRUE,"55+"
)</f>
        <v>Under 25</v>
      </c>
      <c r="AK668" t="str" cm="1">
        <f t="array" ref="AK668">_xlfn.IFS(
HR_Data[[#This Row],[MonthlyIncome]]&lt;3000,"&lt;3K",
HR_Data[[#This Row],[MonthlyIncome]]&lt;6000,"3K-6K",
HR_Data[[#This Row],[MonthlyIncome]]&lt;10000,"6K-10K",
TRUE,"10K+"
)</f>
        <v>3K-6K</v>
      </c>
      <c r="AL668" t="str" cm="1">
        <f t="array" ref="AL668">_xlfn.IFS(
HR_Data[[#This Row],[YearsAtCompany]]&lt;2,"&lt;2 Years",
HR_Data[[#This Row],[YearsAtCompany]]&lt;5,"2-4 Years",
HR_Data[[#This Row],[YearsAtCompany]]&lt;10,"5-9 Years",
TRUE,"10+ Years"
)</f>
        <v>2-4 Years</v>
      </c>
      <c r="AM668" s="1">
        <f>IF(HR_Data[[#This Row],[Attrition]]="Yes",1,0)</f>
        <v>1</v>
      </c>
    </row>
    <row r="669" spans="1:39" x14ac:dyDescent="0.3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 cm="1">
        <f t="array" ref="AJ669">_xlfn.IFS(
HR_Data[[#This Row],[Age]]&lt;25,"Under 25",
HR_Data[[#This Row],[Age]]&lt;35,"25-34",
HR_Data[[#This Row],[Age]]&lt;45,"35-44",
HR_Data[[#This Row],[Age]]&lt;55,"45-54",
TRUE,"55+"
)</f>
        <v>35-44</v>
      </c>
      <c r="AK669" t="str" cm="1">
        <f t="array" ref="AK669">_xlfn.IFS(
HR_Data[[#This Row],[MonthlyIncome]]&lt;3000,"&lt;3K",
HR_Data[[#This Row],[MonthlyIncome]]&lt;6000,"3K-6K",
HR_Data[[#This Row],[MonthlyIncome]]&lt;10000,"6K-10K",
TRUE,"10K+"
)</f>
        <v>&lt;3K</v>
      </c>
      <c r="AL669" t="str" cm="1">
        <f t="array" ref="AL669">_xlfn.IFS(
HR_Data[[#This Row],[YearsAtCompany]]&lt;2,"&lt;2 Years",
HR_Data[[#This Row],[YearsAtCompany]]&lt;5,"2-4 Years",
HR_Data[[#This Row],[YearsAtCompany]]&lt;10,"5-9 Years",
TRUE,"10+ Years"
)</f>
        <v>5-9 Years</v>
      </c>
      <c r="AM669" s="1">
        <f>IF(HR_Data[[#This Row],[Attrition]]="Yes",1,0)</f>
        <v>1</v>
      </c>
    </row>
    <row r="670" spans="1:39" x14ac:dyDescent="0.3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 cm="1">
        <f t="array" ref="AJ670">_xlfn.IFS(
HR_Data[[#This Row],[Age]]&lt;25,"Under 25",
HR_Data[[#This Row],[Age]]&lt;35,"25-34",
HR_Data[[#This Row],[Age]]&lt;45,"35-44",
HR_Data[[#This Row],[Age]]&lt;55,"45-54",
TRUE,"55+"
)</f>
        <v>25-34</v>
      </c>
      <c r="AK670" t="str" cm="1">
        <f t="array" ref="AK670">_xlfn.IFS(
HR_Data[[#This Row],[MonthlyIncome]]&lt;3000,"&lt;3K",
HR_Data[[#This Row],[MonthlyIncome]]&lt;6000,"3K-6K",
HR_Data[[#This Row],[MonthlyIncome]]&lt;10000,"6K-10K",
TRUE,"10K+"
)</f>
        <v>&lt;3K</v>
      </c>
      <c r="AL670" t="str" cm="1">
        <f t="array" ref="AL670">_xlfn.IFS(
HR_Data[[#This Row],[YearsAtCompany]]&lt;2,"&lt;2 Years",
HR_Data[[#This Row],[YearsAtCompany]]&lt;5,"2-4 Years",
HR_Data[[#This Row],[YearsAtCompany]]&lt;10,"5-9 Years",
TRUE,"10+ Years"
)</f>
        <v>2-4 Years</v>
      </c>
      <c r="AM670" s="1">
        <f>IF(HR_Data[[#This Row],[Attrition]]="Yes",1,0)</f>
        <v>0</v>
      </c>
    </row>
    <row r="671" spans="1:39" x14ac:dyDescent="0.3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 cm="1">
        <f t="array" ref="AJ671">_xlfn.IFS(
HR_Data[[#This Row],[Age]]&lt;25,"Under 25",
HR_Data[[#This Row],[Age]]&lt;35,"25-34",
HR_Data[[#This Row],[Age]]&lt;45,"35-44",
HR_Data[[#This Row],[Age]]&lt;55,"45-54",
TRUE,"55+"
)</f>
        <v>35-44</v>
      </c>
      <c r="AK671" t="str" cm="1">
        <f t="array" ref="AK671">_xlfn.IFS(
HR_Data[[#This Row],[MonthlyIncome]]&lt;3000,"&lt;3K",
HR_Data[[#This Row],[MonthlyIncome]]&lt;6000,"3K-6K",
HR_Data[[#This Row],[MonthlyIncome]]&lt;10000,"6K-10K",
TRUE,"10K+"
)</f>
        <v>&lt;3K</v>
      </c>
      <c r="AL671" t="str" cm="1">
        <f t="array" ref="AL671">_xlfn.IFS(
HR_Data[[#This Row],[YearsAtCompany]]&lt;2,"&lt;2 Years",
HR_Data[[#This Row],[YearsAtCompany]]&lt;5,"2-4 Years",
HR_Data[[#This Row],[YearsAtCompany]]&lt;10,"5-9 Years",
TRUE,"10+ Years"
)</f>
        <v>2-4 Years</v>
      </c>
      <c r="AM671" s="1">
        <f>IF(HR_Data[[#This Row],[Attrition]]="Yes",1,0)</f>
        <v>1</v>
      </c>
    </row>
    <row r="672" spans="1:39" x14ac:dyDescent="0.3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 cm="1">
        <f t="array" ref="AJ672">_xlfn.IFS(
HR_Data[[#This Row],[Age]]&lt;25,"Under 25",
HR_Data[[#This Row],[Age]]&lt;35,"25-34",
HR_Data[[#This Row],[Age]]&lt;45,"35-44",
HR_Data[[#This Row],[Age]]&lt;55,"45-54",
TRUE,"55+"
)</f>
        <v>25-34</v>
      </c>
      <c r="AK672" t="str" cm="1">
        <f t="array" ref="AK672">_xlfn.IFS(
HR_Data[[#This Row],[MonthlyIncome]]&lt;3000,"&lt;3K",
HR_Data[[#This Row],[MonthlyIncome]]&lt;6000,"3K-6K",
HR_Data[[#This Row],[MonthlyIncome]]&lt;10000,"6K-10K",
TRUE,"10K+"
)</f>
        <v>&lt;3K</v>
      </c>
      <c r="AL672" t="str" cm="1">
        <f t="array" ref="AL672">_xlfn.IFS(
HR_Data[[#This Row],[YearsAtCompany]]&lt;2,"&lt;2 Years",
HR_Data[[#This Row],[YearsAtCompany]]&lt;5,"2-4 Years",
HR_Data[[#This Row],[YearsAtCompany]]&lt;10,"5-9 Years",
TRUE,"10+ Years"
)</f>
        <v>&lt;2 Years</v>
      </c>
      <c r="AM672" s="1">
        <f>IF(HR_Data[[#This Row],[Attrition]]="Yes",1,0)</f>
        <v>0</v>
      </c>
    </row>
    <row r="673" spans="1:39" x14ac:dyDescent="0.3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 cm="1">
        <f t="array" ref="AJ673">_xlfn.IFS(
HR_Data[[#This Row],[Age]]&lt;25,"Under 25",
HR_Data[[#This Row],[Age]]&lt;35,"25-34",
HR_Data[[#This Row],[Age]]&lt;45,"35-44",
HR_Data[[#This Row],[Age]]&lt;55,"45-54",
TRUE,"55+"
)</f>
        <v>25-34</v>
      </c>
      <c r="AK673" t="str" cm="1">
        <f t="array" ref="AK673">_xlfn.IFS(
HR_Data[[#This Row],[MonthlyIncome]]&lt;3000,"&lt;3K",
HR_Data[[#This Row],[MonthlyIncome]]&lt;6000,"3K-6K",
HR_Data[[#This Row],[MonthlyIncome]]&lt;10000,"6K-10K",
TRUE,"10K+"
)</f>
        <v>&lt;3K</v>
      </c>
      <c r="AL673" t="str" cm="1">
        <f t="array" ref="AL673">_xlfn.IFS(
HR_Data[[#This Row],[YearsAtCompany]]&lt;2,"&lt;2 Years",
HR_Data[[#This Row],[YearsAtCompany]]&lt;5,"2-4 Years",
HR_Data[[#This Row],[YearsAtCompany]]&lt;10,"5-9 Years",
TRUE,"10+ Years"
)</f>
        <v>&lt;2 Years</v>
      </c>
      <c r="AM673" s="1">
        <f>IF(HR_Data[[#This Row],[Attrition]]="Yes",1,0)</f>
        <v>0</v>
      </c>
    </row>
    <row r="674" spans="1:39" x14ac:dyDescent="0.3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 cm="1">
        <f t="array" ref="AJ674">_xlfn.IFS(
HR_Data[[#This Row],[Age]]&lt;25,"Under 25",
HR_Data[[#This Row],[Age]]&lt;35,"25-34",
HR_Data[[#This Row],[Age]]&lt;45,"35-44",
HR_Data[[#This Row],[Age]]&lt;55,"45-54",
TRUE,"55+"
)</f>
        <v>35-44</v>
      </c>
      <c r="AK674" t="str" cm="1">
        <f t="array" ref="AK674">_xlfn.IFS(
HR_Data[[#This Row],[MonthlyIncome]]&lt;3000,"&lt;3K",
HR_Data[[#This Row],[MonthlyIncome]]&lt;6000,"3K-6K",
HR_Data[[#This Row],[MonthlyIncome]]&lt;10000,"6K-10K",
TRUE,"10K+"
)</f>
        <v>6K-10K</v>
      </c>
      <c r="AL674" t="str" cm="1">
        <f t="array" ref="AL674">_xlfn.IFS(
HR_Data[[#This Row],[YearsAtCompany]]&lt;2,"&lt;2 Years",
HR_Data[[#This Row],[YearsAtCompany]]&lt;5,"2-4 Years",
HR_Data[[#This Row],[YearsAtCompany]]&lt;10,"5-9 Years",
TRUE,"10+ Years"
)</f>
        <v>5-9 Years</v>
      </c>
      <c r="AM674" s="1">
        <f>IF(HR_Data[[#This Row],[Attrition]]="Yes",1,0)</f>
        <v>0</v>
      </c>
    </row>
    <row r="675" spans="1:39" x14ac:dyDescent="0.3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 cm="1">
        <f t="array" ref="AJ675">_xlfn.IFS(
HR_Data[[#This Row],[Age]]&lt;25,"Under 25",
HR_Data[[#This Row],[Age]]&lt;35,"25-34",
HR_Data[[#This Row],[Age]]&lt;45,"35-44",
HR_Data[[#This Row],[Age]]&lt;55,"45-54",
TRUE,"55+"
)</f>
        <v>25-34</v>
      </c>
      <c r="AK675" t="str" cm="1">
        <f t="array" ref="AK675">_xlfn.IFS(
HR_Data[[#This Row],[MonthlyIncome]]&lt;3000,"&lt;3K",
HR_Data[[#This Row],[MonthlyIncome]]&lt;6000,"3K-6K",
HR_Data[[#This Row],[MonthlyIncome]]&lt;10000,"6K-10K",
TRUE,"10K+"
)</f>
        <v>&lt;3K</v>
      </c>
      <c r="AL675" t="str" cm="1">
        <f t="array" ref="AL675">_xlfn.IFS(
HR_Data[[#This Row],[YearsAtCompany]]&lt;2,"&lt;2 Years",
HR_Data[[#This Row],[YearsAtCompany]]&lt;5,"2-4 Years",
HR_Data[[#This Row],[YearsAtCompany]]&lt;10,"5-9 Years",
TRUE,"10+ Years"
)</f>
        <v>2-4 Years</v>
      </c>
      <c r="AM675" s="1">
        <f>IF(HR_Data[[#This Row],[Attrition]]="Yes",1,0)</f>
        <v>0</v>
      </c>
    </row>
    <row r="676" spans="1:39" x14ac:dyDescent="0.3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 cm="1">
        <f t="array" ref="AJ676">_xlfn.IFS(
HR_Data[[#This Row],[Age]]&lt;25,"Under 25",
HR_Data[[#This Row],[Age]]&lt;35,"25-34",
HR_Data[[#This Row],[Age]]&lt;45,"35-44",
HR_Data[[#This Row],[Age]]&lt;55,"45-54",
TRUE,"55+"
)</f>
        <v>55+</v>
      </c>
      <c r="AK676" t="str" cm="1">
        <f t="array" ref="AK676">_xlfn.IFS(
HR_Data[[#This Row],[MonthlyIncome]]&lt;3000,"&lt;3K",
HR_Data[[#This Row],[MonthlyIncome]]&lt;6000,"3K-6K",
HR_Data[[#This Row],[MonthlyIncome]]&lt;10000,"6K-10K",
TRUE,"10K+"
)</f>
        <v>10K+</v>
      </c>
      <c r="AL676" t="str" cm="1">
        <f t="array" ref="AL676">_xlfn.IFS(
HR_Data[[#This Row],[YearsAtCompany]]&lt;2,"&lt;2 Years",
HR_Data[[#This Row],[YearsAtCompany]]&lt;5,"2-4 Years",
HR_Data[[#This Row],[YearsAtCompany]]&lt;10,"5-9 Years",
TRUE,"10+ Years"
)</f>
        <v>5-9 Years</v>
      </c>
      <c r="AM676" s="1">
        <f>IF(HR_Data[[#This Row],[Attrition]]="Yes",1,0)</f>
        <v>0</v>
      </c>
    </row>
    <row r="677" spans="1:39" x14ac:dyDescent="0.3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 cm="1">
        <f t="array" ref="AJ677">_xlfn.IFS(
HR_Data[[#This Row],[Age]]&lt;25,"Under 25",
HR_Data[[#This Row],[Age]]&lt;35,"25-34",
HR_Data[[#This Row],[Age]]&lt;45,"35-44",
HR_Data[[#This Row],[Age]]&lt;55,"45-54",
TRUE,"55+"
)</f>
        <v>25-34</v>
      </c>
      <c r="AK677" t="str" cm="1">
        <f t="array" ref="AK677">_xlfn.IFS(
HR_Data[[#This Row],[MonthlyIncome]]&lt;3000,"&lt;3K",
HR_Data[[#This Row],[MonthlyIncome]]&lt;6000,"3K-6K",
HR_Data[[#This Row],[MonthlyIncome]]&lt;10000,"6K-10K",
TRUE,"10K+"
)</f>
        <v>&lt;3K</v>
      </c>
      <c r="AL677" t="str" cm="1">
        <f t="array" ref="AL677">_xlfn.IFS(
HR_Data[[#This Row],[YearsAtCompany]]&lt;2,"&lt;2 Years",
HR_Data[[#This Row],[YearsAtCompany]]&lt;5,"2-4 Years",
HR_Data[[#This Row],[YearsAtCompany]]&lt;10,"5-9 Years",
TRUE,"10+ Years"
)</f>
        <v>5-9 Years</v>
      </c>
      <c r="AM677" s="1">
        <f>IF(HR_Data[[#This Row],[Attrition]]="Yes",1,0)</f>
        <v>0</v>
      </c>
    </row>
    <row r="678" spans="1:39" x14ac:dyDescent="0.3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 cm="1">
        <f t="array" ref="AJ678">_xlfn.IFS(
HR_Data[[#This Row],[Age]]&lt;25,"Under 25",
HR_Data[[#This Row],[Age]]&lt;35,"25-34",
HR_Data[[#This Row],[Age]]&lt;45,"35-44",
HR_Data[[#This Row],[Age]]&lt;55,"45-54",
TRUE,"55+"
)</f>
        <v>35-44</v>
      </c>
      <c r="AK678" t="str" cm="1">
        <f t="array" ref="AK678">_xlfn.IFS(
HR_Data[[#This Row],[MonthlyIncome]]&lt;3000,"&lt;3K",
HR_Data[[#This Row],[MonthlyIncome]]&lt;6000,"3K-6K",
HR_Data[[#This Row],[MonthlyIncome]]&lt;10000,"6K-10K",
TRUE,"10K+"
)</f>
        <v>3K-6K</v>
      </c>
      <c r="AL678" t="str" cm="1">
        <f t="array" ref="AL678">_xlfn.IFS(
HR_Data[[#This Row],[YearsAtCompany]]&lt;2,"&lt;2 Years",
HR_Data[[#This Row],[YearsAtCompany]]&lt;5,"2-4 Years",
HR_Data[[#This Row],[YearsAtCompany]]&lt;10,"5-9 Years",
TRUE,"10+ Years"
)</f>
        <v>10+ Years</v>
      </c>
      <c r="AM678" s="1">
        <f>IF(HR_Data[[#This Row],[Attrition]]="Yes",1,0)</f>
        <v>0</v>
      </c>
    </row>
    <row r="679" spans="1:39" x14ac:dyDescent="0.3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 cm="1">
        <f t="array" ref="AJ679">_xlfn.IFS(
HR_Data[[#This Row],[Age]]&lt;25,"Under 25",
HR_Data[[#This Row],[Age]]&lt;35,"25-34",
HR_Data[[#This Row],[Age]]&lt;45,"35-44",
HR_Data[[#This Row],[Age]]&lt;55,"45-54",
TRUE,"55+"
)</f>
        <v>45-54</v>
      </c>
      <c r="AK679" t="str" cm="1">
        <f t="array" ref="AK679">_xlfn.IFS(
HR_Data[[#This Row],[MonthlyIncome]]&lt;3000,"&lt;3K",
HR_Data[[#This Row],[MonthlyIncome]]&lt;6000,"3K-6K",
HR_Data[[#This Row],[MonthlyIncome]]&lt;10000,"6K-10K",
TRUE,"10K+"
)</f>
        <v>6K-10K</v>
      </c>
      <c r="AL679" t="str" cm="1">
        <f t="array" ref="AL679">_xlfn.IFS(
HR_Data[[#This Row],[YearsAtCompany]]&lt;2,"&lt;2 Years",
HR_Data[[#This Row],[YearsAtCompany]]&lt;5,"2-4 Years",
HR_Data[[#This Row],[YearsAtCompany]]&lt;10,"5-9 Years",
TRUE,"10+ Years"
)</f>
        <v>10+ Years</v>
      </c>
      <c r="AM679" s="1">
        <f>IF(HR_Data[[#This Row],[Attrition]]="Yes",1,0)</f>
        <v>0</v>
      </c>
    </row>
    <row r="680" spans="1:39" x14ac:dyDescent="0.3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 cm="1">
        <f t="array" ref="AJ680">_xlfn.IFS(
HR_Data[[#This Row],[Age]]&lt;25,"Under 25",
HR_Data[[#This Row],[Age]]&lt;35,"25-34",
HR_Data[[#This Row],[Age]]&lt;45,"35-44",
HR_Data[[#This Row],[Age]]&lt;55,"45-54",
TRUE,"55+"
)</f>
        <v>45-54</v>
      </c>
      <c r="AK680" t="str" cm="1">
        <f t="array" ref="AK680">_xlfn.IFS(
HR_Data[[#This Row],[MonthlyIncome]]&lt;3000,"&lt;3K",
HR_Data[[#This Row],[MonthlyIncome]]&lt;6000,"3K-6K",
HR_Data[[#This Row],[MonthlyIncome]]&lt;10000,"6K-10K",
TRUE,"10K+"
)</f>
        <v>&lt;3K</v>
      </c>
      <c r="AL680" t="str" cm="1">
        <f t="array" ref="AL680">_xlfn.IFS(
HR_Data[[#This Row],[YearsAtCompany]]&lt;2,"&lt;2 Years",
HR_Data[[#This Row],[YearsAtCompany]]&lt;5,"2-4 Years",
HR_Data[[#This Row],[YearsAtCompany]]&lt;10,"5-9 Years",
TRUE,"10+ Years"
)</f>
        <v>&lt;2 Years</v>
      </c>
      <c r="AM680" s="1">
        <f>IF(HR_Data[[#This Row],[Attrition]]="Yes",1,0)</f>
        <v>0</v>
      </c>
    </row>
    <row r="681" spans="1:39" x14ac:dyDescent="0.3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 cm="1">
        <f t="array" ref="AJ681">_xlfn.IFS(
HR_Data[[#This Row],[Age]]&lt;25,"Under 25",
HR_Data[[#This Row],[Age]]&lt;35,"25-34",
HR_Data[[#This Row],[Age]]&lt;45,"35-44",
HR_Data[[#This Row],[Age]]&lt;55,"45-54",
TRUE,"55+"
)</f>
        <v>25-34</v>
      </c>
      <c r="AK681" t="str" cm="1">
        <f t="array" ref="AK681">_xlfn.IFS(
HR_Data[[#This Row],[MonthlyIncome]]&lt;3000,"&lt;3K",
HR_Data[[#This Row],[MonthlyIncome]]&lt;6000,"3K-6K",
HR_Data[[#This Row],[MonthlyIncome]]&lt;10000,"6K-10K",
TRUE,"10K+"
)</f>
        <v>6K-10K</v>
      </c>
      <c r="AL681" t="str" cm="1">
        <f t="array" ref="AL681">_xlfn.IFS(
HR_Data[[#This Row],[YearsAtCompany]]&lt;2,"&lt;2 Years",
HR_Data[[#This Row],[YearsAtCompany]]&lt;5,"2-4 Years",
HR_Data[[#This Row],[YearsAtCompany]]&lt;10,"5-9 Years",
TRUE,"10+ Years"
)</f>
        <v>5-9 Years</v>
      </c>
      <c r="AM681" s="1">
        <f>IF(HR_Data[[#This Row],[Attrition]]="Yes",1,0)</f>
        <v>0</v>
      </c>
    </row>
    <row r="682" spans="1:39" x14ac:dyDescent="0.3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 cm="1">
        <f t="array" ref="AJ682">_xlfn.IFS(
HR_Data[[#This Row],[Age]]&lt;25,"Under 25",
HR_Data[[#This Row],[Age]]&lt;35,"25-34",
HR_Data[[#This Row],[Age]]&lt;45,"35-44",
HR_Data[[#This Row],[Age]]&lt;55,"45-54",
TRUE,"55+"
)</f>
        <v>35-44</v>
      </c>
      <c r="AK682" t="str" cm="1">
        <f t="array" ref="AK682">_xlfn.IFS(
HR_Data[[#This Row],[MonthlyIncome]]&lt;3000,"&lt;3K",
HR_Data[[#This Row],[MonthlyIncome]]&lt;6000,"3K-6K",
HR_Data[[#This Row],[MonthlyIncome]]&lt;10000,"6K-10K",
TRUE,"10K+"
)</f>
        <v>3K-6K</v>
      </c>
      <c r="AL682" t="str" cm="1">
        <f t="array" ref="AL682">_xlfn.IFS(
HR_Data[[#This Row],[YearsAtCompany]]&lt;2,"&lt;2 Years",
HR_Data[[#This Row],[YearsAtCompany]]&lt;5,"2-4 Years",
HR_Data[[#This Row],[YearsAtCompany]]&lt;10,"5-9 Years",
TRUE,"10+ Years"
)</f>
        <v>5-9 Years</v>
      </c>
      <c r="AM682" s="1">
        <f>IF(HR_Data[[#This Row],[Attrition]]="Yes",1,0)</f>
        <v>0</v>
      </c>
    </row>
    <row r="683" spans="1:39" x14ac:dyDescent="0.3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 cm="1">
        <f t="array" ref="AJ683">_xlfn.IFS(
HR_Data[[#This Row],[Age]]&lt;25,"Under 25",
HR_Data[[#This Row],[Age]]&lt;35,"25-34",
HR_Data[[#This Row],[Age]]&lt;45,"35-44",
HR_Data[[#This Row],[Age]]&lt;55,"45-54",
TRUE,"55+"
)</f>
        <v>35-44</v>
      </c>
      <c r="AK683" t="str" cm="1">
        <f t="array" ref="AK683">_xlfn.IFS(
HR_Data[[#This Row],[MonthlyIncome]]&lt;3000,"&lt;3K",
HR_Data[[#This Row],[MonthlyIncome]]&lt;6000,"3K-6K",
HR_Data[[#This Row],[MonthlyIncome]]&lt;10000,"6K-10K",
TRUE,"10K+"
)</f>
        <v>10K+</v>
      </c>
      <c r="AL683" t="str" cm="1">
        <f t="array" ref="AL683">_xlfn.IFS(
HR_Data[[#This Row],[YearsAtCompany]]&lt;2,"&lt;2 Years",
HR_Data[[#This Row],[YearsAtCompany]]&lt;5,"2-4 Years",
HR_Data[[#This Row],[YearsAtCompany]]&lt;10,"5-9 Years",
TRUE,"10+ Years"
)</f>
        <v>10+ Years</v>
      </c>
      <c r="AM683" s="1">
        <f>IF(HR_Data[[#This Row],[Attrition]]="Yes",1,0)</f>
        <v>0</v>
      </c>
    </row>
    <row r="684" spans="1:39" x14ac:dyDescent="0.3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 cm="1">
        <f t="array" ref="AJ684">_xlfn.IFS(
HR_Data[[#This Row],[Age]]&lt;25,"Under 25",
HR_Data[[#This Row],[Age]]&lt;35,"25-34",
HR_Data[[#This Row],[Age]]&lt;45,"35-44",
HR_Data[[#This Row],[Age]]&lt;55,"45-54",
TRUE,"55+"
)</f>
        <v>25-34</v>
      </c>
      <c r="AK684" t="str" cm="1">
        <f t="array" ref="AK684">_xlfn.IFS(
HR_Data[[#This Row],[MonthlyIncome]]&lt;3000,"&lt;3K",
HR_Data[[#This Row],[MonthlyIncome]]&lt;6000,"3K-6K",
HR_Data[[#This Row],[MonthlyIncome]]&lt;10000,"6K-10K",
TRUE,"10K+"
)</f>
        <v>&lt;3K</v>
      </c>
      <c r="AL684" t="str" cm="1">
        <f t="array" ref="AL684">_xlfn.IFS(
HR_Data[[#This Row],[YearsAtCompany]]&lt;2,"&lt;2 Years",
HR_Data[[#This Row],[YearsAtCompany]]&lt;5,"2-4 Years",
HR_Data[[#This Row],[YearsAtCompany]]&lt;10,"5-9 Years",
TRUE,"10+ Years"
)</f>
        <v>2-4 Years</v>
      </c>
      <c r="AM684" s="1">
        <f>IF(HR_Data[[#This Row],[Attrition]]="Yes",1,0)</f>
        <v>0</v>
      </c>
    </row>
    <row r="685" spans="1:39" x14ac:dyDescent="0.3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 cm="1">
        <f t="array" ref="AJ685">_xlfn.IFS(
HR_Data[[#This Row],[Age]]&lt;25,"Under 25",
HR_Data[[#This Row],[Age]]&lt;35,"25-34",
HR_Data[[#This Row],[Age]]&lt;45,"35-44",
HR_Data[[#This Row],[Age]]&lt;55,"45-54",
TRUE,"55+"
)</f>
        <v>25-34</v>
      </c>
      <c r="AK685" t="str" cm="1">
        <f t="array" ref="AK685">_xlfn.IFS(
HR_Data[[#This Row],[MonthlyIncome]]&lt;3000,"&lt;3K",
HR_Data[[#This Row],[MonthlyIncome]]&lt;6000,"3K-6K",
HR_Data[[#This Row],[MonthlyIncome]]&lt;10000,"6K-10K",
TRUE,"10K+"
)</f>
        <v>&lt;3K</v>
      </c>
      <c r="AL685" t="str" cm="1">
        <f t="array" ref="AL685">_xlfn.IFS(
HR_Data[[#This Row],[YearsAtCompany]]&lt;2,"&lt;2 Years",
HR_Data[[#This Row],[YearsAtCompany]]&lt;5,"2-4 Years",
HR_Data[[#This Row],[YearsAtCompany]]&lt;10,"5-9 Years",
TRUE,"10+ Years"
)</f>
        <v>&lt;2 Years</v>
      </c>
      <c r="AM685" s="1">
        <f>IF(HR_Data[[#This Row],[Attrition]]="Yes",1,0)</f>
        <v>1</v>
      </c>
    </row>
    <row r="686" spans="1:39" x14ac:dyDescent="0.3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 cm="1">
        <f t="array" ref="AJ686">_xlfn.IFS(
HR_Data[[#This Row],[Age]]&lt;25,"Under 25",
HR_Data[[#This Row],[Age]]&lt;35,"25-34",
HR_Data[[#This Row],[Age]]&lt;45,"35-44",
HR_Data[[#This Row],[Age]]&lt;55,"45-54",
TRUE,"55+"
)</f>
        <v>35-44</v>
      </c>
      <c r="AK686" t="str" cm="1">
        <f t="array" ref="AK686">_xlfn.IFS(
HR_Data[[#This Row],[MonthlyIncome]]&lt;3000,"&lt;3K",
HR_Data[[#This Row],[MonthlyIncome]]&lt;6000,"3K-6K",
HR_Data[[#This Row],[MonthlyIncome]]&lt;10000,"6K-10K",
TRUE,"10K+"
)</f>
        <v>6K-10K</v>
      </c>
      <c r="AL686" t="str" cm="1">
        <f t="array" ref="AL686">_xlfn.IFS(
HR_Data[[#This Row],[YearsAtCompany]]&lt;2,"&lt;2 Years",
HR_Data[[#This Row],[YearsAtCompany]]&lt;5,"2-4 Years",
HR_Data[[#This Row],[YearsAtCompany]]&lt;10,"5-9 Years",
TRUE,"10+ Years"
)</f>
        <v>&lt;2 Years</v>
      </c>
      <c r="AM686" s="1">
        <f>IF(HR_Data[[#This Row],[Attrition]]="Yes",1,0)</f>
        <v>0</v>
      </c>
    </row>
    <row r="687" spans="1:39" x14ac:dyDescent="0.3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 cm="1">
        <f t="array" ref="AJ687">_xlfn.IFS(
HR_Data[[#This Row],[Age]]&lt;25,"Under 25",
HR_Data[[#This Row],[Age]]&lt;35,"25-34",
HR_Data[[#This Row],[Age]]&lt;45,"35-44",
HR_Data[[#This Row],[Age]]&lt;55,"45-54",
TRUE,"55+"
)</f>
        <v>25-34</v>
      </c>
      <c r="AK687" t="str" cm="1">
        <f t="array" ref="AK687">_xlfn.IFS(
HR_Data[[#This Row],[MonthlyIncome]]&lt;3000,"&lt;3K",
HR_Data[[#This Row],[MonthlyIncome]]&lt;6000,"3K-6K",
HR_Data[[#This Row],[MonthlyIncome]]&lt;10000,"6K-10K",
TRUE,"10K+"
)</f>
        <v>3K-6K</v>
      </c>
      <c r="AL687" t="str" cm="1">
        <f t="array" ref="AL687">_xlfn.IFS(
HR_Data[[#This Row],[YearsAtCompany]]&lt;2,"&lt;2 Years",
HR_Data[[#This Row],[YearsAtCompany]]&lt;5,"2-4 Years",
HR_Data[[#This Row],[YearsAtCompany]]&lt;10,"5-9 Years",
TRUE,"10+ Years"
)</f>
        <v>5-9 Years</v>
      </c>
      <c r="AM687" s="1">
        <f>IF(HR_Data[[#This Row],[Attrition]]="Yes",1,0)</f>
        <v>0</v>
      </c>
    </row>
    <row r="688" spans="1:39" x14ac:dyDescent="0.3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 cm="1">
        <f t="array" ref="AJ688">_xlfn.IFS(
HR_Data[[#This Row],[Age]]&lt;25,"Under 25",
HR_Data[[#This Row],[Age]]&lt;35,"25-34",
HR_Data[[#This Row],[Age]]&lt;45,"35-44",
HR_Data[[#This Row],[Age]]&lt;55,"45-54",
TRUE,"55+"
)</f>
        <v>35-44</v>
      </c>
      <c r="AK688" t="str" cm="1">
        <f t="array" ref="AK688">_xlfn.IFS(
HR_Data[[#This Row],[MonthlyIncome]]&lt;3000,"&lt;3K",
HR_Data[[#This Row],[MonthlyIncome]]&lt;6000,"3K-6K",
HR_Data[[#This Row],[MonthlyIncome]]&lt;10000,"6K-10K",
TRUE,"10K+"
)</f>
        <v>3K-6K</v>
      </c>
      <c r="AL688" t="str" cm="1">
        <f t="array" ref="AL688">_xlfn.IFS(
HR_Data[[#This Row],[YearsAtCompany]]&lt;2,"&lt;2 Years",
HR_Data[[#This Row],[YearsAtCompany]]&lt;5,"2-4 Years",
HR_Data[[#This Row],[YearsAtCompany]]&lt;10,"5-9 Years",
TRUE,"10+ Years"
)</f>
        <v>10+ Years</v>
      </c>
      <c r="AM688" s="1">
        <f>IF(HR_Data[[#This Row],[Attrition]]="Yes",1,0)</f>
        <v>0</v>
      </c>
    </row>
    <row r="689" spans="1:39" x14ac:dyDescent="0.3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 cm="1">
        <f t="array" ref="AJ689">_xlfn.IFS(
HR_Data[[#This Row],[Age]]&lt;25,"Under 25",
HR_Data[[#This Row],[Age]]&lt;35,"25-34",
HR_Data[[#This Row],[Age]]&lt;45,"35-44",
HR_Data[[#This Row],[Age]]&lt;55,"45-54",
TRUE,"55+"
)</f>
        <v>35-44</v>
      </c>
      <c r="AK689" t="str" cm="1">
        <f t="array" ref="AK689">_xlfn.IFS(
HR_Data[[#This Row],[MonthlyIncome]]&lt;3000,"&lt;3K",
HR_Data[[#This Row],[MonthlyIncome]]&lt;6000,"3K-6K",
HR_Data[[#This Row],[MonthlyIncome]]&lt;10000,"6K-10K",
TRUE,"10K+"
)</f>
        <v>&lt;3K</v>
      </c>
      <c r="AL689" t="str" cm="1">
        <f t="array" ref="AL689">_xlfn.IFS(
HR_Data[[#This Row],[YearsAtCompany]]&lt;2,"&lt;2 Years",
HR_Data[[#This Row],[YearsAtCompany]]&lt;5,"2-4 Years",
HR_Data[[#This Row],[YearsAtCompany]]&lt;10,"5-9 Years",
TRUE,"10+ Years"
)</f>
        <v>10+ Years</v>
      </c>
      <c r="AM689" s="1">
        <f>IF(HR_Data[[#This Row],[Attrition]]="Yes",1,0)</f>
        <v>0</v>
      </c>
    </row>
    <row r="690" spans="1:39" x14ac:dyDescent="0.3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 cm="1">
        <f t="array" ref="AJ690">_xlfn.IFS(
HR_Data[[#This Row],[Age]]&lt;25,"Under 25",
HR_Data[[#This Row],[Age]]&lt;35,"25-34",
HR_Data[[#This Row],[Age]]&lt;45,"35-44",
HR_Data[[#This Row],[Age]]&lt;55,"45-54",
TRUE,"55+"
)</f>
        <v>Under 25</v>
      </c>
      <c r="AK690" t="str" cm="1">
        <f t="array" ref="AK690">_xlfn.IFS(
HR_Data[[#This Row],[MonthlyIncome]]&lt;3000,"&lt;3K",
HR_Data[[#This Row],[MonthlyIncome]]&lt;6000,"3K-6K",
HR_Data[[#This Row],[MonthlyIncome]]&lt;10000,"6K-10K",
TRUE,"10K+"
)</f>
        <v>&lt;3K</v>
      </c>
      <c r="AL690" t="str" cm="1">
        <f t="array" ref="AL690">_xlfn.IFS(
HR_Data[[#This Row],[YearsAtCompany]]&lt;2,"&lt;2 Years",
HR_Data[[#This Row],[YearsAtCompany]]&lt;5,"2-4 Years",
HR_Data[[#This Row],[YearsAtCompany]]&lt;10,"5-9 Years",
TRUE,"10+ Years"
)</f>
        <v>&lt;2 Years</v>
      </c>
      <c r="AM690" s="1">
        <f>IF(HR_Data[[#This Row],[Attrition]]="Yes",1,0)</f>
        <v>1</v>
      </c>
    </row>
    <row r="691" spans="1:39" x14ac:dyDescent="0.3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 cm="1">
        <f t="array" ref="AJ691">_xlfn.IFS(
HR_Data[[#This Row],[Age]]&lt;25,"Under 25",
HR_Data[[#This Row],[Age]]&lt;35,"25-34",
HR_Data[[#This Row],[Age]]&lt;45,"35-44",
HR_Data[[#This Row],[Age]]&lt;55,"45-54",
TRUE,"55+"
)</f>
        <v>Under 25</v>
      </c>
      <c r="AK691" t="str" cm="1">
        <f t="array" ref="AK691">_xlfn.IFS(
HR_Data[[#This Row],[MonthlyIncome]]&lt;3000,"&lt;3K",
HR_Data[[#This Row],[MonthlyIncome]]&lt;6000,"3K-6K",
HR_Data[[#This Row],[MonthlyIncome]]&lt;10000,"6K-10K",
TRUE,"10K+"
)</f>
        <v>&lt;3K</v>
      </c>
      <c r="AL691" t="str" cm="1">
        <f t="array" ref="AL691">_xlfn.IFS(
HR_Data[[#This Row],[YearsAtCompany]]&lt;2,"&lt;2 Years",
HR_Data[[#This Row],[YearsAtCompany]]&lt;5,"2-4 Years",
HR_Data[[#This Row],[YearsAtCompany]]&lt;10,"5-9 Years",
TRUE,"10+ Years"
)</f>
        <v>&lt;2 Years</v>
      </c>
      <c r="AM691" s="1">
        <f>IF(HR_Data[[#This Row],[Attrition]]="Yes",1,0)</f>
        <v>1</v>
      </c>
    </row>
    <row r="692" spans="1:39" x14ac:dyDescent="0.3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 cm="1">
        <f t="array" ref="AJ692">_xlfn.IFS(
HR_Data[[#This Row],[Age]]&lt;25,"Under 25",
HR_Data[[#This Row],[Age]]&lt;35,"25-34",
HR_Data[[#This Row],[Age]]&lt;45,"35-44",
HR_Data[[#This Row],[Age]]&lt;55,"45-54",
TRUE,"55+"
)</f>
        <v>25-34</v>
      </c>
      <c r="AK692" t="str" cm="1">
        <f t="array" ref="AK692">_xlfn.IFS(
HR_Data[[#This Row],[MonthlyIncome]]&lt;3000,"&lt;3K",
HR_Data[[#This Row],[MonthlyIncome]]&lt;6000,"3K-6K",
HR_Data[[#This Row],[MonthlyIncome]]&lt;10000,"6K-10K",
TRUE,"10K+"
)</f>
        <v>3K-6K</v>
      </c>
      <c r="AL692" t="str" cm="1">
        <f t="array" ref="AL692">_xlfn.IFS(
HR_Data[[#This Row],[YearsAtCompany]]&lt;2,"&lt;2 Years",
HR_Data[[#This Row],[YearsAtCompany]]&lt;5,"2-4 Years",
HR_Data[[#This Row],[YearsAtCompany]]&lt;10,"5-9 Years",
TRUE,"10+ Years"
)</f>
        <v>5-9 Years</v>
      </c>
      <c r="AM692" s="1">
        <f>IF(HR_Data[[#This Row],[Attrition]]="Yes",1,0)</f>
        <v>0</v>
      </c>
    </row>
    <row r="693" spans="1:39" x14ac:dyDescent="0.3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 cm="1">
        <f t="array" ref="AJ693">_xlfn.IFS(
HR_Data[[#This Row],[Age]]&lt;25,"Under 25",
HR_Data[[#This Row],[Age]]&lt;35,"25-34",
HR_Data[[#This Row],[Age]]&lt;45,"35-44",
HR_Data[[#This Row],[Age]]&lt;55,"45-54",
TRUE,"55+"
)</f>
        <v>35-44</v>
      </c>
      <c r="AK693" t="str" cm="1">
        <f t="array" ref="AK693">_xlfn.IFS(
HR_Data[[#This Row],[MonthlyIncome]]&lt;3000,"&lt;3K",
HR_Data[[#This Row],[MonthlyIncome]]&lt;6000,"3K-6K",
HR_Data[[#This Row],[MonthlyIncome]]&lt;10000,"6K-10K",
TRUE,"10K+"
)</f>
        <v>3K-6K</v>
      </c>
      <c r="AL693" t="str" cm="1">
        <f t="array" ref="AL693">_xlfn.IFS(
HR_Data[[#This Row],[YearsAtCompany]]&lt;2,"&lt;2 Years",
HR_Data[[#This Row],[YearsAtCompany]]&lt;5,"2-4 Years",
HR_Data[[#This Row],[YearsAtCompany]]&lt;10,"5-9 Years",
TRUE,"10+ Years"
)</f>
        <v>&lt;2 Years</v>
      </c>
      <c r="AM693" s="1">
        <f>IF(HR_Data[[#This Row],[Attrition]]="Yes",1,0)</f>
        <v>0</v>
      </c>
    </row>
    <row r="694" spans="1:39" x14ac:dyDescent="0.3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 cm="1">
        <f t="array" ref="AJ694">_xlfn.IFS(
HR_Data[[#This Row],[Age]]&lt;25,"Under 25",
HR_Data[[#This Row],[Age]]&lt;35,"25-34",
HR_Data[[#This Row],[Age]]&lt;45,"35-44",
HR_Data[[#This Row],[Age]]&lt;55,"45-54",
TRUE,"55+"
)</f>
        <v>25-34</v>
      </c>
      <c r="AK694" t="str" cm="1">
        <f t="array" ref="AK694">_xlfn.IFS(
HR_Data[[#This Row],[MonthlyIncome]]&lt;3000,"&lt;3K",
HR_Data[[#This Row],[MonthlyIncome]]&lt;6000,"3K-6K",
HR_Data[[#This Row],[MonthlyIncome]]&lt;10000,"6K-10K",
TRUE,"10K+"
)</f>
        <v>6K-10K</v>
      </c>
      <c r="AL694" t="str" cm="1">
        <f t="array" ref="AL694">_xlfn.IFS(
HR_Data[[#This Row],[YearsAtCompany]]&lt;2,"&lt;2 Years",
HR_Data[[#This Row],[YearsAtCompany]]&lt;5,"2-4 Years",
HR_Data[[#This Row],[YearsAtCompany]]&lt;10,"5-9 Years",
TRUE,"10+ Years"
)</f>
        <v>5-9 Years</v>
      </c>
      <c r="AM694" s="1">
        <f>IF(HR_Data[[#This Row],[Attrition]]="Yes",1,0)</f>
        <v>0</v>
      </c>
    </row>
    <row r="695" spans="1:39" x14ac:dyDescent="0.3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 cm="1">
        <f t="array" ref="AJ695">_xlfn.IFS(
HR_Data[[#This Row],[Age]]&lt;25,"Under 25",
HR_Data[[#This Row],[Age]]&lt;35,"25-34",
HR_Data[[#This Row],[Age]]&lt;45,"35-44",
HR_Data[[#This Row],[Age]]&lt;55,"45-54",
TRUE,"55+"
)</f>
        <v>35-44</v>
      </c>
      <c r="AK695" t="str" cm="1">
        <f t="array" ref="AK695">_xlfn.IFS(
HR_Data[[#This Row],[MonthlyIncome]]&lt;3000,"&lt;3K",
HR_Data[[#This Row],[MonthlyIncome]]&lt;6000,"3K-6K",
HR_Data[[#This Row],[MonthlyIncome]]&lt;10000,"6K-10K",
TRUE,"10K+"
)</f>
        <v>10K+</v>
      </c>
      <c r="AL695" t="str" cm="1">
        <f t="array" ref="AL695">_xlfn.IFS(
HR_Data[[#This Row],[YearsAtCompany]]&lt;2,"&lt;2 Years",
HR_Data[[#This Row],[YearsAtCompany]]&lt;5,"2-4 Years",
HR_Data[[#This Row],[YearsAtCompany]]&lt;10,"5-9 Years",
TRUE,"10+ Years"
)</f>
        <v>10+ Years</v>
      </c>
      <c r="AM695" s="1">
        <f>IF(HR_Data[[#This Row],[Attrition]]="Yes",1,0)</f>
        <v>1</v>
      </c>
    </row>
    <row r="696" spans="1:39" x14ac:dyDescent="0.3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 cm="1">
        <f t="array" ref="AJ696">_xlfn.IFS(
HR_Data[[#This Row],[Age]]&lt;25,"Under 25",
HR_Data[[#This Row],[Age]]&lt;35,"25-34",
HR_Data[[#This Row],[Age]]&lt;45,"35-44",
HR_Data[[#This Row],[Age]]&lt;55,"45-54",
TRUE,"55+"
)</f>
        <v>25-34</v>
      </c>
      <c r="AK696" t="str" cm="1">
        <f t="array" ref="AK696">_xlfn.IFS(
HR_Data[[#This Row],[MonthlyIncome]]&lt;3000,"&lt;3K",
HR_Data[[#This Row],[MonthlyIncome]]&lt;6000,"3K-6K",
HR_Data[[#This Row],[MonthlyIncome]]&lt;10000,"6K-10K",
TRUE,"10K+"
)</f>
        <v>6K-10K</v>
      </c>
      <c r="AL696" t="str" cm="1">
        <f t="array" ref="AL696">_xlfn.IFS(
HR_Data[[#This Row],[YearsAtCompany]]&lt;2,"&lt;2 Years",
HR_Data[[#This Row],[YearsAtCompany]]&lt;5,"2-4 Years",
HR_Data[[#This Row],[YearsAtCompany]]&lt;10,"5-9 Years",
TRUE,"10+ Years"
)</f>
        <v>5-9 Years</v>
      </c>
      <c r="AM696" s="1">
        <f>IF(HR_Data[[#This Row],[Attrition]]="Yes",1,0)</f>
        <v>0</v>
      </c>
    </row>
    <row r="697" spans="1:39" x14ac:dyDescent="0.3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 cm="1">
        <f t="array" ref="AJ697">_xlfn.IFS(
HR_Data[[#This Row],[Age]]&lt;25,"Under 25",
HR_Data[[#This Row],[Age]]&lt;35,"25-34",
HR_Data[[#This Row],[Age]]&lt;45,"35-44",
HR_Data[[#This Row],[Age]]&lt;55,"45-54",
TRUE,"55+"
)</f>
        <v>35-44</v>
      </c>
      <c r="AK697" t="str" cm="1">
        <f t="array" ref="AK697">_xlfn.IFS(
HR_Data[[#This Row],[MonthlyIncome]]&lt;3000,"&lt;3K",
HR_Data[[#This Row],[MonthlyIncome]]&lt;6000,"3K-6K",
HR_Data[[#This Row],[MonthlyIncome]]&lt;10000,"6K-10K",
TRUE,"10K+"
)</f>
        <v>10K+</v>
      </c>
      <c r="AL697" t="str" cm="1">
        <f t="array" ref="AL697">_xlfn.IFS(
HR_Data[[#This Row],[YearsAtCompany]]&lt;2,"&lt;2 Years",
HR_Data[[#This Row],[YearsAtCompany]]&lt;5,"2-4 Years",
HR_Data[[#This Row],[YearsAtCompany]]&lt;10,"5-9 Years",
TRUE,"10+ Years"
)</f>
        <v>10+ Years</v>
      </c>
      <c r="AM697" s="1">
        <f>IF(HR_Data[[#This Row],[Attrition]]="Yes",1,0)</f>
        <v>1</v>
      </c>
    </row>
    <row r="698" spans="1:39" x14ac:dyDescent="0.3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 cm="1">
        <f t="array" ref="AJ698">_xlfn.IFS(
HR_Data[[#This Row],[Age]]&lt;25,"Under 25",
HR_Data[[#This Row],[Age]]&lt;35,"25-34",
HR_Data[[#This Row],[Age]]&lt;45,"35-44",
HR_Data[[#This Row],[Age]]&lt;55,"45-54",
TRUE,"55+"
)</f>
        <v>45-54</v>
      </c>
      <c r="AK698" t="str" cm="1">
        <f t="array" ref="AK698">_xlfn.IFS(
HR_Data[[#This Row],[MonthlyIncome]]&lt;3000,"&lt;3K",
HR_Data[[#This Row],[MonthlyIncome]]&lt;6000,"3K-6K",
HR_Data[[#This Row],[MonthlyIncome]]&lt;10000,"6K-10K",
TRUE,"10K+"
)</f>
        <v>3K-6K</v>
      </c>
      <c r="AL698" t="str" cm="1">
        <f t="array" ref="AL698">_xlfn.IFS(
HR_Data[[#This Row],[YearsAtCompany]]&lt;2,"&lt;2 Years",
HR_Data[[#This Row],[YearsAtCompany]]&lt;5,"2-4 Years",
HR_Data[[#This Row],[YearsAtCompany]]&lt;10,"5-9 Years",
TRUE,"10+ Years"
)</f>
        <v>5-9 Years</v>
      </c>
      <c r="AM698" s="1">
        <f>IF(HR_Data[[#This Row],[Attrition]]="Yes",1,0)</f>
        <v>0</v>
      </c>
    </row>
    <row r="699" spans="1:39" x14ac:dyDescent="0.3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 cm="1">
        <f t="array" ref="AJ699">_xlfn.IFS(
HR_Data[[#This Row],[Age]]&lt;25,"Under 25",
HR_Data[[#This Row],[Age]]&lt;35,"25-34",
HR_Data[[#This Row],[Age]]&lt;45,"35-44",
HR_Data[[#This Row],[Age]]&lt;55,"45-54",
TRUE,"55+"
)</f>
        <v>25-34</v>
      </c>
      <c r="AK699" t="str" cm="1">
        <f t="array" ref="AK699">_xlfn.IFS(
HR_Data[[#This Row],[MonthlyIncome]]&lt;3000,"&lt;3K",
HR_Data[[#This Row],[MonthlyIncome]]&lt;6000,"3K-6K",
HR_Data[[#This Row],[MonthlyIncome]]&lt;10000,"6K-10K",
TRUE,"10K+"
)</f>
        <v>&lt;3K</v>
      </c>
      <c r="AL699" t="str" cm="1">
        <f t="array" ref="AL699">_xlfn.IFS(
HR_Data[[#This Row],[YearsAtCompany]]&lt;2,"&lt;2 Years",
HR_Data[[#This Row],[YearsAtCompany]]&lt;5,"2-4 Years",
HR_Data[[#This Row],[YearsAtCompany]]&lt;10,"5-9 Years",
TRUE,"10+ Years"
)</f>
        <v>2-4 Years</v>
      </c>
      <c r="AM699" s="1">
        <f>IF(HR_Data[[#This Row],[Attrition]]="Yes",1,0)</f>
        <v>0</v>
      </c>
    </row>
    <row r="700" spans="1:39" x14ac:dyDescent="0.3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 cm="1">
        <f t="array" ref="AJ700">_xlfn.IFS(
HR_Data[[#This Row],[Age]]&lt;25,"Under 25",
HR_Data[[#This Row],[Age]]&lt;35,"25-34",
HR_Data[[#This Row],[Age]]&lt;45,"35-44",
HR_Data[[#This Row],[Age]]&lt;55,"45-54",
TRUE,"55+"
)</f>
        <v>35-44</v>
      </c>
      <c r="AK700" t="str" cm="1">
        <f t="array" ref="AK700">_xlfn.IFS(
HR_Data[[#This Row],[MonthlyIncome]]&lt;3000,"&lt;3K",
HR_Data[[#This Row],[MonthlyIncome]]&lt;6000,"3K-6K",
HR_Data[[#This Row],[MonthlyIncome]]&lt;10000,"6K-10K",
TRUE,"10K+"
)</f>
        <v>3K-6K</v>
      </c>
      <c r="AL700" t="str" cm="1">
        <f t="array" ref="AL700">_xlfn.IFS(
HR_Data[[#This Row],[YearsAtCompany]]&lt;2,"&lt;2 Years",
HR_Data[[#This Row],[YearsAtCompany]]&lt;5,"2-4 Years",
HR_Data[[#This Row],[YearsAtCompany]]&lt;10,"5-9 Years",
TRUE,"10+ Years"
)</f>
        <v>5-9 Years</v>
      </c>
      <c r="AM700" s="1">
        <f>IF(HR_Data[[#This Row],[Attrition]]="Yes",1,0)</f>
        <v>0</v>
      </c>
    </row>
    <row r="701" spans="1:39" x14ac:dyDescent="0.3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 cm="1">
        <f t="array" ref="AJ701">_xlfn.IFS(
HR_Data[[#This Row],[Age]]&lt;25,"Under 25",
HR_Data[[#This Row],[Age]]&lt;35,"25-34",
HR_Data[[#This Row],[Age]]&lt;45,"35-44",
HR_Data[[#This Row],[Age]]&lt;55,"45-54",
TRUE,"55+"
)</f>
        <v>45-54</v>
      </c>
      <c r="AK701" t="str" cm="1">
        <f t="array" ref="AK701">_xlfn.IFS(
HR_Data[[#This Row],[MonthlyIncome]]&lt;3000,"&lt;3K",
HR_Data[[#This Row],[MonthlyIncome]]&lt;6000,"3K-6K",
HR_Data[[#This Row],[MonthlyIncome]]&lt;10000,"6K-10K",
TRUE,"10K+"
)</f>
        <v>10K+</v>
      </c>
      <c r="AL701" t="str" cm="1">
        <f t="array" ref="AL701">_xlfn.IFS(
HR_Data[[#This Row],[YearsAtCompany]]&lt;2,"&lt;2 Years",
HR_Data[[#This Row],[YearsAtCompany]]&lt;5,"2-4 Years",
HR_Data[[#This Row],[YearsAtCompany]]&lt;10,"5-9 Years",
TRUE,"10+ Years"
)</f>
        <v>5-9 Years</v>
      </c>
      <c r="AM701" s="1">
        <f>IF(HR_Data[[#This Row],[Attrition]]="Yes",1,0)</f>
        <v>0</v>
      </c>
    </row>
    <row r="702" spans="1:39" x14ac:dyDescent="0.3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 cm="1">
        <f t="array" ref="AJ702">_xlfn.IFS(
HR_Data[[#This Row],[Age]]&lt;25,"Under 25",
HR_Data[[#This Row],[Age]]&lt;35,"25-34",
HR_Data[[#This Row],[Age]]&lt;45,"35-44",
HR_Data[[#This Row],[Age]]&lt;55,"45-54",
TRUE,"55+"
)</f>
        <v>55+</v>
      </c>
      <c r="AK702" t="str" cm="1">
        <f t="array" ref="AK702">_xlfn.IFS(
HR_Data[[#This Row],[MonthlyIncome]]&lt;3000,"&lt;3K",
HR_Data[[#This Row],[MonthlyIncome]]&lt;6000,"3K-6K",
HR_Data[[#This Row],[MonthlyIncome]]&lt;10000,"6K-10K",
TRUE,"10K+"
)</f>
        <v>&lt;3K</v>
      </c>
      <c r="AL702" t="str" cm="1">
        <f t="array" ref="AL702">_xlfn.IFS(
HR_Data[[#This Row],[YearsAtCompany]]&lt;2,"&lt;2 Years",
HR_Data[[#This Row],[YearsAtCompany]]&lt;5,"2-4 Years",
HR_Data[[#This Row],[YearsAtCompany]]&lt;10,"5-9 Years",
TRUE,"10+ Years"
)</f>
        <v>&lt;2 Years</v>
      </c>
      <c r="AM702" s="1">
        <f>IF(HR_Data[[#This Row],[Attrition]]="Yes",1,0)</f>
        <v>1</v>
      </c>
    </row>
    <row r="703" spans="1:39" x14ac:dyDescent="0.3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 cm="1">
        <f t="array" ref="AJ703">_xlfn.IFS(
HR_Data[[#This Row],[Age]]&lt;25,"Under 25",
HR_Data[[#This Row],[Age]]&lt;35,"25-34",
HR_Data[[#This Row],[Age]]&lt;45,"35-44",
HR_Data[[#This Row],[Age]]&lt;55,"45-54",
TRUE,"55+"
)</f>
        <v>45-54</v>
      </c>
      <c r="AK703" t="str" cm="1">
        <f t="array" ref="AK703">_xlfn.IFS(
HR_Data[[#This Row],[MonthlyIncome]]&lt;3000,"&lt;3K",
HR_Data[[#This Row],[MonthlyIncome]]&lt;6000,"3K-6K",
HR_Data[[#This Row],[MonthlyIncome]]&lt;10000,"6K-10K",
TRUE,"10K+"
)</f>
        <v>10K+</v>
      </c>
      <c r="AL703" t="str" cm="1">
        <f t="array" ref="AL703">_xlfn.IFS(
HR_Data[[#This Row],[YearsAtCompany]]&lt;2,"&lt;2 Years",
HR_Data[[#This Row],[YearsAtCompany]]&lt;5,"2-4 Years",
HR_Data[[#This Row],[YearsAtCompany]]&lt;10,"5-9 Years",
TRUE,"10+ Years"
)</f>
        <v>10+ Years</v>
      </c>
      <c r="AM703" s="1">
        <f>IF(HR_Data[[#This Row],[Attrition]]="Yes",1,0)</f>
        <v>0</v>
      </c>
    </row>
    <row r="704" spans="1:39" x14ac:dyDescent="0.3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 cm="1">
        <f t="array" ref="AJ704">_xlfn.IFS(
HR_Data[[#This Row],[Age]]&lt;25,"Under 25",
HR_Data[[#This Row],[Age]]&lt;35,"25-34",
HR_Data[[#This Row],[Age]]&lt;45,"35-44",
HR_Data[[#This Row],[Age]]&lt;55,"45-54",
TRUE,"55+"
)</f>
        <v>25-34</v>
      </c>
      <c r="AK704" t="str" cm="1">
        <f t="array" ref="AK704">_xlfn.IFS(
HR_Data[[#This Row],[MonthlyIncome]]&lt;3000,"&lt;3K",
HR_Data[[#This Row],[MonthlyIncome]]&lt;6000,"3K-6K",
HR_Data[[#This Row],[MonthlyIncome]]&lt;10000,"6K-10K",
TRUE,"10K+"
)</f>
        <v>6K-10K</v>
      </c>
      <c r="AL704" t="str" cm="1">
        <f t="array" ref="AL704">_xlfn.IFS(
HR_Data[[#This Row],[YearsAtCompany]]&lt;2,"&lt;2 Years",
HR_Data[[#This Row],[YearsAtCompany]]&lt;5,"2-4 Years",
HR_Data[[#This Row],[YearsAtCompany]]&lt;10,"5-9 Years",
TRUE,"10+ Years"
)</f>
        <v>5-9 Years</v>
      </c>
      <c r="AM704" s="1">
        <f>IF(HR_Data[[#This Row],[Attrition]]="Yes",1,0)</f>
        <v>0</v>
      </c>
    </row>
    <row r="705" spans="1:39" x14ac:dyDescent="0.3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 cm="1">
        <f t="array" ref="AJ705">_xlfn.IFS(
HR_Data[[#This Row],[Age]]&lt;25,"Under 25",
HR_Data[[#This Row],[Age]]&lt;35,"25-34",
HR_Data[[#This Row],[Age]]&lt;45,"35-44",
HR_Data[[#This Row],[Age]]&lt;55,"45-54",
TRUE,"55+"
)</f>
        <v>35-44</v>
      </c>
      <c r="AK705" t="str" cm="1">
        <f t="array" ref="AK705">_xlfn.IFS(
HR_Data[[#This Row],[MonthlyIncome]]&lt;3000,"&lt;3K",
HR_Data[[#This Row],[MonthlyIncome]]&lt;6000,"3K-6K",
HR_Data[[#This Row],[MonthlyIncome]]&lt;10000,"6K-10K",
TRUE,"10K+"
)</f>
        <v>3K-6K</v>
      </c>
      <c r="AL705" t="str" cm="1">
        <f t="array" ref="AL705">_xlfn.IFS(
HR_Data[[#This Row],[YearsAtCompany]]&lt;2,"&lt;2 Years",
HR_Data[[#This Row],[YearsAtCompany]]&lt;5,"2-4 Years",
HR_Data[[#This Row],[YearsAtCompany]]&lt;10,"5-9 Years",
TRUE,"10+ Years"
)</f>
        <v>5-9 Years</v>
      </c>
      <c r="AM705" s="1">
        <f>IF(HR_Data[[#This Row],[Attrition]]="Yes",1,0)</f>
        <v>0</v>
      </c>
    </row>
    <row r="706" spans="1:39" x14ac:dyDescent="0.3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 cm="1">
        <f t="array" ref="AJ706">_xlfn.IFS(
HR_Data[[#This Row],[Age]]&lt;25,"Under 25",
HR_Data[[#This Row],[Age]]&lt;35,"25-34",
HR_Data[[#This Row],[Age]]&lt;45,"35-44",
HR_Data[[#This Row],[Age]]&lt;55,"45-54",
TRUE,"55+"
)</f>
        <v>35-44</v>
      </c>
      <c r="AK706" t="str" cm="1">
        <f t="array" ref="AK706">_xlfn.IFS(
HR_Data[[#This Row],[MonthlyIncome]]&lt;3000,"&lt;3K",
HR_Data[[#This Row],[MonthlyIncome]]&lt;6000,"3K-6K",
HR_Data[[#This Row],[MonthlyIncome]]&lt;10000,"6K-10K",
TRUE,"10K+"
)</f>
        <v>6K-10K</v>
      </c>
      <c r="AL706" t="str" cm="1">
        <f t="array" ref="AL706">_xlfn.IFS(
HR_Data[[#This Row],[YearsAtCompany]]&lt;2,"&lt;2 Years",
HR_Data[[#This Row],[YearsAtCompany]]&lt;5,"2-4 Years",
HR_Data[[#This Row],[YearsAtCompany]]&lt;10,"5-9 Years",
TRUE,"10+ Years"
)</f>
        <v>10+ Years</v>
      </c>
      <c r="AM706" s="1">
        <f>IF(HR_Data[[#This Row],[Attrition]]="Yes",1,0)</f>
        <v>0</v>
      </c>
    </row>
    <row r="707" spans="1:39" x14ac:dyDescent="0.3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 cm="1">
        <f t="array" ref="AJ707">_xlfn.IFS(
HR_Data[[#This Row],[Age]]&lt;25,"Under 25",
HR_Data[[#This Row],[Age]]&lt;35,"25-34",
HR_Data[[#This Row],[Age]]&lt;45,"35-44",
HR_Data[[#This Row],[Age]]&lt;55,"45-54",
TRUE,"55+"
)</f>
        <v>35-44</v>
      </c>
      <c r="AK707" t="str" cm="1">
        <f t="array" ref="AK707">_xlfn.IFS(
HR_Data[[#This Row],[MonthlyIncome]]&lt;3000,"&lt;3K",
HR_Data[[#This Row],[MonthlyIncome]]&lt;6000,"3K-6K",
HR_Data[[#This Row],[MonthlyIncome]]&lt;10000,"6K-10K",
TRUE,"10K+"
)</f>
        <v>6K-10K</v>
      </c>
      <c r="AL707" t="str" cm="1">
        <f t="array" ref="AL707">_xlfn.IFS(
HR_Data[[#This Row],[YearsAtCompany]]&lt;2,"&lt;2 Years",
HR_Data[[#This Row],[YearsAtCompany]]&lt;5,"2-4 Years",
HR_Data[[#This Row],[YearsAtCompany]]&lt;10,"5-9 Years",
TRUE,"10+ Years"
)</f>
        <v>5-9 Years</v>
      </c>
      <c r="AM707" s="1">
        <f>IF(HR_Data[[#This Row],[Attrition]]="Yes",1,0)</f>
        <v>0</v>
      </c>
    </row>
    <row r="708" spans="1:39" x14ac:dyDescent="0.3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 cm="1">
        <f t="array" ref="AJ708">_xlfn.IFS(
HR_Data[[#This Row],[Age]]&lt;25,"Under 25",
HR_Data[[#This Row],[Age]]&lt;35,"25-34",
HR_Data[[#This Row],[Age]]&lt;45,"35-44",
HR_Data[[#This Row],[Age]]&lt;55,"45-54",
TRUE,"55+"
)</f>
        <v>35-44</v>
      </c>
      <c r="AK708" t="str" cm="1">
        <f t="array" ref="AK708">_xlfn.IFS(
HR_Data[[#This Row],[MonthlyIncome]]&lt;3000,"&lt;3K",
HR_Data[[#This Row],[MonthlyIncome]]&lt;6000,"3K-6K",
HR_Data[[#This Row],[MonthlyIncome]]&lt;10000,"6K-10K",
TRUE,"10K+"
)</f>
        <v>10K+</v>
      </c>
      <c r="AL708" t="str" cm="1">
        <f t="array" ref="AL708">_xlfn.IFS(
HR_Data[[#This Row],[YearsAtCompany]]&lt;2,"&lt;2 Years",
HR_Data[[#This Row],[YearsAtCompany]]&lt;5,"2-4 Years",
HR_Data[[#This Row],[YearsAtCompany]]&lt;10,"5-9 Years",
TRUE,"10+ Years"
)</f>
        <v>&lt;2 Years</v>
      </c>
      <c r="AM708" s="1">
        <f>IF(HR_Data[[#This Row],[Attrition]]="Yes",1,0)</f>
        <v>1</v>
      </c>
    </row>
    <row r="709" spans="1:39" x14ac:dyDescent="0.3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 cm="1">
        <f t="array" ref="AJ709">_xlfn.IFS(
HR_Data[[#This Row],[Age]]&lt;25,"Under 25",
HR_Data[[#This Row],[Age]]&lt;35,"25-34",
HR_Data[[#This Row],[Age]]&lt;45,"35-44",
HR_Data[[#This Row],[Age]]&lt;55,"45-54",
TRUE,"55+"
)</f>
        <v>45-54</v>
      </c>
      <c r="AK709" t="str" cm="1">
        <f t="array" ref="AK709">_xlfn.IFS(
HR_Data[[#This Row],[MonthlyIncome]]&lt;3000,"&lt;3K",
HR_Data[[#This Row],[MonthlyIncome]]&lt;6000,"3K-6K",
HR_Data[[#This Row],[MonthlyIncome]]&lt;10000,"6K-10K",
TRUE,"10K+"
)</f>
        <v>3K-6K</v>
      </c>
      <c r="AL709" t="str" cm="1">
        <f t="array" ref="AL709">_xlfn.IFS(
HR_Data[[#This Row],[YearsAtCompany]]&lt;2,"&lt;2 Years",
HR_Data[[#This Row],[YearsAtCompany]]&lt;5,"2-4 Years",
HR_Data[[#This Row],[YearsAtCompany]]&lt;10,"5-9 Years",
TRUE,"10+ Years"
)</f>
        <v>10+ Years</v>
      </c>
      <c r="AM709" s="1">
        <f>IF(HR_Data[[#This Row],[Attrition]]="Yes",1,0)</f>
        <v>0</v>
      </c>
    </row>
    <row r="710" spans="1:39" x14ac:dyDescent="0.3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 cm="1">
        <f t="array" ref="AJ710">_xlfn.IFS(
HR_Data[[#This Row],[Age]]&lt;25,"Under 25",
HR_Data[[#This Row],[Age]]&lt;35,"25-34",
HR_Data[[#This Row],[Age]]&lt;45,"35-44",
HR_Data[[#This Row],[Age]]&lt;55,"45-54",
TRUE,"55+"
)</f>
        <v>35-44</v>
      </c>
      <c r="AK710" t="str" cm="1">
        <f t="array" ref="AK710">_xlfn.IFS(
HR_Data[[#This Row],[MonthlyIncome]]&lt;3000,"&lt;3K",
HR_Data[[#This Row],[MonthlyIncome]]&lt;6000,"3K-6K",
HR_Data[[#This Row],[MonthlyIncome]]&lt;10000,"6K-10K",
TRUE,"10K+"
)</f>
        <v>3K-6K</v>
      </c>
      <c r="AL710" t="str" cm="1">
        <f t="array" ref="AL710">_xlfn.IFS(
HR_Data[[#This Row],[YearsAtCompany]]&lt;2,"&lt;2 Years",
HR_Data[[#This Row],[YearsAtCompany]]&lt;5,"2-4 Years",
HR_Data[[#This Row],[YearsAtCompany]]&lt;10,"5-9 Years",
TRUE,"10+ Years"
)</f>
        <v>5-9 Years</v>
      </c>
      <c r="AM710" s="1">
        <f>IF(HR_Data[[#This Row],[Attrition]]="Yes",1,0)</f>
        <v>0</v>
      </c>
    </row>
    <row r="711" spans="1:39" x14ac:dyDescent="0.3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 cm="1">
        <f t="array" ref="AJ711">_xlfn.IFS(
HR_Data[[#This Row],[Age]]&lt;25,"Under 25",
HR_Data[[#This Row],[Age]]&lt;35,"25-34",
HR_Data[[#This Row],[Age]]&lt;45,"35-44",
HR_Data[[#This Row],[Age]]&lt;55,"45-54",
TRUE,"55+"
)</f>
        <v>25-34</v>
      </c>
      <c r="AK711" t="str" cm="1">
        <f t="array" ref="AK711">_xlfn.IFS(
HR_Data[[#This Row],[MonthlyIncome]]&lt;3000,"&lt;3K",
HR_Data[[#This Row],[MonthlyIncome]]&lt;6000,"3K-6K",
HR_Data[[#This Row],[MonthlyIncome]]&lt;10000,"6K-10K",
TRUE,"10K+"
)</f>
        <v>&lt;3K</v>
      </c>
      <c r="AL711" t="str" cm="1">
        <f t="array" ref="AL711">_xlfn.IFS(
HR_Data[[#This Row],[YearsAtCompany]]&lt;2,"&lt;2 Years",
HR_Data[[#This Row],[YearsAtCompany]]&lt;5,"2-4 Years",
HR_Data[[#This Row],[YearsAtCompany]]&lt;10,"5-9 Years",
TRUE,"10+ Years"
)</f>
        <v>2-4 Years</v>
      </c>
      <c r="AM711" s="1">
        <f>IF(HR_Data[[#This Row],[Attrition]]="Yes",1,0)</f>
        <v>1</v>
      </c>
    </row>
    <row r="712" spans="1:39" x14ac:dyDescent="0.3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 cm="1">
        <f t="array" ref="AJ712">_xlfn.IFS(
HR_Data[[#This Row],[Age]]&lt;25,"Under 25",
HR_Data[[#This Row],[Age]]&lt;35,"25-34",
HR_Data[[#This Row],[Age]]&lt;45,"35-44",
HR_Data[[#This Row],[Age]]&lt;55,"45-54",
TRUE,"55+"
)</f>
        <v>25-34</v>
      </c>
      <c r="AK712" t="str" cm="1">
        <f t="array" ref="AK712">_xlfn.IFS(
HR_Data[[#This Row],[MonthlyIncome]]&lt;3000,"&lt;3K",
HR_Data[[#This Row],[MonthlyIncome]]&lt;6000,"3K-6K",
HR_Data[[#This Row],[MonthlyIncome]]&lt;10000,"6K-10K",
TRUE,"10K+"
)</f>
        <v>10K+</v>
      </c>
      <c r="AL712" t="str" cm="1">
        <f t="array" ref="AL712">_xlfn.IFS(
HR_Data[[#This Row],[YearsAtCompany]]&lt;2,"&lt;2 Years",
HR_Data[[#This Row],[YearsAtCompany]]&lt;5,"2-4 Years",
HR_Data[[#This Row],[YearsAtCompany]]&lt;10,"5-9 Years",
TRUE,"10+ Years"
)</f>
        <v>10+ Years</v>
      </c>
      <c r="AM712" s="1">
        <f>IF(HR_Data[[#This Row],[Attrition]]="Yes",1,0)</f>
        <v>0</v>
      </c>
    </row>
    <row r="713" spans="1:39" x14ac:dyDescent="0.3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 cm="1">
        <f t="array" ref="AJ713">_xlfn.IFS(
HR_Data[[#This Row],[Age]]&lt;25,"Under 25",
HR_Data[[#This Row],[Age]]&lt;35,"25-34",
HR_Data[[#This Row],[Age]]&lt;45,"35-44",
HR_Data[[#This Row],[Age]]&lt;55,"45-54",
TRUE,"55+"
)</f>
        <v>25-34</v>
      </c>
      <c r="AK713" t="str" cm="1">
        <f t="array" ref="AK713">_xlfn.IFS(
HR_Data[[#This Row],[MonthlyIncome]]&lt;3000,"&lt;3K",
HR_Data[[#This Row],[MonthlyIncome]]&lt;6000,"3K-6K",
HR_Data[[#This Row],[MonthlyIncome]]&lt;10000,"6K-10K",
TRUE,"10K+"
)</f>
        <v>&lt;3K</v>
      </c>
      <c r="AL713" t="str" cm="1">
        <f t="array" ref="AL713">_xlfn.IFS(
HR_Data[[#This Row],[YearsAtCompany]]&lt;2,"&lt;2 Years",
HR_Data[[#This Row],[YearsAtCompany]]&lt;5,"2-4 Years",
HR_Data[[#This Row],[YearsAtCompany]]&lt;10,"5-9 Years",
TRUE,"10+ Years"
)</f>
        <v>&lt;2 Years</v>
      </c>
      <c r="AM713" s="1">
        <f>IF(HR_Data[[#This Row],[Attrition]]="Yes",1,0)</f>
        <v>1</v>
      </c>
    </row>
    <row r="714" spans="1:39" x14ac:dyDescent="0.3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 cm="1">
        <f t="array" ref="AJ714">_xlfn.IFS(
HR_Data[[#This Row],[Age]]&lt;25,"Under 25",
HR_Data[[#This Row],[Age]]&lt;35,"25-34",
HR_Data[[#This Row],[Age]]&lt;45,"35-44",
HR_Data[[#This Row],[Age]]&lt;55,"45-54",
TRUE,"55+"
)</f>
        <v>25-34</v>
      </c>
      <c r="AK714" t="str" cm="1">
        <f t="array" ref="AK714">_xlfn.IFS(
HR_Data[[#This Row],[MonthlyIncome]]&lt;3000,"&lt;3K",
HR_Data[[#This Row],[MonthlyIncome]]&lt;6000,"3K-6K",
HR_Data[[#This Row],[MonthlyIncome]]&lt;10000,"6K-10K",
TRUE,"10K+"
)</f>
        <v>3K-6K</v>
      </c>
      <c r="AL714" t="str" cm="1">
        <f t="array" ref="AL714">_xlfn.IFS(
HR_Data[[#This Row],[YearsAtCompany]]&lt;2,"&lt;2 Years",
HR_Data[[#This Row],[YearsAtCompany]]&lt;5,"2-4 Years",
HR_Data[[#This Row],[YearsAtCompany]]&lt;10,"5-9 Years",
TRUE,"10+ Years"
)</f>
        <v>2-4 Years</v>
      </c>
      <c r="AM714" s="1">
        <f>IF(HR_Data[[#This Row],[Attrition]]="Yes",1,0)</f>
        <v>0</v>
      </c>
    </row>
    <row r="715" spans="1:39" x14ac:dyDescent="0.3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 cm="1">
        <f t="array" ref="AJ715">_xlfn.IFS(
HR_Data[[#This Row],[Age]]&lt;25,"Under 25",
HR_Data[[#This Row],[Age]]&lt;35,"25-34",
HR_Data[[#This Row],[Age]]&lt;45,"35-44",
HR_Data[[#This Row],[Age]]&lt;55,"45-54",
TRUE,"55+"
)</f>
        <v>45-54</v>
      </c>
      <c r="AK715" t="str" cm="1">
        <f t="array" ref="AK715">_xlfn.IFS(
HR_Data[[#This Row],[MonthlyIncome]]&lt;3000,"&lt;3K",
HR_Data[[#This Row],[MonthlyIncome]]&lt;6000,"3K-6K",
HR_Data[[#This Row],[MonthlyIncome]]&lt;10000,"6K-10K",
TRUE,"10K+"
)</f>
        <v>&lt;3K</v>
      </c>
      <c r="AL715" t="str" cm="1">
        <f t="array" ref="AL715">_xlfn.IFS(
HR_Data[[#This Row],[YearsAtCompany]]&lt;2,"&lt;2 Years",
HR_Data[[#This Row],[YearsAtCompany]]&lt;5,"2-4 Years",
HR_Data[[#This Row],[YearsAtCompany]]&lt;10,"5-9 Years",
TRUE,"10+ Years"
)</f>
        <v>5-9 Years</v>
      </c>
      <c r="AM715" s="1">
        <f>IF(HR_Data[[#This Row],[Attrition]]="Yes",1,0)</f>
        <v>0</v>
      </c>
    </row>
    <row r="716" spans="1:39" x14ac:dyDescent="0.3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 cm="1">
        <f t="array" ref="AJ716">_xlfn.IFS(
HR_Data[[#This Row],[Age]]&lt;25,"Under 25",
HR_Data[[#This Row],[Age]]&lt;35,"25-34",
HR_Data[[#This Row],[Age]]&lt;45,"35-44",
HR_Data[[#This Row],[Age]]&lt;55,"45-54",
TRUE,"55+"
)</f>
        <v>45-54</v>
      </c>
      <c r="AK716" t="str" cm="1">
        <f t="array" ref="AK716">_xlfn.IFS(
HR_Data[[#This Row],[MonthlyIncome]]&lt;3000,"&lt;3K",
HR_Data[[#This Row],[MonthlyIncome]]&lt;6000,"3K-6K",
HR_Data[[#This Row],[MonthlyIncome]]&lt;10000,"6K-10K",
TRUE,"10K+"
)</f>
        <v>10K+</v>
      </c>
      <c r="AL716" t="str" cm="1">
        <f t="array" ref="AL716">_xlfn.IFS(
HR_Data[[#This Row],[YearsAtCompany]]&lt;2,"&lt;2 Years",
HR_Data[[#This Row],[YearsAtCompany]]&lt;5,"2-4 Years",
HR_Data[[#This Row],[YearsAtCompany]]&lt;10,"5-9 Years",
TRUE,"10+ Years"
)</f>
        <v>5-9 Years</v>
      </c>
      <c r="AM716" s="1">
        <f>IF(HR_Data[[#This Row],[Attrition]]="Yes",1,0)</f>
        <v>0</v>
      </c>
    </row>
    <row r="717" spans="1:39" x14ac:dyDescent="0.3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 cm="1">
        <f t="array" ref="AJ717">_xlfn.IFS(
HR_Data[[#This Row],[Age]]&lt;25,"Under 25",
HR_Data[[#This Row],[Age]]&lt;35,"25-34",
HR_Data[[#This Row],[Age]]&lt;45,"35-44",
HR_Data[[#This Row],[Age]]&lt;55,"45-54",
TRUE,"55+"
)</f>
        <v>25-34</v>
      </c>
      <c r="AK717" t="str" cm="1">
        <f t="array" ref="AK717">_xlfn.IFS(
HR_Data[[#This Row],[MonthlyIncome]]&lt;3000,"&lt;3K",
HR_Data[[#This Row],[MonthlyIncome]]&lt;6000,"3K-6K",
HR_Data[[#This Row],[MonthlyIncome]]&lt;10000,"6K-10K",
TRUE,"10K+"
)</f>
        <v>3K-6K</v>
      </c>
      <c r="AL717" t="str" cm="1">
        <f t="array" ref="AL717">_xlfn.IFS(
HR_Data[[#This Row],[YearsAtCompany]]&lt;2,"&lt;2 Years",
HR_Data[[#This Row],[YearsAtCompany]]&lt;5,"2-4 Years",
HR_Data[[#This Row],[YearsAtCompany]]&lt;10,"5-9 Years",
TRUE,"10+ Years"
)</f>
        <v>5-9 Years</v>
      </c>
      <c r="AM717" s="1">
        <f>IF(HR_Data[[#This Row],[Attrition]]="Yes",1,0)</f>
        <v>0</v>
      </c>
    </row>
    <row r="718" spans="1:39" x14ac:dyDescent="0.3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 cm="1">
        <f t="array" ref="AJ718">_xlfn.IFS(
HR_Data[[#This Row],[Age]]&lt;25,"Under 25",
HR_Data[[#This Row],[Age]]&lt;35,"25-34",
HR_Data[[#This Row],[Age]]&lt;45,"35-44",
HR_Data[[#This Row],[Age]]&lt;55,"45-54",
TRUE,"55+"
)</f>
        <v>35-44</v>
      </c>
      <c r="AK718" t="str" cm="1">
        <f t="array" ref="AK718">_xlfn.IFS(
HR_Data[[#This Row],[MonthlyIncome]]&lt;3000,"&lt;3K",
HR_Data[[#This Row],[MonthlyIncome]]&lt;6000,"3K-6K",
HR_Data[[#This Row],[MonthlyIncome]]&lt;10000,"6K-10K",
TRUE,"10K+"
)</f>
        <v>10K+</v>
      </c>
      <c r="AL718" t="str" cm="1">
        <f t="array" ref="AL718">_xlfn.IFS(
HR_Data[[#This Row],[YearsAtCompany]]&lt;2,"&lt;2 Years",
HR_Data[[#This Row],[YearsAtCompany]]&lt;5,"2-4 Years",
HR_Data[[#This Row],[YearsAtCompany]]&lt;10,"5-9 Years",
TRUE,"10+ Years"
)</f>
        <v>10+ Years</v>
      </c>
      <c r="AM718" s="1">
        <f>IF(HR_Data[[#This Row],[Attrition]]="Yes",1,0)</f>
        <v>0</v>
      </c>
    </row>
    <row r="719" spans="1:39" x14ac:dyDescent="0.3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 cm="1">
        <f t="array" ref="AJ719">_xlfn.IFS(
HR_Data[[#This Row],[Age]]&lt;25,"Under 25",
HR_Data[[#This Row],[Age]]&lt;35,"25-34",
HR_Data[[#This Row],[Age]]&lt;45,"35-44",
HR_Data[[#This Row],[Age]]&lt;55,"45-54",
TRUE,"55+"
)</f>
        <v>25-34</v>
      </c>
      <c r="AK719" t="str" cm="1">
        <f t="array" ref="AK719">_xlfn.IFS(
HR_Data[[#This Row],[MonthlyIncome]]&lt;3000,"&lt;3K",
HR_Data[[#This Row],[MonthlyIncome]]&lt;6000,"3K-6K",
HR_Data[[#This Row],[MonthlyIncome]]&lt;10000,"6K-10K",
TRUE,"10K+"
)</f>
        <v>&lt;3K</v>
      </c>
      <c r="AL719" t="str" cm="1">
        <f t="array" ref="AL719">_xlfn.IFS(
HR_Data[[#This Row],[YearsAtCompany]]&lt;2,"&lt;2 Years",
HR_Data[[#This Row],[YearsAtCompany]]&lt;5,"2-4 Years",
HR_Data[[#This Row],[YearsAtCompany]]&lt;10,"5-9 Years",
TRUE,"10+ Years"
)</f>
        <v>2-4 Years</v>
      </c>
      <c r="AM719" s="1">
        <f>IF(HR_Data[[#This Row],[Attrition]]="Yes",1,0)</f>
        <v>0</v>
      </c>
    </row>
    <row r="720" spans="1:39" x14ac:dyDescent="0.3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 cm="1">
        <f t="array" ref="AJ720">_xlfn.IFS(
HR_Data[[#This Row],[Age]]&lt;25,"Under 25",
HR_Data[[#This Row],[Age]]&lt;35,"25-34",
HR_Data[[#This Row],[Age]]&lt;45,"35-44",
HR_Data[[#This Row],[Age]]&lt;55,"45-54",
TRUE,"55+"
)</f>
        <v>45-54</v>
      </c>
      <c r="AK720" t="str" cm="1">
        <f t="array" ref="AK720">_xlfn.IFS(
HR_Data[[#This Row],[MonthlyIncome]]&lt;3000,"&lt;3K",
HR_Data[[#This Row],[MonthlyIncome]]&lt;6000,"3K-6K",
HR_Data[[#This Row],[MonthlyIncome]]&lt;10000,"6K-10K",
TRUE,"10K+"
)</f>
        <v>3K-6K</v>
      </c>
      <c r="AL720" t="str" cm="1">
        <f t="array" ref="AL720">_xlfn.IFS(
HR_Data[[#This Row],[YearsAtCompany]]&lt;2,"&lt;2 Years",
HR_Data[[#This Row],[YearsAtCompany]]&lt;5,"2-4 Years",
HR_Data[[#This Row],[YearsAtCompany]]&lt;10,"5-9 Years",
TRUE,"10+ Years"
)</f>
        <v>5-9 Years</v>
      </c>
      <c r="AM720" s="1">
        <f>IF(HR_Data[[#This Row],[Attrition]]="Yes",1,0)</f>
        <v>0</v>
      </c>
    </row>
    <row r="721" spans="1:39" x14ac:dyDescent="0.3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 cm="1">
        <f t="array" ref="AJ721">_xlfn.IFS(
HR_Data[[#This Row],[Age]]&lt;25,"Under 25",
HR_Data[[#This Row],[Age]]&lt;35,"25-34",
HR_Data[[#This Row],[Age]]&lt;45,"35-44",
HR_Data[[#This Row],[Age]]&lt;55,"45-54",
TRUE,"55+"
)</f>
        <v>45-54</v>
      </c>
      <c r="AK721" t="str" cm="1">
        <f t="array" ref="AK721">_xlfn.IFS(
HR_Data[[#This Row],[MonthlyIncome]]&lt;3000,"&lt;3K",
HR_Data[[#This Row],[MonthlyIncome]]&lt;6000,"3K-6K",
HR_Data[[#This Row],[MonthlyIncome]]&lt;10000,"6K-10K",
TRUE,"10K+"
)</f>
        <v>3K-6K</v>
      </c>
      <c r="AL721" t="str" cm="1">
        <f t="array" ref="AL721">_xlfn.IFS(
HR_Data[[#This Row],[YearsAtCompany]]&lt;2,"&lt;2 Years",
HR_Data[[#This Row],[YearsAtCompany]]&lt;5,"2-4 Years",
HR_Data[[#This Row],[YearsAtCompany]]&lt;10,"5-9 Years",
TRUE,"10+ Years"
)</f>
        <v>5-9 Years</v>
      </c>
      <c r="AM721" s="1">
        <f>IF(HR_Data[[#This Row],[Attrition]]="Yes",1,0)</f>
        <v>0</v>
      </c>
    </row>
    <row r="722" spans="1:39" x14ac:dyDescent="0.3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 cm="1">
        <f t="array" ref="AJ722">_xlfn.IFS(
HR_Data[[#This Row],[Age]]&lt;25,"Under 25",
HR_Data[[#This Row],[Age]]&lt;35,"25-34",
HR_Data[[#This Row],[Age]]&lt;45,"35-44",
HR_Data[[#This Row],[Age]]&lt;55,"45-54",
TRUE,"55+"
)</f>
        <v>25-34</v>
      </c>
      <c r="AK722" t="str" cm="1">
        <f t="array" ref="AK722">_xlfn.IFS(
HR_Data[[#This Row],[MonthlyIncome]]&lt;3000,"&lt;3K",
HR_Data[[#This Row],[MonthlyIncome]]&lt;6000,"3K-6K",
HR_Data[[#This Row],[MonthlyIncome]]&lt;10000,"6K-10K",
TRUE,"10K+"
)</f>
        <v>&lt;3K</v>
      </c>
      <c r="AL722" t="str" cm="1">
        <f t="array" ref="AL722">_xlfn.IFS(
HR_Data[[#This Row],[YearsAtCompany]]&lt;2,"&lt;2 Years",
HR_Data[[#This Row],[YearsAtCompany]]&lt;5,"2-4 Years",
HR_Data[[#This Row],[YearsAtCompany]]&lt;10,"5-9 Years",
TRUE,"10+ Years"
)</f>
        <v>5-9 Years</v>
      </c>
      <c r="AM722" s="1">
        <f>IF(HR_Data[[#This Row],[Attrition]]="Yes",1,0)</f>
        <v>1</v>
      </c>
    </row>
    <row r="723" spans="1:39" x14ac:dyDescent="0.3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 cm="1">
        <f t="array" ref="AJ723">_xlfn.IFS(
HR_Data[[#This Row],[Age]]&lt;25,"Under 25",
HR_Data[[#This Row],[Age]]&lt;35,"25-34",
HR_Data[[#This Row],[Age]]&lt;45,"35-44",
HR_Data[[#This Row],[Age]]&lt;55,"45-54",
TRUE,"55+"
)</f>
        <v>45-54</v>
      </c>
      <c r="AK723" t="str" cm="1">
        <f t="array" ref="AK723">_xlfn.IFS(
HR_Data[[#This Row],[MonthlyIncome]]&lt;3000,"&lt;3K",
HR_Data[[#This Row],[MonthlyIncome]]&lt;6000,"3K-6K",
HR_Data[[#This Row],[MonthlyIncome]]&lt;10000,"6K-10K",
TRUE,"10K+"
)</f>
        <v>10K+</v>
      </c>
      <c r="AL723" t="str" cm="1">
        <f t="array" ref="AL723">_xlfn.IFS(
HR_Data[[#This Row],[YearsAtCompany]]&lt;2,"&lt;2 Years",
HR_Data[[#This Row],[YearsAtCompany]]&lt;5,"2-4 Years",
HR_Data[[#This Row],[YearsAtCompany]]&lt;10,"5-9 Years",
TRUE,"10+ Years"
)</f>
        <v>10+ Years</v>
      </c>
      <c r="AM723" s="1">
        <f>IF(HR_Data[[#This Row],[Attrition]]="Yes",1,0)</f>
        <v>0</v>
      </c>
    </row>
    <row r="724" spans="1:39" x14ac:dyDescent="0.3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 cm="1">
        <f t="array" ref="AJ724">_xlfn.IFS(
HR_Data[[#This Row],[Age]]&lt;25,"Under 25",
HR_Data[[#This Row],[Age]]&lt;35,"25-34",
HR_Data[[#This Row],[Age]]&lt;45,"35-44",
HR_Data[[#This Row],[Age]]&lt;55,"45-54",
TRUE,"55+"
)</f>
        <v>35-44</v>
      </c>
      <c r="AK724" t="str" cm="1">
        <f t="array" ref="AK724">_xlfn.IFS(
HR_Data[[#This Row],[MonthlyIncome]]&lt;3000,"&lt;3K",
HR_Data[[#This Row],[MonthlyIncome]]&lt;6000,"3K-6K",
HR_Data[[#This Row],[MonthlyIncome]]&lt;10000,"6K-10K",
TRUE,"10K+"
)</f>
        <v>&lt;3K</v>
      </c>
      <c r="AL724" t="str" cm="1">
        <f t="array" ref="AL724">_xlfn.IFS(
HR_Data[[#This Row],[YearsAtCompany]]&lt;2,"&lt;2 Years",
HR_Data[[#This Row],[YearsAtCompany]]&lt;5,"2-4 Years",
HR_Data[[#This Row],[YearsAtCompany]]&lt;10,"5-9 Years",
TRUE,"10+ Years"
)</f>
        <v>2-4 Years</v>
      </c>
      <c r="AM724" s="1">
        <f>IF(HR_Data[[#This Row],[Attrition]]="Yes",1,0)</f>
        <v>0</v>
      </c>
    </row>
    <row r="725" spans="1:39" x14ac:dyDescent="0.3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 cm="1">
        <f t="array" ref="AJ725">_xlfn.IFS(
HR_Data[[#This Row],[Age]]&lt;25,"Under 25",
HR_Data[[#This Row],[Age]]&lt;35,"25-34",
HR_Data[[#This Row],[Age]]&lt;45,"35-44",
HR_Data[[#This Row],[Age]]&lt;55,"45-54",
TRUE,"55+"
)</f>
        <v>45-54</v>
      </c>
      <c r="AK725" t="str" cm="1">
        <f t="array" ref="AK725">_xlfn.IFS(
HR_Data[[#This Row],[MonthlyIncome]]&lt;3000,"&lt;3K",
HR_Data[[#This Row],[MonthlyIncome]]&lt;6000,"3K-6K",
HR_Data[[#This Row],[MonthlyIncome]]&lt;10000,"6K-10K",
TRUE,"10K+"
)</f>
        <v>10K+</v>
      </c>
      <c r="AL725" t="str" cm="1">
        <f t="array" ref="AL725">_xlfn.IFS(
HR_Data[[#This Row],[YearsAtCompany]]&lt;2,"&lt;2 Years",
HR_Data[[#This Row],[YearsAtCompany]]&lt;5,"2-4 Years",
HR_Data[[#This Row],[YearsAtCompany]]&lt;10,"5-9 Years",
TRUE,"10+ Years"
)</f>
        <v>5-9 Years</v>
      </c>
      <c r="AM725" s="1">
        <f>IF(HR_Data[[#This Row],[Attrition]]="Yes",1,0)</f>
        <v>0</v>
      </c>
    </row>
    <row r="726" spans="1:39" x14ac:dyDescent="0.3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 cm="1">
        <f t="array" ref="AJ726">_xlfn.IFS(
HR_Data[[#This Row],[Age]]&lt;25,"Under 25",
HR_Data[[#This Row],[Age]]&lt;35,"25-34",
HR_Data[[#This Row],[Age]]&lt;45,"35-44",
HR_Data[[#This Row],[Age]]&lt;55,"45-54",
TRUE,"55+"
)</f>
        <v>Under 25</v>
      </c>
      <c r="AK726" t="str" cm="1">
        <f t="array" ref="AK726">_xlfn.IFS(
HR_Data[[#This Row],[MonthlyIncome]]&lt;3000,"&lt;3K",
HR_Data[[#This Row],[MonthlyIncome]]&lt;6000,"3K-6K",
HR_Data[[#This Row],[MonthlyIncome]]&lt;10000,"6K-10K",
TRUE,"10K+"
)</f>
        <v>3K-6K</v>
      </c>
      <c r="AL726" t="str" cm="1">
        <f t="array" ref="AL726">_xlfn.IFS(
HR_Data[[#This Row],[YearsAtCompany]]&lt;2,"&lt;2 Years",
HR_Data[[#This Row],[YearsAtCompany]]&lt;5,"2-4 Years",
HR_Data[[#This Row],[YearsAtCompany]]&lt;10,"5-9 Years",
TRUE,"10+ Years"
)</f>
        <v>2-4 Years</v>
      </c>
      <c r="AM726" s="1">
        <f>IF(HR_Data[[#This Row],[Attrition]]="Yes",1,0)</f>
        <v>0</v>
      </c>
    </row>
    <row r="727" spans="1:39" x14ac:dyDescent="0.3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 cm="1">
        <f t="array" ref="AJ727">_xlfn.IFS(
HR_Data[[#This Row],[Age]]&lt;25,"Under 25",
HR_Data[[#This Row],[Age]]&lt;35,"25-34",
HR_Data[[#This Row],[Age]]&lt;45,"35-44",
HR_Data[[#This Row],[Age]]&lt;55,"45-54",
TRUE,"55+"
)</f>
        <v>35-44</v>
      </c>
      <c r="AK727" t="str" cm="1">
        <f t="array" ref="AK727">_xlfn.IFS(
HR_Data[[#This Row],[MonthlyIncome]]&lt;3000,"&lt;3K",
HR_Data[[#This Row],[MonthlyIncome]]&lt;6000,"3K-6K",
HR_Data[[#This Row],[MonthlyIncome]]&lt;10000,"6K-10K",
TRUE,"10K+"
)</f>
        <v>3K-6K</v>
      </c>
      <c r="AL727" t="str" cm="1">
        <f t="array" ref="AL727">_xlfn.IFS(
HR_Data[[#This Row],[YearsAtCompany]]&lt;2,"&lt;2 Years",
HR_Data[[#This Row],[YearsAtCompany]]&lt;5,"2-4 Years",
HR_Data[[#This Row],[YearsAtCompany]]&lt;10,"5-9 Years",
TRUE,"10+ Years"
)</f>
        <v>2-4 Years</v>
      </c>
      <c r="AM727" s="1">
        <f>IF(HR_Data[[#This Row],[Attrition]]="Yes",1,0)</f>
        <v>1</v>
      </c>
    </row>
    <row r="728" spans="1:39" x14ac:dyDescent="0.3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 cm="1">
        <f t="array" ref="AJ728">_xlfn.IFS(
HR_Data[[#This Row],[Age]]&lt;25,"Under 25",
HR_Data[[#This Row],[Age]]&lt;35,"25-34",
HR_Data[[#This Row],[Age]]&lt;45,"35-44",
HR_Data[[#This Row],[Age]]&lt;55,"45-54",
TRUE,"55+"
)</f>
        <v>25-34</v>
      </c>
      <c r="AK728" t="str" cm="1">
        <f t="array" ref="AK728">_xlfn.IFS(
HR_Data[[#This Row],[MonthlyIncome]]&lt;3000,"&lt;3K",
HR_Data[[#This Row],[MonthlyIncome]]&lt;6000,"3K-6K",
HR_Data[[#This Row],[MonthlyIncome]]&lt;10000,"6K-10K",
TRUE,"10K+"
)</f>
        <v>3K-6K</v>
      </c>
      <c r="AL728" t="str" cm="1">
        <f t="array" ref="AL728">_xlfn.IFS(
HR_Data[[#This Row],[YearsAtCompany]]&lt;2,"&lt;2 Years",
HR_Data[[#This Row],[YearsAtCompany]]&lt;5,"2-4 Years",
HR_Data[[#This Row],[YearsAtCompany]]&lt;10,"5-9 Years",
TRUE,"10+ Years"
)</f>
        <v>2-4 Years</v>
      </c>
      <c r="AM728" s="1">
        <f>IF(HR_Data[[#This Row],[Attrition]]="Yes",1,0)</f>
        <v>0</v>
      </c>
    </row>
    <row r="729" spans="1:39" x14ac:dyDescent="0.3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 cm="1">
        <f t="array" ref="AJ729">_xlfn.IFS(
HR_Data[[#This Row],[Age]]&lt;25,"Under 25",
HR_Data[[#This Row],[Age]]&lt;35,"25-34",
HR_Data[[#This Row],[Age]]&lt;45,"35-44",
HR_Data[[#This Row],[Age]]&lt;55,"45-54",
TRUE,"55+"
)</f>
        <v>Under 25</v>
      </c>
      <c r="AK729" t="str" cm="1">
        <f t="array" ref="AK729">_xlfn.IFS(
HR_Data[[#This Row],[MonthlyIncome]]&lt;3000,"&lt;3K",
HR_Data[[#This Row],[MonthlyIncome]]&lt;6000,"3K-6K",
HR_Data[[#This Row],[MonthlyIncome]]&lt;10000,"6K-10K",
TRUE,"10K+"
)</f>
        <v>&lt;3K</v>
      </c>
      <c r="AL729" t="str" cm="1">
        <f t="array" ref="AL729">_xlfn.IFS(
HR_Data[[#This Row],[YearsAtCompany]]&lt;2,"&lt;2 Years",
HR_Data[[#This Row],[YearsAtCompany]]&lt;5,"2-4 Years",
HR_Data[[#This Row],[YearsAtCompany]]&lt;10,"5-9 Years",
TRUE,"10+ Years"
)</f>
        <v>&lt;2 Years</v>
      </c>
      <c r="AM729" s="1">
        <f>IF(HR_Data[[#This Row],[Attrition]]="Yes",1,0)</f>
        <v>0</v>
      </c>
    </row>
    <row r="730" spans="1:39" x14ac:dyDescent="0.3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 cm="1">
        <f t="array" ref="AJ730">_xlfn.IFS(
HR_Data[[#This Row],[Age]]&lt;25,"Under 25",
HR_Data[[#This Row],[Age]]&lt;35,"25-34",
HR_Data[[#This Row],[Age]]&lt;45,"35-44",
HR_Data[[#This Row],[Age]]&lt;55,"45-54",
TRUE,"55+"
)</f>
        <v>45-54</v>
      </c>
      <c r="AK730" t="str" cm="1">
        <f t="array" ref="AK730">_xlfn.IFS(
HR_Data[[#This Row],[MonthlyIncome]]&lt;3000,"&lt;3K",
HR_Data[[#This Row],[MonthlyIncome]]&lt;6000,"3K-6K",
HR_Data[[#This Row],[MonthlyIncome]]&lt;10000,"6K-10K",
TRUE,"10K+"
)</f>
        <v>10K+</v>
      </c>
      <c r="AL730" t="str" cm="1">
        <f t="array" ref="AL730">_xlfn.IFS(
HR_Data[[#This Row],[YearsAtCompany]]&lt;2,"&lt;2 Years",
HR_Data[[#This Row],[YearsAtCompany]]&lt;5,"2-4 Years",
HR_Data[[#This Row],[YearsAtCompany]]&lt;10,"5-9 Years",
TRUE,"10+ Years"
)</f>
        <v>10+ Years</v>
      </c>
      <c r="AM730" s="1">
        <f>IF(HR_Data[[#This Row],[Attrition]]="Yes",1,0)</f>
        <v>0</v>
      </c>
    </row>
    <row r="731" spans="1:39" x14ac:dyDescent="0.3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 cm="1">
        <f t="array" ref="AJ731">_xlfn.IFS(
HR_Data[[#This Row],[Age]]&lt;25,"Under 25",
HR_Data[[#This Row],[Age]]&lt;35,"25-34",
HR_Data[[#This Row],[Age]]&lt;45,"35-44",
HR_Data[[#This Row],[Age]]&lt;55,"45-54",
TRUE,"55+"
)</f>
        <v>35-44</v>
      </c>
      <c r="AK731" t="str" cm="1">
        <f t="array" ref="AK731">_xlfn.IFS(
HR_Data[[#This Row],[MonthlyIncome]]&lt;3000,"&lt;3K",
HR_Data[[#This Row],[MonthlyIncome]]&lt;6000,"3K-6K",
HR_Data[[#This Row],[MonthlyIncome]]&lt;10000,"6K-10K",
TRUE,"10K+"
)</f>
        <v>10K+</v>
      </c>
      <c r="AL731" t="str" cm="1">
        <f t="array" ref="AL731">_xlfn.IFS(
HR_Data[[#This Row],[YearsAtCompany]]&lt;2,"&lt;2 Years",
HR_Data[[#This Row],[YearsAtCompany]]&lt;5,"2-4 Years",
HR_Data[[#This Row],[YearsAtCompany]]&lt;10,"5-9 Years",
TRUE,"10+ Years"
)</f>
        <v>10+ Years</v>
      </c>
      <c r="AM731" s="1">
        <f>IF(HR_Data[[#This Row],[Attrition]]="Yes",1,0)</f>
        <v>0</v>
      </c>
    </row>
    <row r="732" spans="1:39" x14ac:dyDescent="0.3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 cm="1">
        <f t="array" ref="AJ732">_xlfn.IFS(
HR_Data[[#This Row],[Age]]&lt;25,"Under 25",
HR_Data[[#This Row],[Age]]&lt;35,"25-34",
HR_Data[[#This Row],[Age]]&lt;45,"35-44",
HR_Data[[#This Row],[Age]]&lt;55,"45-54",
TRUE,"55+"
)</f>
        <v>25-34</v>
      </c>
      <c r="AK732" t="str" cm="1">
        <f t="array" ref="AK732">_xlfn.IFS(
HR_Data[[#This Row],[MonthlyIncome]]&lt;3000,"&lt;3K",
HR_Data[[#This Row],[MonthlyIncome]]&lt;6000,"3K-6K",
HR_Data[[#This Row],[MonthlyIncome]]&lt;10000,"6K-10K",
TRUE,"10K+"
)</f>
        <v>10K+</v>
      </c>
      <c r="AL732" t="str" cm="1">
        <f t="array" ref="AL732">_xlfn.IFS(
HR_Data[[#This Row],[YearsAtCompany]]&lt;2,"&lt;2 Years",
HR_Data[[#This Row],[YearsAtCompany]]&lt;5,"2-4 Years",
HR_Data[[#This Row],[YearsAtCompany]]&lt;10,"5-9 Years",
TRUE,"10+ Years"
)</f>
        <v>5-9 Years</v>
      </c>
      <c r="AM732" s="1">
        <f>IF(HR_Data[[#This Row],[Attrition]]="Yes",1,0)</f>
        <v>0</v>
      </c>
    </row>
    <row r="733" spans="1:39" x14ac:dyDescent="0.3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 cm="1">
        <f t="array" ref="AJ733">_xlfn.IFS(
HR_Data[[#This Row],[Age]]&lt;25,"Under 25",
HR_Data[[#This Row],[Age]]&lt;35,"25-34",
HR_Data[[#This Row],[Age]]&lt;45,"35-44",
HR_Data[[#This Row],[Age]]&lt;55,"45-54",
TRUE,"55+"
)</f>
        <v>Under 25</v>
      </c>
      <c r="AK733" t="str" cm="1">
        <f t="array" ref="AK733">_xlfn.IFS(
HR_Data[[#This Row],[MonthlyIncome]]&lt;3000,"&lt;3K",
HR_Data[[#This Row],[MonthlyIncome]]&lt;6000,"3K-6K",
HR_Data[[#This Row],[MonthlyIncome]]&lt;10000,"6K-10K",
TRUE,"10K+"
)</f>
        <v>&lt;3K</v>
      </c>
      <c r="AL733" t="str" cm="1">
        <f t="array" ref="AL733">_xlfn.IFS(
HR_Data[[#This Row],[YearsAtCompany]]&lt;2,"&lt;2 Years",
HR_Data[[#This Row],[YearsAtCompany]]&lt;5,"2-4 Years",
HR_Data[[#This Row],[YearsAtCompany]]&lt;10,"5-9 Years",
TRUE,"10+ Years"
)</f>
        <v>&lt;2 Years</v>
      </c>
      <c r="AM733" s="1">
        <f>IF(HR_Data[[#This Row],[Attrition]]="Yes",1,0)</f>
        <v>1</v>
      </c>
    </row>
    <row r="734" spans="1:39" x14ac:dyDescent="0.3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 cm="1">
        <f t="array" ref="AJ734">_xlfn.IFS(
HR_Data[[#This Row],[Age]]&lt;25,"Under 25",
HR_Data[[#This Row],[Age]]&lt;35,"25-34",
HR_Data[[#This Row],[Age]]&lt;45,"35-44",
HR_Data[[#This Row],[Age]]&lt;55,"45-54",
TRUE,"55+"
)</f>
        <v>25-34</v>
      </c>
      <c r="AK734" t="str" cm="1">
        <f t="array" ref="AK734">_xlfn.IFS(
HR_Data[[#This Row],[MonthlyIncome]]&lt;3000,"&lt;3K",
HR_Data[[#This Row],[MonthlyIncome]]&lt;6000,"3K-6K",
HR_Data[[#This Row],[MonthlyIncome]]&lt;10000,"6K-10K",
TRUE,"10K+"
)</f>
        <v>&lt;3K</v>
      </c>
      <c r="AL734" t="str" cm="1">
        <f t="array" ref="AL734">_xlfn.IFS(
HR_Data[[#This Row],[YearsAtCompany]]&lt;2,"&lt;2 Years",
HR_Data[[#This Row],[YearsAtCompany]]&lt;5,"2-4 Years",
HR_Data[[#This Row],[YearsAtCompany]]&lt;10,"5-9 Years",
TRUE,"10+ Years"
)</f>
        <v>2-4 Years</v>
      </c>
      <c r="AM734" s="1">
        <f>IF(HR_Data[[#This Row],[Attrition]]="Yes",1,0)</f>
        <v>1</v>
      </c>
    </row>
    <row r="735" spans="1:39" x14ac:dyDescent="0.3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 cm="1">
        <f t="array" ref="AJ735">_xlfn.IFS(
HR_Data[[#This Row],[Age]]&lt;25,"Under 25",
HR_Data[[#This Row],[Age]]&lt;35,"25-34",
HR_Data[[#This Row],[Age]]&lt;45,"35-44",
HR_Data[[#This Row],[Age]]&lt;55,"45-54",
TRUE,"55+"
)</f>
        <v>25-34</v>
      </c>
      <c r="AK735" t="str" cm="1">
        <f t="array" ref="AK735">_xlfn.IFS(
HR_Data[[#This Row],[MonthlyIncome]]&lt;3000,"&lt;3K",
HR_Data[[#This Row],[MonthlyIncome]]&lt;6000,"3K-6K",
HR_Data[[#This Row],[MonthlyIncome]]&lt;10000,"6K-10K",
TRUE,"10K+"
)</f>
        <v>3K-6K</v>
      </c>
      <c r="AL735" t="str" cm="1">
        <f t="array" ref="AL735">_xlfn.IFS(
HR_Data[[#This Row],[YearsAtCompany]]&lt;2,"&lt;2 Years",
HR_Data[[#This Row],[YearsAtCompany]]&lt;5,"2-4 Years",
HR_Data[[#This Row],[YearsAtCompany]]&lt;10,"5-9 Years",
TRUE,"10+ Years"
)</f>
        <v>5-9 Years</v>
      </c>
      <c r="AM735" s="1">
        <f>IF(HR_Data[[#This Row],[Attrition]]="Yes",1,0)</f>
        <v>0</v>
      </c>
    </row>
    <row r="736" spans="1:39" x14ac:dyDescent="0.3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 cm="1">
        <f t="array" ref="AJ736">_xlfn.IFS(
HR_Data[[#This Row],[Age]]&lt;25,"Under 25",
HR_Data[[#This Row],[Age]]&lt;35,"25-34",
HR_Data[[#This Row],[Age]]&lt;45,"35-44",
HR_Data[[#This Row],[Age]]&lt;55,"45-54",
TRUE,"55+"
)</f>
        <v>Under 25</v>
      </c>
      <c r="AK736" t="str" cm="1">
        <f t="array" ref="AK736">_xlfn.IFS(
HR_Data[[#This Row],[MonthlyIncome]]&lt;3000,"&lt;3K",
HR_Data[[#This Row],[MonthlyIncome]]&lt;6000,"3K-6K",
HR_Data[[#This Row],[MonthlyIncome]]&lt;10000,"6K-10K",
TRUE,"10K+"
)</f>
        <v>&lt;3K</v>
      </c>
      <c r="AL736" t="str" cm="1">
        <f t="array" ref="AL736">_xlfn.IFS(
HR_Data[[#This Row],[YearsAtCompany]]&lt;2,"&lt;2 Years",
HR_Data[[#This Row],[YearsAtCompany]]&lt;5,"2-4 Years",
HR_Data[[#This Row],[YearsAtCompany]]&lt;10,"5-9 Years",
TRUE,"10+ Years"
)</f>
        <v>2-4 Years</v>
      </c>
      <c r="AM736" s="1">
        <f>IF(HR_Data[[#This Row],[Attrition]]="Yes",1,0)</f>
        <v>0</v>
      </c>
    </row>
    <row r="737" spans="1:39" x14ac:dyDescent="0.3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 cm="1">
        <f t="array" ref="AJ737">_xlfn.IFS(
HR_Data[[#This Row],[Age]]&lt;25,"Under 25",
HR_Data[[#This Row],[Age]]&lt;35,"25-34",
HR_Data[[#This Row],[Age]]&lt;45,"35-44",
HR_Data[[#This Row],[Age]]&lt;55,"45-54",
TRUE,"55+"
)</f>
        <v>45-54</v>
      </c>
      <c r="AK737" t="str" cm="1">
        <f t="array" ref="AK737">_xlfn.IFS(
HR_Data[[#This Row],[MonthlyIncome]]&lt;3000,"&lt;3K",
HR_Data[[#This Row],[MonthlyIncome]]&lt;6000,"3K-6K",
HR_Data[[#This Row],[MonthlyIncome]]&lt;10000,"6K-10K",
TRUE,"10K+"
)</f>
        <v>3K-6K</v>
      </c>
      <c r="AL737" t="str" cm="1">
        <f t="array" ref="AL737">_xlfn.IFS(
HR_Data[[#This Row],[YearsAtCompany]]&lt;2,"&lt;2 Years",
HR_Data[[#This Row],[YearsAtCompany]]&lt;5,"2-4 Years",
HR_Data[[#This Row],[YearsAtCompany]]&lt;10,"5-9 Years",
TRUE,"10+ Years"
)</f>
        <v>2-4 Years</v>
      </c>
      <c r="AM737" s="1">
        <f>IF(HR_Data[[#This Row],[Attrition]]="Yes",1,0)</f>
        <v>0</v>
      </c>
    </row>
    <row r="738" spans="1:39" x14ac:dyDescent="0.3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 cm="1">
        <f t="array" ref="AJ738">_xlfn.IFS(
HR_Data[[#This Row],[Age]]&lt;25,"Under 25",
HR_Data[[#This Row],[Age]]&lt;35,"25-34",
HR_Data[[#This Row],[Age]]&lt;45,"35-44",
HR_Data[[#This Row],[Age]]&lt;55,"45-54",
TRUE,"55+"
)</f>
        <v>45-54</v>
      </c>
      <c r="AK738" t="str" cm="1">
        <f t="array" ref="AK738">_xlfn.IFS(
HR_Data[[#This Row],[MonthlyIncome]]&lt;3000,"&lt;3K",
HR_Data[[#This Row],[MonthlyIncome]]&lt;6000,"3K-6K",
HR_Data[[#This Row],[MonthlyIncome]]&lt;10000,"6K-10K",
TRUE,"10K+"
)</f>
        <v>10K+</v>
      </c>
      <c r="AL738" t="str" cm="1">
        <f t="array" ref="AL738">_xlfn.IFS(
HR_Data[[#This Row],[YearsAtCompany]]&lt;2,"&lt;2 Years",
HR_Data[[#This Row],[YearsAtCompany]]&lt;5,"2-4 Years",
HR_Data[[#This Row],[YearsAtCompany]]&lt;10,"5-9 Years",
TRUE,"10+ Years"
)</f>
        <v>10+ Years</v>
      </c>
      <c r="AM738" s="1">
        <f>IF(HR_Data[[#This Row],[Attrition]]="Yes",1,0)</f>
        <v>0</v>
      </c>
    </row>
    <row r="739" spans="1:39" x14ac:dyDescent="0.3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 cm="1">
        <f t="array" ref="AJ739">_xlfn.IFS(
HR_Data[[#This Row],[Age]]&lt;25,"Under 25",
HR_Data[[#This Row],[Age]]&lt;35,"25-34",
HR_Data[[#This Row],[Age]]&lt;45,"35-44",
HR_Data[[#This Row],[Age]]&lt;55,"45-54",
TRUE,"55+"
)</f>
        <v>35-44</v>
      </c>
      <c r="AK739" t="str" cm="1">
        <f t="array" ref="AK739">_xlfn.IFS(
HR_Data[[#This Row],[MonthlyIncome]]&lt;3000,"&lt;3K",
HR_Data[[#This Row],[MonthlyIncome]]&lt;6000,"3K-6K",
HR_Data[[#This Row],[MonthlyIncome]]&lt;10000,"6K-10K",
TRUE,"10K+"
)</f>
        <v>3K-6K</v>
      </c>
      <c r="AL739" t="str" cm="1">
        <f t="array" ref="AL739">_xlfn.IFS(
HR_Data[[#This Row],[YearsAtCompany]]&lt;2,"&lt;2 Years",
HR_Data[[#This Row],[YearsAtCompany]]&lt;5,"2-4 Years",
HR_Data[[#This Row],[YearsAtCompany]]&lt;10,"5-9 Years",
TRUE,"10+ Years"
)</f>
        <v>2-4 Years</v>
      </c>
      <c r="AM739" s="1">
        <f>IF(HR_Data[[#This Row],[Attrition]]="Yes",1,0)</f>
        <v>0</v>
      </c>
    </row>
    <row r="740" spans="1:39" x14ac:dyDescent="0.3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 cm="1">
        <f t="array" ref="AJ740">_xlfn.IFS(
HR_Data[[#This Row],[Age]]&lt;25,"Under 25",
HR_Data[[#This Row],[Age]]&lt;35,"25-34",
HR_Data[[#This Row],[Age]]&lt;45,"35-44",
HR_Data[[#This Row],[Age]]&lt;55,"45-54",
TRUE,"55+"
)</f>
        <v>35-44</v>
      </c>
      <c r="AK740" t="str" cm="1">
        <f t="array" ref="AK740">_xlfn.IFS(
HR_Data[[#This Row],[MonthlyIncome]]&lt;3000,"&lt;3K",
HR_Data[[#This Row],[MonthlyIncome]]&lt;6000,"3K-6K",
HR_Data[[#This Row],[MonthlyIncome]]&lt;10000,"6K-10K",
TRUE,"10K+"
)</f>
        <v>10K+</v>
      </c>
      <c r="AL740" t="str" cm="1">
        <f t="array" ref="AL740">_xlfn.IFS(
HR_Data[[#This Row],[YearsAtCompany]]&lt;2,"&lt;2 Years",
HR_Data[[#This Row],[YearsAtCompany]]&lt;5,"2-4 Years",
HR_Data[[#This Row],[YearsAtCompany]]&lt;10,"5-9 Years",
TRUE,"10+ Years"
)</f>
        <v>10+ Years</v>
      </c>
      <c r="AM740" s="1">
        <f>IF(HR_Data[[#This Row],[Attrition]]="Yes",1,0)</f>
        <v>0</v>
      </c>
    </row>
    <row r="741" spans="1:39" x14ac:dyDescent="0.3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 cm="1">
        <f t="array" ref="AJ741">_xlfn.IFS(
HR_Data[[#This Row],[Age]]&lt;25,"Under 25",
HR_Data[[#This Row],[Age]]&lt;35,"25-34",
HR_Data[[#This Row],[Age]]&lt;45,"35-44",
HR_Data[[#This Row],[Age]]&lt;55,"45-54",
TRUE,"55+"
)</f>
        <v>25-34</v>
      </c>
      <c r="AK741" t="str" cm="1">
        <f t="array" ref="AK741">_xlfn.IFS(
HR_Data[[#This Row],[MonthlyIncome]]&lt;3000,"&lt;3K",
HR_Data[[#This Row],[MonthlyIncome]]&lt;6000,"3K-6K",
HR_Data[[#This Row],[MonthlyIncome]]&lt;10000,"6K-10K",
TRUE,"10K+"
)</f>
        <v>3K-6K</v>
      </c>
      <c r="AL741" t="str" cm="1">
        <f t="array" ref="AL741">_xlfn.IFS(
HR_Data[[#This Row],[YearsAtCompany]]&lt;2,"&lt;2 Years",
HR_Data[[#This Row],[YearsAtCompany]]&lt;5,"2-4 Years",
HR_Data[[#This Row],[YearsAtCompany]]&lt;10,"5-9 Years",
TRUE,"10+ Years"
)</f>
        <v>2-4 Years</v>
      </c>
      <c r="AM741" s="1">
        <f>IF(HR_Data[[#This Row],[Attrition]]="Yes",1,0)</f>
        <v>0</v>
      </c>
    </row>
    <row r="742" spans="1:39" x14ac:dyDescent="0.3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 cm="1">
        <f t="array" ref="AJ742">_xlfn.IFS(
HR_Data[[#This Row],[Age]]&lt;25,"Under 25",
HR_Data[[#This Row],[Age]]&lt;35,"25-34",
HR_Data[[#This Row],[Age]]&lt;45,"35-44",
HR_Data[[#This Row],[Age]]&lt;55,"45-54",
TRUE,"55+"
)</f>
        <v>35-44</v>
      </c>
      <c r="AK742" t="str" cm="1">
        <f t="array" ref="AK742">_xlfn.IFS(
HR_Data[[#This Row],[MonthlyIncome]]&lt;3000,"&lt;3K",
HR_Data[[#This Row],[MonthlyIncome]]&lt;6000,"3K-6K",
HR_Data[[#This Row],[MonthlyIncome]]&lt;10000,"6K-10K",
TRUE,"10K+"
)</f>
        <v>3K-6K</v>
      </c>
      <c r="AL742" t="str" cm="1">
        <f t="array" ref="AL742">_xlfn.IFS(
HR_Data[[#This Row],[YearsAtCompany]]&lt;2,"&lt;2 Years",
HR_Data[[#This Row],[YearsAtCompany]]&lt;5,"2-4 Years",
HR_Data[[#This Row],[YearsAtCompany]]&lt;10,"5-9 Years",
TRUE,"10+ Years"
)</f>
        <v>2-4 Years</v>
      </c>
      <c r="AM742" s="1">
        <f>IF(HR_Data[[#This Row],[Attrition]]="Yes",1,0)</f>
        <v>0</v>
      </c>
    </row>
    <row r="743" spans="1:39" x14ac:dyDescent="0.3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 cm="1">
        <f t="array" ref="AJ743">_xlfn.IFS(
HR_Data[[#This Row],[Age]]&lt;25,"Under 25",
HR_Data[[#This Row],[Age]]&lt;35,"25-34",
HR_Data[[#This Row],[Age]]&lt;45,"35-44",
HR_Data[[#This Row],[Age]]&lt;55,"45-54",
TRUE,"55+"
)</f>
        <v>35-44</v>
      </c>
      <c r="AK743" t="str" cm="1">
        <f t="array" ref="AK743">_xlfn.IFS(
HR_Data[[#This Row],[MonthlyIncome]]&lt;3000,"&lt;3K",
HR_Data[[#This Row],[MonthlyIncome]]&lt;6000,"3K-6K",
HR_Data[[#This Row],[MonthlyIncome]]&lt;10000,"6K-10K",
TRUE,"10K+"
)</f>
        <v>10K+</v>
      </c>
      <c r="AL743" t="str" cm="1">
        <f t="array" ref="AL743">_xlfn.IFS(
HR_Data[[#This Row],[YearsAtCompany]]&lt;2,"&lt;2 Years",
HR_Data[[#This Row],[YearsAtCompany]]&lt;5,"2-4 Years",
HR_Data[[#This Row],[YearsAtCompany]]&lt;10,"5-9 Years",
TRUE,"10+ Years"
)</f>
        <v>&lt;2 Years</v>
      </c>
      <c r="AM743" s="1">
        <f>IF(HR_Data[[#This Row],[Attrition]]="Yes",1,0)</f>
        <v>0</v>
      </c>
    </row>
    <row r="744" spans="1:39" x14ac:dyDescent="0.3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 cm="1">
        <f t="array" ref="AJ744">_xlfn.IFS(
HR_Data[[#This Row],[Age]]&lt;25,"Under 25",
HR_Data[[#This Row],[Age]]&lt;35,"25-34",
HR_Data[[#This Row],[Age]]&lt;45,"35-44",
HR_Data[[#This Row],[Age]]&lt;55,"45-54",
TRUE,"55+"
)</f>
        <v>45-54</v>
      </c>
      <c r="AK744" t="str" cm="1">
        <f t="array" ref="AK744">_xlfn.IFS(
HR_Data[[#This Row],[MonthlyIncome]]&lt;3000,"&lt;3K",
HR_Data[[#This Row],[MonthlyIncome]]&lt;6000,"3K-6K",
HR_Data[[#This Row],[MonthlyIncome]]&lt;10000,"6K-10K",
TRUE,"10K+"
)</f>
        <v>&lt;3K</v>
      </c>
      <c r="AL744" t="str" cm="1">
        <f t="array" ref="AL744">_xlfn.IFS(
HR_Data[[#This Row],[YearsAtCompany]]&lt;2,"&lt;2 Years",
HR_Data[[#This Row],[YearsAtCompany]]&lt;5,"2-4 Years",
HR_Data[[#This Row],[YearsAtCompany]]&lt;10,"5-9 Years",
TRUE,"10+ Years"
)</f>
        <v>&lt;2 Years</v>
      </c>
      <c r="AM744" s="1">
        <f>IF(HR_Data[[#This Row],[Attrition]]="Yes",1,0)</f>
        <v>0</v>
      </c>
    </row>
    <row r="745" spans="1:39" x14ac:dyDescent="0.3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 cm="1">
        <f t="array" ref="AJ745">_xlfn.IFS(
HR_Data[[#This Row],[Age]]&lt;25,"Under 25",
HR_Data[[#This Row],[Age]]&lt;35,"25-34",
HR_Data[[#This Row],[Age]]&lt;45,"35-44",
HR_Data[[#This Row],[Age]]&lt;55,"45-54",
TRUE,"55+"
)</f>
        <v>55+</v>
      </c>
      <c r="AK745" t="str" cm="1">
        <f t="array" ref="AK745">_xlfn.IFS(
HR_Data[[#This Row],[MonthlyIncome]]&lt;3000,"&lt;3K",
HR_Data[[#This Row],[MonthlyIncome]]&lt;6000,"3K-6K",
HR_Data[[#This Row],[MonthlyIncome]]&lt;10000,"6K-10K",
TRUE,"10K+"
)</f>
        <v>10K+</v>
      </c>
      <c r="AL745" t="str" cm="1">
        <f t="array" ref="AL745">_xlfn.IFS(
HR_Data[[#This Row],[YearsAtCompany]]&lt;2,"&lt;2 Years",
HR_Data[[#This Row],[YearsAtCompany]]&lt;5,"2-4 Years",
HR_Data[[#This Row],[YearsAtCompany]]&lt;10,"5-9 Years",
TRUE,"10+ Years"
)</f>
        <v>5-9 Years</v>
      </c>
      <c r="AM745" s="1">
        <f>IF(HR_Data[[#This Row],[Attrition]]="Yes",1,0)</f>
        <v>0</v>
      </c>
    </row>
    <row r="746" spans="1:39" x14ac:dyDescent="0.3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 cm="1">
        <f t="array" ref="AJ746">_xlfn.IFS(
HR_Data[[#This Row],[Age]]&lt;25,"Under 25",
HR_Data[[#This Row],[Age]]&lt;35,"25-34",
HR_Data[[#This Row],[Age]]&lt;45,"35-44",
HR_Data[[#This Row],[Age]]&lt;55,"45-54",
TRUE,"55+"
)</f>
        <v>35-44</v>
      </c>
      <c r="AK746" t="str" cm="1">
        <f t="array" ref="AK746">_xlfn.IFS(
HR_Data[[#This Row],[MonthlyIncome]]&lt;3000,"&lt;3K",
HR_Data[[#This Row],[MonthlyIncome]]&lt;6000,"3K-6K",
HR_Data[[#This Row],[MonthlyIncome]]&lt;10000,"6K-10K",
TRUE,"10K+"
)</f>
        <v>3K-6K</v>
      </c>
      <c r="AL746" t="str" cm="1">
        <f t="array" ref="AL746">_xlfn.IFS(
HR_Data[[#This Row],[YearsAtCompany]]&lt;2,"&lt;2 Years",
HR_Data[[#This Row],[YearsAtCompany]]&lt;5,"2-4 Years",
HR_Data[[#This Row],[YearsAtCompany]]&lt;10,"5-9 Years",
TRUE,"10+ Years"
)</f>
        <v>&lt;2 Years</v>
      </c>
      <c r="AM746" s="1">
        <f>IF(HR_Data[[#This Row],[Attrition]]="Yes",1,0)</f>
        <v>1</v>
      </c>
    </row>
    <row r="747" spans="1:39" x14ac:dyDescent="0.3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 cm="1">
        <f t="array" ref="AJ747">_xlfn.IFS(
HR_Data[[#This Row],[Age]]&lt;25,"Under 25",
HR_Data[[#This Row],[Age]]&lt;35,"25-34",
HR_Data[[#This Row],[Age]]&lt;45,"35-44",
HR_Data[[#This Row],[Age]]&lt;55,"45-54",
TRUE,"55+"
)</f>
        <v>55+</v>
      </c>
      <c r="AK747" t="str" cm="1">
        <f t="array" ref="AK747">_xlfn.IFS(
HR_Data[[#This Row],[MonthlyIncome]]&lt;3000,"&lt;3K",
HR_Data[[#This Row],[MonthlyIncome]]&lt;6000,"3K-6K",
HR_Data[[#This Row],[MonthlyIncome]]&lt;10000,"6K-10K",
TRUE,"10K+"
)</f>
        <v>6K-10K</v>
      </c>
      <c r="AL747" t="str" cm="1">
        <f t="array" ref="AL747">_xlfn.IFS(
HR_Data[[#This Row],[YearsAtCompany]]&lt;2,"&lt;2 Years",
HR_Data[[#This Row],[YearsAtCompany]]&lt;5,"2-4 Years",
HR_Data[[#This Row],[YearsAtCompany]]&lt;10,"5-9 Years",
TRUE,"10+ Years"
)</f>
        <v>5-9 Years</v>
      </c>
      <c r="AM747" s="1">
        <f>IF(HR_Data[[#This Row],[Attrition]]="Yes",1,0)</f>
        <v>0</v>
      </c>
    </row>
    <row r="748" spans="1:39" x14ac:dyDescent="0.3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 cm="1">
        <f t="array" ref="AJ748">_xlfn.IFS(
HR_Data[[#This Row],[Age]]&lt;25,"Under 25",
HR_Data[[#This Row],[Age]]&lt;35,"25-34",
HR_Data[[#This Row],[Age]]&lt;45,"35-44",
HR_Data[[#This Row],[Age]]&lt;55,"45-54",
TRUE,"55+"
)</f>
        <v>35-44</v>
      </c>
      <c r="AK748" t="str" cm="1">
        <f t="array" ref="AK748">_xlfn.IFS(
HR_Data[[#This Row],[MonthlyIncome]]&lt;3000,"&lt;3K",
HR_Data[[#This Row],[MonthlyIncome]]&lt;6000,"3K-6K",
HR_Data[[#This Row],[MonthlyIncome]]&lt;10000,"6K-10K",
TRUE,"10K+"
)</f>
        <v>10K+</v>
      </c>
      <c r="AL748" t="str" cm="1">
        <f t="array" ref="AL748">_xlfn.IFS(
HR_Data[[#This Row],[YearsAtCompany]]&lt;2,"&lt;2 Years",
HR_Data[[#This Row],[YearsAtCompany]]&lt;5,"2-4 Years",
HR_Data[[#This Row],[YearsAtCompany]]&lt;10,"5-9 Years",
TRUE,"10+ Years"
)</f>
        <v>10+ Years</v>
      </c>
      <c r="AM748" s="1">
        <f>IF(HR_Data[[#This Row],[Attrition]]="Yes",1,0)</f>
        <v>0</v>
      </c>
    </row>
    <row r="749" spans="1:39" x14ac:dyDescent="0.3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 cm="1">
        <f t="array" ref="AJ749">_xlfn.IFS(
HR_Data[[#This Row],[Age]]&lt;25,"Under 25",
HR_Data[[#This Row],[Age]]&lt;35,"25-34",
HR_Data[[#This Row],[Age]]&lt;45,"35-44",
HR_Data[[#This Row],[Age]]&lt;55,"45-54",
TRUE,"55+"
)</f>
        <v>35-44</v>
      </c>
      <c r="AK749" t="str" cm="1">
        <f t="array" ref="AK749">_xlfn.IFS(
HR_Data[[#This Row],[MonthlyIncome]]&lt;3000,"&lt;3K",
HR_Data[[#This Row],[MonthlyIncome]]&lt;6000,"3K-6K",
HR_Data[[#This Row],[MonthlyIncome]]&lt;10000,"6K-10K",
TRUE,"10K+"
)</f>
        <v>6K-10K</v>
      </c>
      <c r="AL749" t="str" cm="1">
        <f t="array" ref="AL749">_xlfn.IFS(
HR_Data[[#This Row],[YearsAtCompany]]&lt;2,"&lt;2 Years",
HR_Data[[#This Row],[YearsAtCompany]]&lt;5,"2-4 Years",
HR_Data[[#This Row],[YearsAtCompany]]&lt;10,"5-9 Years",
TRUE,"10+ Years"
)</f>
        <v>&lt;2 Years</v>
      </c>
      <c r="AM749" s="1">
        <f>IF(HR_Data[[#This Row],[Attrition]]="Yes",1,0)</f>
        <v>0</v>
      </c>
    </row>
    <row r="750" spans="1:39" x14ac:dyDescent="0.3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 cm="1">
        <f t="array" ref="AJ750">_xlfn.IFS(
HR_Data[[#This Row],[Age]]&lt;25,"Under 25",
HR_Data[[#This Row],[Age]]&lt;35,"25-34",
HR_Data[[#This Row],[Age]]&lt;45,"35-44",
HR_Data[[#This Row],[Age]]&lt;55,"45-54",
TRUE,"55+"
)</f>
        <v>25-34</v>
      </c>
      <c r="AK750" t="str" cm="1">
        <f t="array" ref="AK750">_xlfn.IFS(
HR_Data[[#This Row],[MonthlyIncome]]&lt;3000,"&lt;3K",
HR_Data[[#This Row],[MonthlyIncome]]&lt;6000,"3K-6K",
HR_Data[[#This Row],[MonthlyIncome]]&lt;10000,"6K-10K",
TRUE,"10K+"
)</f>
        <v>3K-6K</v>
      </c>
      <c r="AL750" t="str" cm="1">
        <f t="array" ref="AL750">_xlfn.IFS(
HR_Data[[#This Row],[YearsAtCompany]]&lt;2,"&lt;2 Years",
HR_Data[[#This Row],[YearsAtCompany]]&lt;5,"2-4 Years",
HR_Data[[#This Row],[YearsAtCompany]]&lt;10,"5-9 Years",
TRUE,"10+ Years"
)</f>
        <v>2-4 Years</v>
      </c>
      <c r="AM750" s="1">
        <f>IF(HR_Data[[#This Row],[Attrition]]="Yes",1,0)</f>
        <v>1</v>
      </c>
    </row>
    <row r="751" spans="1:39" x14ac:dyDescent="0.3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 cm="1">
        <f t="array" ref="AJ751">_xlfn.IFS(
HR_Data[[#This Row],[Age]]&lt;25,"Under 25",
HR_Data[[#This Row],[Age]]&lt;35,"25-34",
HR_Data[[#This Row],[Age]]&lt;45,"35-44",
HR_Data[[#This Row],[Age]]&lt;55,"45-54",
TRUE,"55+"
)</f>
        <v>45-54</v>
      </c>
      <c r="AK751" t="str" cm="1">
        <f t="array" ref="AK751">_xlfn.IFS(
HR_Data[[#This Row],[MonthlyIncome]]&lt;3000,"&lt;3K",
HR_Data[[#This Row],[MonthlyIncome]]&lt;6000,"3K-6K",
HR_Data[[#This Row],[MonthlyIncome]]&lt;10000,"6K-10K",
TRUE,"10K+"
)</f>
        <v>10K+</v>
      </c>
      <c r="AL751" t="str" cm="1">
        <f t="array" ref="AL751">_xlfn.IFS(
HR_Data[[#This Row],[YearsAtCompany]]&lt;2,"&lt;2 Years",
HR_Data[[#This Row],[YearsAtCompany]]&lt;5,"2-4 Years",
HR_Data[[#This Row],[YearsAtCompany]]&lt;10,"5-9 Years",
TRUE,"10+ Years"
)</f>
        <v>10+ Years</v>
      </c>
      <c r="AM751" s="1">
        <f>IF(HR_Data[[#This Row],[Attrition]]="Yes",1,0)</f>
        <v>1</v>
      </c>
    </row>
    <row r="752" spans="1:39" x14ac:dyDescent="0.3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 cm="1">
        <f t="array" ref="AJ752">_xlfn.IFS(
HR_Data[[#This Row],[Age]]&lt;25,"Under 25",
HR_Data[[#This Row],[Age]]&lt;35,"25-34",
HR_Data[[#This Row],[Age]]&lt;45,"35-44",
HR_Data[[#This Row],[Age]]&lt;55,"45-54",
TRUE,"55+"
)</f>
        <v>35-44</v>
      </c>
      <c r="AK752" t="str" cm="1">
        <f t="array" ref="AK752">_xlfn.IFS(
HR_Data[[#This Row],[MonthlyIncome]]&lt;3000,"&lt;3K",
HR_Data[[#This Row],[MonthlyIncome]]&lt;6000,"3K-6K",
HR_Data[[#This Row],[MonthlyIncome]]&lt;10000,"6K-10K",
TRUE,"10K+"
)</f>
        <v>10K+</v>
      </c>
      <c r="AL752" t="str" cm="1">
        <f t="array" ref="AL752">_xlfn.IFS(
HR_Data[[#This Row],[YearsAtCompany]]&lt;2,"&lt;2 Years",
HR_Data[[#This Row],[YearsAtCompany]]&lt;5,"2-4 Years",
HR_Data[[#This Row],[YearsAtCompany]]&lt;10,"5-9 Years",
TRUE,"10+ Years"
)</f>
        <v>10+ Years</v>
      </c>
      <c r="AM752" s="1">
        <f>IF(HR_Data[[#This Row],[Attrition]]="Yes",1,0)</f>
        <v>0</v>
      </c>
    </row>
    <row r="753" spans="1:39" x14ac:dyDescent="0.3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 cm="1">
        <f t="array" ref="AJ753">_xlfn.IFS(
HR_Data[[#This Row],[Age]]&lt;25,"Under 25",
HR_Data[[#This Row],[Age]]&lt;35,"25-34",
HR_Data[[#This Row],[Age]]&lt;45,"35-44",
HR_Data[[#This Row],[Age]]&lt;55,"45-54",
TRUE,"55+"
)</f>
        <v>45-54</v>
      </c>
      <c r="AK753" t="str" cm="1">
        <f t="array" ref="AK753">_xlfn.IFS(
HR_Data[[#This Row],[MonthlyIncome]]&lt;3000,"&lt;3K",
HR_Data[[#This Row],[MonthlyIncome]]&lt;6000,"3K-6K",
HR_Data[[#This Row],[MonthlyIncome]]&lt;10000,"6K-10K",
TRUE,"10K+"
)</f>
        <v>6K-10K</v>
      </c>
      <c r="AL753" t="str" cm="1">
        <f t="array" ref="AL753">_xlfn.IFS(
HR_Data[[#This Row],[YearsAtCompany]]&lt;2,"&lt;2 Years",
HR_Data[[#This Row],[YearsAtCompany]]&lt;5,"2-4 Years",
HR_Data[[#This Row],[YearsAtCompany]]&lt;10,"5-9 Years",
TRUE,"10+ Years"
)</f>
        <v>10+ Years</v>
      </c>
      <c r="AM753" s="1">
        <f>IF(HR_Data[[#This Row],[Attrition]]="Yes",1,0)</f>
        <v>0</v>
      </c>
    </row>
    <row r="754" spans="1:39" x14ac:dyDescent="0.3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 cm="1">
        <f t="array" ref="AJ754">_xlfn.IFS(
HR_Data[[#This Row],[Age]]&lt;25,"Under 25",
HR_Data[[#This Row],[Age]]&lt;35,"25-34",
HR_Data[[#This Row],[Age]]&lt;45,"35-44",
HR_Data[[#This Row],[Age]]&lt;55,"45-54",
TRUE,"55+"
)</f>
        <v>35-44</v>
      </c>
      <c r="AK754" t="str" cm="1">
        <f t="array" ref="AK754">_xlfn.IFS(
HR_Data[[#This Row],[MonthlyIncome]]&lt;3000,"&lt;3K",
HR_Data[[#This Row],[MonthlyIncome]]&lt;6000,"3K-6K",
HR_Data[[#This Row],[MonthlyIncome]]&lt;10000,"6K-10K",
TRUE,"10K+"
)</f>
        <v>&lt;3K</v>
      </c>
      <c r="AL754" t="str" cm="1">
        <f t="array" ref="AL754">_xlfn.IFS(
HR_Data[[#This Row],[YearsAtCompany]]&lt;2,"&lt;2 Years",
HR_Data[[#This Row],[YearsAtCompany]]&lt;5,"2-4 Years",
HR_Data[[#This Row],[YearsAtCompany]]&lt;10,"5-9 Years",
TRUE,"10+ Years"
)</f>
        <v>10+ Years</v>
      </c>
      <c r="AM754" s="1">
        <f>IF(HR_Data[[#This Row],[Attrition]]="Yes",1,0)</f>
        <v>1</v>
      </c>
    </row>
    <row r="755" spans="1:39" x14ac:dyDescent="0.3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 cm="1">
        <f t="array" ref="AJ755">_xlfn.IFS(
HR_Data[[#This Row],[Age]]&lt;25,"Under 25",
HR_Data[[#This Row],[Age]]&lt;35,"25-34",
HR_Data[[#This Row],[Age]]&lt;45,"35-44",
HR_Data[[#This Row],[Age]]&lt;55,"45-54",
TRUE,"55+"
)</f>
        <v>35-44</v>
      </c>
      <c r="AK755" t="str" cm="1">
        <f t="array" ref="AK755">_xlfn.IFS(
HR_Data[[#This Row],[MonthlyIncome]]&lt;3000,"&lt;3K",
HR_Data[[#This Row],[MonthlyIncome]]&lt;6000,"3K-6K",
HR_Data[[#This Row],[MonthlyIncome]]&lt;10000,"6K-10K",
TRUE,"10K+"
)</f>
        <v>10K+</v>
      </c>
      <c r="AL755" t="str" cm="1">
        <f t="array" ref="AL755">_xlfn.IFS(
HR_Data[[#This Row],[YearsAtCompany]]&lt;2,"&lt;2 Years",
HR_Data[[#This Row],[YearsAtCompany]]&lt;5,"2-4 Years",
HR_Data[[#This Row],[YearsAtCompany]]&lt;10,"5-9 Years",
TRUE,"10+ Years"
)</f>
        <v>10+ Years</v>
      </c>
      <c r="AM755" s="1">
        <f>IF(HR_Data[[#This Row],[Attrition]]="Yes",1,0)</f>
        <v>0</v>
      </c>
    </row>
    <row r="756" spans="1:39" x14ac:dyDescent="0.3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 cm="1">
        <f t="array" ref="AJ756">_xlfn.IFS(
HR_Data[[#This Row],[Age]]&lt;25,"Under 25",
HR_Data[[#This Row],[Age]]&lt;35,"25-34",
HR_Data[[#This Row],[Age]]&lt;45,"35-44",
HR_Data[[#This Row],[Age]]&lt;55,"45-54",
TRUE,"55+"
)</f>
        <v>25-34</v>
      </c>
      <c r="AK756" t="str" cm="1">
        <f t="array" ref="AK756">_xlfn.IFS(
HR_Data[[#This Row],[MonthlyIncome]]&lt;3000,"&lt;3K",
HR_Data[[#This Row],[MonthlyIncome]]&lt;6000,"3K-6K",
HR_Data[[#This Row],[MonthlyIncome]]&lt;10000,"6K-10K",
TRUE,"10K+"
)</f>
        <v>&lt;3K</v>
      </c>
      <c r="AL756" t="str" cm="1">
        <f t="array" ref="AL756">_xlfn.IFS(
HR_Data[[#This Row],[YearsAtCompany]]&lt;2,"&lt;2 Years",
HR_Data[[#This Row],[YearsAtCompany]]&lt;5,"2-4 Years",
HR_Data[[#This Row],[YearsAtCompany]]&lt;10,"5-9 Years",
TRUE,"10+ Years"
)</f>
        <v>2-4 Years</v>
      </c>
      <c r="AM756" s="1">
        <f>IF(HR_Data[[#This Row],[Attrition]]="Yes",1,0)</f>
        <v>0</v>
      </c>
    </row>
    <row r="757" spans="1:39" x14ac:dyDescent="0.3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 cm="1">
        <f t="array" ref="AJ757">_xlfn.IFS(
HR_Data[[#This Row],[Age]]&lt;25,"Under 25",
HR_Data[[#This Row],[Age]]&lt;35,"25-34",
HR_Data[[#This Row],[Age]]&lt;45,"35-44",
HR_Data[[#This Row],[Age]]&lt;55,"45-54",
TRUE,"55+"
)</f>
        <v>45-54</v>
      </c>
      <c r="AK757" t="str" cm="1">
        <f t="array" ref="AK757">_xlfn.IFS(
HR_Data[[#This Row],[MonthlyIncome]]&lt;3000,"&lt;3K",
HR_Data[[#This Row],[MonthlyIncome]]&lt;6000,"3K-6K",
HR_Data[[#This Row],[MonthlyIncome]]&lt;10000,"6K-10K",
TRUE,"10K+"
)</f>
        <v>10K+</v>
      </c>
      <c r="AL757" t="str" cm="1">
        <f t="array" ref="AL757">_xlfn.IFS(
HR_Data[[#This Row],[YearsAtCompany]]&lt;2,"&lt;2 Years",
HR_Data[[#This Row],[YearsAtCompany]]&lt;5,"2-4 Years",
HR_Data[[#This Row],[YearsAtCompany]]&lt;10,"5-9 Years",
TRUE,"10+ Years"
)</f>
        <v>5-9 Years</v>
      </c>
      <c r="AM757" s="1">
        <f>IF(HR_Data[[#This Row],[Attrition]]="Yes",1,0)</f>
        <v>0</v>
      </c>
    </row>
    <row r="758" spans="1:39" x14ac:dyDescent="0.3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 cm="1">
        <f t="array" ref="AJ758">_xlfn.IFS(
HR_Data[[#This Row],[Age]]&lt;25,"Under 25",
HR_Data[[#This Row],[Age]]&lt;35,"25-34",
HR_Data[[#This Row],[Age]]&lt;45,"35-44",
HR_Data[[#This Row],[Age]]&lt;55,"45-54",
TRUE,"55+"
)</f>
        <v>25-34</v>
      </c>
      <c r="AK758" t="str" cm="1">
        <f t="array" ref="AK758">_xlfn.IFS(
HR_Data[[#This Row],[MonthlyIncome]]&lt;3000,"&lt;3K",
HR_Data[[#This Row],[MonthlyIncome]]&lt;6000,"3K-6K",
HR_Data[[#This Row],[MonthlyIncome]]&lt;10000,"6K-10K",
TRUE,"10K+"
)</f>
        <v>3K-6K</v>
      </c>
      <c r="AL758" t="str" cm="1">
        <f t="array" ref="AL758">_xlfn.IFS(
HR_Data[[#This Row],[YearsAtCompany]]&lt;2,"&lt;2 Years",
HR_Data[[#This Row],[YearsAtCompany]]&lt;5,"2-4 Years",
HR_Data[[#This Row],[YearsAtCompany]]&lt;10,"5-9 Years",
TRUE,"10+ Years"
)</f>
        <v>5-9 Years</v>
      </c>
      <c r="AM758" s="1">
        <f>IF(HR_Data[[#This Row],[Attrition]]="Yes",1,0)</f>
        <v>0</v>
      </c>
    </row>
    <row r="759" spans="1:39" x14ac:dyDescent="0.3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 cm="1">
        <f t="array" ref="AJ759">_xlfn.IFS(
HR_Data[[#This Row],[Age]]&lt;25,"Under 25",
HR_Data[[#This Row],[Age]]&lt;35,"25-34",
HR_Data[[#This Row],[Age]]&lt;45,"35-44",
HR_Data[[#This Row],[Age]]&lt;55,"45-54",
TRUE,"55+"
)</f>
        <v>25-34</v>
      </c>
      <c r="AK759" t="str" cm="1">
        <f t="array" ref="AK759">_xlfn.IFS(
HR_Data[[#This Row],[MonthlyIncome]]&lt;3000,"&lt;3K",
HR_Data[[#This Row],[MonthlyIncome]]&lt;6000,"3K-6K",
HR_Data[[#This Row],[MonthlyIncome]]&lt;10000,"6K-10K",
TRUE,"10K+"
)</f>
        <v>6K-10K</v>
      </c>
      <c r="AL759" t="str" cm="1">
        <f t="array" ref="AL759">_xlfn.IFS(
HR_Data[[#This Row],[YearsAtCompany]]&lt;2,"&lt;2 Years",
HR_Data[[#This Row],[YearsAtCompany]]&lt;5,"2-4 Years",
HR_Data[[#This Row],[YearsAtCompany]]&lt;10,"5-9 Years",
TRUE,"10+ Years"
)</f>
        <v>10+ Years</v>
      </c>
      <c r="AM759" s="1">
        <f>IF(HR_Data[[#This Row],[Attrition]]="Yes",1,0)</f>
        <v>0</v>
      </c>
    </row>
    <row r="760" spans="1:39" x14ac:dyDescent="0.3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 cm="1">
        <f t="array" ref="AJ760">_xlfn.IFS(
HR_Data[[#This Row],[Age]]&lt;25,"Under 25",
HR_Data[[#This Row],[Age]]&lt;35,"25-34",
HR_Data[[#This Row],[Age]]&lt;45,"35-44",
HR_Data[[#This Row],[Age]]&lt;55,"45-54",
TRUE,"55+"
)</f>
        <v>55+</v>
      </c>
      <c r="AK760" t="str" cm="1">
        <f t="array" ref="AK760">_xlfn.IFS(
HR_Data[[#This Row],[MonthlyIncome]]&lt;3000,"&lt;3K",
HR_Data[[#This Row],[MonthlyIncome]]&lt;6000,"3K-6K",
HR_Data[[#This Row],[MonthlyIncome]]&lt;10000,"6K-10K",
TRUE,"10K+"
)</f>
        <v>10K+</v>
      </c>
      <c r="AL760" t="str" cm="1">
        <f t="array" ref="AL760">_xlfn.IFS(
HR_Data[[#This Row],[YearsAtCompany]]&lt;2,"&lt;2 Years",
HR_Data[[#This Row],[YearsAtCompany]]&lt;5,"2-4 Years",
HR_Data[[#This Row],[YearsAtCompany]]&lt;10,"5-9 Years",
TRUE,"10+ Years"
)</f>
        <v>5-9 Years</v>
      </c>
      <c r="AM760" s="1">
        <f>IF(HR_Data[[#This Row],[Attrition]]="Yes",1,0)</f>
        <v>0</v>
      </c>
    </row>
    <row r="761" spans="1:39" x14ac:dyDescent="0.3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 cm="1">
        <f t="array" ref="AJ761">_xlfn.IFS(
HR_Data[[#This Row],[Age]]&lt;25,"Under 25",
HR_Data[[#This Row],[Age]]&lt;35,"25-34",
HR_Data[[#This Row],[Age]]&lt;45,"35-44",
HR_Data[[#This Row],[Age]]&lt;55,"45-54",
TRUE,"55+"
)</f>
        <v>45-54</v>
      </c>
      <c r="AK761" t="str" cm="1">
        <f t="array" ref="AK761">_xlfn.IFS(
HR_Data[[#This Row],[MonthlyIncome]]&lt;3000,"&lt;3K",
HR_Data[[#This Row],[MonthlyIncome]]&lt;6000,"3K-6K",
HR_Data[[#This Row],[MonthlyIncome]]&lt;10000,"6K-10K",
TRUE,"10K+"
)</f>
        <v>&lt;3K</v>
      </c>
      <c r="AL761" t="str" cm="1">
        <f t="array" ref="AL761">_xlfn.IFS(
HR_Data[[#This Row],[YearsAtCompany]]&lt;2,"&lt;2 Years",
HR_Data[[#This Row],[YearsAtCompany]]&lt;5,"2-4 Years",
HR_Data[[#This Row],[YearsAtCompany]]&lt;10,"5-9 Years",
TRUE,"10+ Years"
)</f>
        <v>5-9 Years</v>
      </c>
      <c r="AM761" s="1">
        <f>IF(HR_Data[[#This Row],[Attrition]]="Yes",1,0)</f>
        <v>0</v>
      </c>
    </row>
    <row r="762" spans="1:39" x14ac:dyDescent="0.3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 cm="1">
        <f t="array" ref="AJ762">_xlfn.IFS(
HR_Data[[#This Row],[Age]]&lt;25,"Under 25",
HR_Data[[#This Row],[Age]]&lt;35,"25-34",
HR_Data[[#This Row],[Age]]&lt;45,"35-44",
HR_Data[[#This Row],[Age]]&lt;55,"45-54",
TRUE,"55+"
)</f>
        <v>45-54</v>
      </c>
      <c r="AK762" t="str" cm="1">
        <f t="array" ref="AK762">_xlfn.IFS(
HR_Data[[#This Row],[MonthlyIncome]]&lt;3000,"&lt;3K",
HR_Data[[#This Row],[MonthlyIncome]]&lt;6000,"3K-6K",
HR_Data[[#This Row],[MonthlyIncome]]&lt;10000,"6K-10K",
TRUE,"10K+"
)</f>
        <v>6K-10K</v>
      </c>
      <c r="AL762" t="str" cm="1">
        <f t="array" ref="AL762">_xlfn.IFS(
HR_Data[[#This Row],[YearsAtCompany]]&lt;2,"&lt;2 Years",
HR_Data[[#This Row],[YearsAtCompany]]&lt;5,"2-4 Years",
HR_Data[[#This Row],[YearsAtCompany]]&lt;10,"5-9 Years",
TRUE,"10+ Years"
)</f>
        <v>10+ Years</v>
      </c>
      <c r="AM762" s="1">
        <f>IF(HR_Data[[#This Row],[Attrition]]="Yes",1,0)</f>
        <v>0</v>
      </c>
    </row>
    <row r="763" spans="1:39" x14ac:dyDescent="0.3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 cm="1">
        <f t="array" ref="AJ763">_xlfn.IFS(
HR_Data[[#This Row],[Age]]&lt;25,"Under 25",
HR_Data[[#This Row],[Age]]&lt;35,"25-34",
HR_Data[[#This Row],[Age]]&lt;45,"35-44",
HR_Data[[#This Row],[Age]]&lt;55,"45-54",
TRUE,"55+"
)</f>
        <v>35-44</v>
      </c>
      <c r="AK763" t="str" cm="1">
        <f t="array" ref="AK763">_xlfn.IFS(
HR_Data[[#This Row],[MonthlyIncome]]&lt;3000,"&lt;3K",
HR_Data[[#This Row],[MonthlyIncome]]&lt;6000,"3K-6K",
HR_Data[[#This Row],[MonthlyIncome]]&lt;10000,"6K-10K",
TRUE,"10K+"
)</f>
        <v>3K-6K</v>
      </c>
      <c r="AL763" t="str" cm="1">
        <f t="array" ref="AL763">_xlfn.IFS(
HR_Data[[#This Row],[YearsAtCompany]]&lt;2,"&lt;2 Years",
HR_Data[[#This Row],[YearsAtCompany]]&lt;5,"2-4 Years",
HR_Data[[#This Row],[YearsAtCompany]]&lt;10,"5-9 Years",
TRUE,"10+ Years"
)</f>
        <v>&lt;2 Years</v>
      </c>
      <c r="AM763" s="1">
        <f>IF(HR_Data[[#This Row],[Attrition]]="Yes",1,0)</f>
        <v>1</v>
      </c>
    </row>
    <row r="764" spans="1:39" x14ac:dyDescent="0.3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 cm="1">
        <f t="array" ref="AJ764">_xlfn.IFS(
HR_Data[[#This Row],[Age]]&lt;25,"Under 25",
HR_Data[[#This Row],[Age]]&lt;35,"25-34",
HR_Data[[#This Row],[Age]]&lt;45,"35-44",
HR_Data[[#This Row],[Age]]&lt;55,"45-54",
TRUE,"55+"
)</f>
        <v>25-34</v>
      </c>
      <c r="AK764" t="str" cm="1">
        <f t="array" ref="AK764">_xlfn.IFS(
HR_Data[[#This Row],[MonthlyIncome]]&lt;3000,"&lt;3K",
HR_Data[[#This Row],[MonthlyIncome]]&lt;6000,"3K-6K",
HR_Data[[#This Row],[MonthlyIncome]]&lt;10000,"6K-10K",
TRUE,"10K+"
)</f>
        <v>&lt;3K</v>
      </c>
      <c r="AL764" t="str" cm="1">
        <f t="array" ref="AL764">_xlfn.IFS(
HR_Data[[#This Row],[YearsAtCompany]]&lt;2,"&lt;2 Years",
HR_Data[[#This Row],[YearsAtCompany]]&lt;5,"2-4 Years",
HR_Data[[#This Row],[YearsAtCompany]]&lt;10,"5-9 Years",
TRUE,"10+ Years"
)</f>
        <v>2-4 Years</v>
      </c>
      <c r="AM764" s="1">
        <f>IF(HR_Data[[#This Row],[Attrition]]="Yes",1,0)</f>
        <v>1</v>
      </c>
    </row>
    <row r="765" spans="1:39" x14ac:dyDescent="0.3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 cm="1">
        <f t="array" ref="AJ765">_xlfn.IFS(
HR_Data[[#This Row],[Age]]&lt;25,"Under 25",
HR_Data[[#This Row],[Age]]&lt;35,"25-34",
HR_Data[[#This Row],[Age]]&lt;45,"35-44",
HR_Data[[#This Row],[Age]]&lt;55,"45-54",
TRUE,"55+"
)</f>
        <v>25-34</v>
      </c>
      <c r="AK765" t="str" cm="1">
        <f t="array" ref="AK765">_xlfn.IFS(
HR_Data[[#This Row],[MonthlyIncome]]&lt;3000,"&lt;3K",
HR_Data[[#This Row],[MonthlyIncome]]&lt;6000,"3K-6K",
HR_Data[[#This Row],[MonthlyIncome]]&lt;10000,"6K-10K",
TRUE,"10K+"
)</f>
        <v>&lt;3K</v>
      </c>
      <c r="AL765" t="str" cm="1">
        <f t="array" ref="AL765">_xlfn.IFS(
HR_Data[[#This Row],[YearsAtCompany]]&lt;2,"&lt;2 Years",
HR_Data[[#This Row],[YearsAtCompany]]&lt;5,"2-4 Years",
HR_Data[[#This Row],[YearsAtCompany]]&lt;10,"5-9 Years",
TRUE,"10+ Years"
)</f>
        <v>&lt;2 Years</v>
      </c>
      <c r="AM765" s="1">
        <f>IF(HR_Data[[#This Row],[Attrition]]="Yes",1,0)</f>
        <v>0</v>
      </c>
    </row>
    <row r="766" spans="1:39" x14ac:dyDescent="0.3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 cm="1">
        <f t="array" ref="AJ766">_xlfn.IFS(
HR_Data[[#This Row],[Age]]&lt;25,"Under 25",
HR_Data[[#This Row],[Age]]&lt;35,"25-34",
HR_Data[[#This Row],[Age]]&lt;45,"35-44",
HR_Data[[#This Row],[Age]]&lt;55,"45-54",
TRUE,"55+"
)</f>
        <v>25-34</v>
      </c>
      <c r="AK766" t="str" cm="1">
        <f t="array" ref="AK766">_xlfn.IFS(
HR_Data[[#This Row],[MonthlyIncome]]&lt;3000,"&lt;3K",
HR_Data[[#This Row],[MonthlyIncome]]&lt;6000,"3K-6K",
HR_Data[[#This Row],[MonthlyIncome]]&lt;10000,"6K-10K",
TRUE,"10K+"
)</f>
        <v>&lt;3K</v>
      </c>
      <c r="AL766" t="str" cm="1">
        <f t="array" ref="AL766">_xlfn.IFS(
HR_Data[[#This Row],[YearsAtCompany]]&lt;2,"&lt;2 Years",
HR_Data[[#This Row],[YearsAtCompany]]&lt;5,"2-4 Years",
HR_Data[[#This Row],[YearsAtCompany]]&lt;10,"5-9 Years",
TRUE,"10+ Years"
)</f>
        <v>&lt;2 Years</v>
      </c>
      <c r="AM766" s="1">
        <f>IF(HR_Data[[#This Row],[Attrition]]="Yes",1,0)</f>
        <v>0</v>
      </c>
    </row>
    <row r="767" spans="1:39" x14ac:dyDescent="0.3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 cm="1">
        <f t="array" ref="AJ767">_xlfn.IFS(
HR_Data[[#This Row],[Age]]&lt;25,"Under 25",
HR_Data[[#This Row],[Age]]&lt;35,"25-34",
HR_Data[[#This Row],[Age]]&lt;45,"35-44",
HR_Data[[#This Row],[Age]]&lt;55,"45-54",
TRUE,"55+"
)</f>
        <v>35-44</v>
      </c>
      <c r="AK767" t="str" cm="1">
        <f t="array" ref="AK767">_xlfn.IFS(
HR_Data[[#This Row],[MonthlyIncome]]&lt;3000,"&lt;3K",
HR_Data[[#This Row],[MonthlyIncome]]&lt;6000,"3K-6K",
HR_Data[[#This Row],[MonthlyIncome]]&lt;10000,"6K-10K",
TRUE,"10K+"
)</f>
        <v>&lt;3K</v>
      </c>
      <c r="AL767" t="str" cm="1">
        <f t="array" ref="AL767">_xlfn.IFS(
HR_Data[[#This Row],[YearsAtCompany]]&lt;2,"&lt;2 Years",
HR_Data[[#This Row],[YearsAtCompany]]&lt;5,"2-4 Years",
HR_Data[[#This Row],[YearsAtCompany]]&lt;10,"5-9 Years",
TRUE,"10+ Years"
)</f>
        <v>2-4 Years</v>
      </c>
      <c r="AM767" s="1">
        <f>IF(HR_Data[[#This Row],[Attrition]]="Yes",1,0)</f>
        <v>0</v>
      </c>
    </row>
    <row r="768" spans="1:39" x14ac:dyDescent="0.3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 cm="1">
        <f t="array" ref="AJ768">_xlfn.IFS(
HR_Data[[#This Row],[Age]]&lt;25,"Under 25",
HR_Data[[#This Row],[Age]]&lt;35,"25-34",
HR_Data[[#This Row],[Age]]&lt;45,"35-44",
HR_Data[[#This Row],[Age]]&lt;55,"45-54",
TRUE,"55+"
)</f>
        <v>45-54</v>
      </c>
      <c r="AK768" t="str" cm="1">
        <f t="array" ref="AK768">_xlfn.IFS(
HR_Data[[#This Row],[MonthlyIncome]]&lt;3000,"&lt;3K",
HR_Data[[#This Row],[MonthlyIncome]]&lt;6000,"3K-6K",
HR_Data[[#This Row],[MonthlyIncome]]&lt;10000,"6K-10K",
TRUE,"10K+"
)</f>
        <v>10K+</v>
      </c>
      <c r="AL768" t="str" cm="1">
        <f t="array" ref="AL768">_xlfn.IFS(
HR_Data[[#This Row],[YearsAtCompany]]&lt;2,"&lt;2 Years",
HR_Data[[#This Row],[YearsAtCompany]]&lt;5,"2-4 Years",
HR_Data[[#This Row],[YearsAtCompany]]&lt;10,"5-9 Years",
TRUE,"10+ Years"
)</f>
        <v>5-9 Years</v>
      </c>
      <c r="AM768" s="1">
        <f>IF(HR_Data[[#This Row],[Attrition]]="Yes",1,0)</f>
        <v>0</v>
      </c>
    </row>
    <row r="769" spans="1:39" x14ac:dyDescent="0.3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 cm="1">
        <f t="array" ref="AJ769">_xlfn.IFS(
HR_Data[[#This Row],[Age]]&lt;25,"Under 25",
HR_Data[[#This Row],[Age]]&lt;35,"25-34",
HR_Data[[#This Row],[Age]]&lt;45,"35-44",
HR_Data[[#This Row],[Age]]&lt;55,"45-54",
TRUE,"55+"
)</f>
        <v>35-44</v>
      </c>
      <c r="AK769" t="str" cm="1">
        <f t="array" ref="AK769">_xlfn.IFS(
HR_Data[[#This Row],[MonthlyIncome]]&lt;3000,"&lt;3K",
HR_Data[[#This Row],[MonthlyIncome]]&lt;6000,"3K-6K",
HR_Data[[#This Row],[MonthlyIncome]]&lt;10000,"6K-10K",
TRUE,"10K+"
)</f>
        <v>3K-6K</v>
      </c>
      <c r="AL769" t="str" cm="1">
        <f t="array" ref="AL769">_xlfn.IFS(
HR_Data[[#This Row],[YearsAtCompany]]&lt;2,"&lt;2 Years",
HR_Data[[#This Row],[YearsAtCompany]]&lt;5,"2-4 Years",
HR_Data[[#This Row],[YearsAtCompany]]&lt;10,"5-9 Years",
TRUE,"10+ Years"
)</f>
        <v>2-4 Years</v>
      </c>
      <c r="AM769" s="1">
        <f>IF(HR_Data[[#This Row],[Attrition]]="Yes",1,0)</f>
        <v>0</v>
      </c>
    </row>
    <row r="770" spans="1:39" x14ac:dyDescent="0.3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 cm="1">
        <f t="array" ref="AJ770">_xlfn.IFS(
HR_Data[[#This Row],[Age]]&lt;25,"Under 25",
HR_Data[[#This Row],[Age]]&lt;35,"25-34",
HR_Data[[#This Row],[Age]]&lt;45,"35-44",
HR_Data[[#This Row],[Age]]&lt;55,"45-54",
TRUE,"55+"
)</f>
        <v>35-44</v>
      </c>
      <c r="AK770" t="str" cm="1">
        <f t="array" ref="AK770">_xlfn.IFS(
HR_Data[[#This Row],[MonthlyIncome]]&lt;3000,"&lt;3K",
HR_Data[[#This Row],[MonthlyIncome]]&lt;6000,"3K-6K",
HR_Data[[#This Row],[MonthlyIncome]]&lt;10000,"6K-10K",
TRUE,"10K+"
)</f>
        <v>6K-10K</v>
      </c>
      <c r="AL770" t="str" cm="1">
        <f t="array" ref="AL770">_xlfn.IFS(
HR_Data[[#This Row],[YearsAtCompany]]&lt;2,"&lt;2 Years",
HR_Data[[#This Row],[YearsAtCompany]]&lt;5,"2-4 Years",
HR_Data[[#This Row],[YearsAtCompany]]&lt;10,"5-9 Years",
TRUE,"10+ Years"
)</f>
        <v>5-9 Years</v>
      </c>
      <c r="AM770" s="1">
        <f>IF(HR_Data[[#This Row],[Attrition]]="Yes",1,0)</f>
        <v>0</v>
      </c>
    </row>
    <row r="771" spans="1:39" x14ac:dyDescent="0.3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 cm="1">
        <f t="array" ref="AJ771">_xlfn.IFS(
HR_Data[[#This Row],[Age]]&lt;25,"Under 25",
HR_Data[[#This Row],[Age]]&lt;35,"25-34",
HR_Data[[#This Row],[Age]]&lt;45,"35-44",
HR_Data[[#This Row],[Age]]&lt;55,"45-54",
TRUE,"55+"
)</f>
        <v>25-34</v>
      </c>
      <c r="AK771" t="str" cm="1">
        <f t="array" ref="AK771">_xlfn.IFS(
HR_Data[[#This Row],[MonthlyIncome]]&lt;3000,"&lt;3K",
HR_Data[[#This Row],[MonthlyIncome]]&lt;6000,"3K-6K",
HR_Data[[#This Row],[MonthlyIncome]]&lt;10000,"6K-10K",
TRUE,"10K+"
)</f>
        <v>&lt;3K</v>
      </c>
      <c r="AL771" t="str" cm="1">
        <f t="array" ref="AL771">_xlfn.IFS(
HR_Data[[#This Row],[YearsAtCompany]]&lt;2,"&lt;2 Years",
HR_Data[[#This Row],[YearsAtCompany]]&lt;5,"2-4 Years",
HR_Data[[#This Row],[YearsAtCompany]]&lt;10,"5-9 Years",
TRUE,"10+ Years"
)</f>
        <v>5-9 Years</v>
      </c>
      <c r="AM771" s="1">
        <f>IF(HR_Data[[#This Row],[Attrition]]="Yes",1,0)</f>
        <v>0</v>
      </c>
    </row>
    <row r="772" spans="1:39" x14ac:dyDescent="0.3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 cm="1">
        <f t="array" ref="AJ772">_xlfn.IFS(
HR_Data[[#This Row],[Age]]&lt;25,"Under 25",
HR_Data[[#This Row],[Age]]&lt;35,"25-34",
HR_Data[[#This Row],[Age]]&lt;45,"35-44",
HR_Data[[#This Row],[Age]]&lt;55,"45-54",
TRUE,"55+"
)</f>
        <v>45-54</v>
      </c>
      <c r="AK772" t="str" cm="1">
        <f t="array" ref="AK772">_xlfn.IFS(
HR_Data[[#This Row],[MonthlyIncome]]&lt;3000,"&lt;3K",
HR_Data[[#This Row],[MonthlyIncome]]&lt;6000,"3K-6K",
HR_Data[[#This Row],[MonthlyIncome]]&lt;10000,"6K-10K",
TRUE,"10K+"
)</f>
        <v>10K+</v>
      </c>
      <c r="AL772" t="str" cm="1">
        <f t="array" ref="AL772">_xlfn.IFS(
HR_Data[[#This Row],[YearsAtCompany]]&lt;2,"&lt;2 Years",
HR_Data[[#This Row],[YearsAtCompany]]&lt;5,"2-4 Years",
HR_Data[[#This Row],[YearsAtCompany]]&lt;10,"5-9 Years",
TRUE,"10+ Years"
)</f>
        <v>2-4 Years</v>
      </c>
      <c r="AM772" s="1">
        <f>IF(HR_Data[[#This Row],[Attrition]]="Yes",1,0)</f>
        <v>0</v>
      </c>
    </row>
    <row r="773" spans="1:39" x14ac:dyDescent="0.3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 cm="1">
        <f t="array" ref="AJ773">_xlfn.IFS(
HR_Data[[#This Row],[Age]]&lt;25,"Under 25",
HR_Data[[#This Row],[Age]]&lt;35,"25-34",
HR_Data[[#This Row],[Age]]&lt;45,"35-44",
HR_Data[[#This Row],[Age]]&lt;55,"45-54",
TRUE,"55+"
)</f>
        <v>45-54</v>
      </c>
      <c r="AK773" t="str" cm="1">
        <f t="array" ref="AK773">_xlfn.IFS(
HR_Data[[#This Row],[MonthlyIncome]]&lt;3000,"&lt;3K",
HR_Data[[#This Row],[MonthlyIncome]]&lt;6000,"3K-6K",
HR_Data[[#This Row],[MonthlyIncome]]&lt;10000,"6K-10K",
TRUE,"10K+"
)</f>
        <v>10K+</v>
      </c>
      <c r="AL773" t="str" cm="1">
        <f t="array" ref="AL773">_xlfn.IFS(
HR_Data[[#This Row],[YearsAtCompany]]&lt;2,"&lt;2 Years",
HR_Data[[#This Row],[YearsAtCompany]]&lt;5,"2-4 Years",
HR_Data[[#This Row],[YearsAtCompany]]&lt;10,"5-9 Years",
TRUE,"10+ Years"
)</f>
        <v>5-9 Years</v>
      </c>
      <c r="AM773" s="1">
        <f>IF(HR_Data[[#This Row],[Attrition]]="Yes",1,0)</f>
        <v>0</v>
      </c>
    </row>
    <row r="774" spans="1:39" x14ac:dyDescent="0.3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 cm="1">
        <f t="array" ref="AJ774">_xlfn.IFS(
HR_Data[[#This Row],[Age]]&lt;25,"Under 25",
HR_Data[[#This Row],[Age]]&lt;35,"25-34",
HR_Data[[#This Row],[Age]]&lt;45,"35-44",
HR_Data[[#This Row],[Age]]&lt;55,"45-54",
TRUE,"55+"
)</f>
        <v>55+</v>
      </c>
      <c r="AK774" t="str" cm="1">
        <f t="array" ref="AK774">_xlfn.IFS(
HR_Data[[#This Row],[MonthlyIncome]]&lt;3000,"&lt;3K",
HR_Data[[#This Row],[MonthlyIncome]]&lt;6000,"3K-6K",
HR_Data[[#This Row],[MonthlyIncome]]&lt;10000,"6K-10K",
TRUE,"10K+"
)</f>
        <v>&lt;3K</v>
      </c>
      <c r="AL774" t="str" cm="1">
        <f t="array" ref="AL774">_xlfn.IFS(
HR_Data[[#This Row],[YearsAtCompany]]&lt;2,"&lt;2 Years",
HR_Data[[#This Row],[YearsAtCompany]]&lt;5,"2-4 Years",
HR_Data[[#This Row],[YearsAtCompany]]&lt;10,"5-9 Years",
TRUE,"10+ Years"
)</f>
        <v>5-9 Years</v>
      </c>
      <c r="AM774" s="1">
        <f>IF(HR_Data[[#This Row],[Attrition]]="Yes",1,0)</f>
        <v>0</v>
      </c>
    </row>
    <row r="775" spans="1:39" x14ac:dyDescent="0.3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 cm="1">
        <f t="array" ref="AJ775">_xlfn.IFS(
HR_Data[[#This Row],[Age]]&lt;25,"Under 25",
HR_Data[[#This Row],[Age]]&lt;35,"25-34",
HR_Data[[#This Row],[Age]]&lt;45,"35-44",
HR_Data[[#This Row],[Age]]&lt;55,"45-54",
TRUE,"55+"
)</f>
        <v>35-44</v>
      </c>
      <c r="AK775" t="str" cm="1">
        <f t="array" ref="AK775">_xlfn.IFS(
HR_Data[[#This Row],[MonthlyIncome]]&lt;3000,"&lt;3K",
HR_Data[[#This Row],[MonthlyIncome]]&lt;6000,"3K-6K",
HR_Data[[#This Row],[MonthlyIncome]]&lt;10000,"6K-10K",
TRUE,"10K+"
)</f>
        <v>6K-10K</v>
      </c>
      <c r="AL775" t="str" cm="1">
        <f t="array" ref="AL775">_xlfn.IFS(
HR_Data[[#This Row],[YearsAtCompany]]&lt;2,"&lt;2 Years",
HR_Data[[#This Row],[YearsAtCompany]]&lt;5,"2-4 Years",
HR_Data[[#This Row],[YearsAtCompany]]&lt;10,"5-9 Years",
TRUE,"10+ Years"
)</f>
        <v>10+ Years</v>
      </c>
      <c r="AM775" s="1">
        <f>IF(HR_Data[[#This Row],[Attrition]]="Yes",1,0)</f>
        <v>0</v>
      </c>
    </row>
    <row r="776" spans="1:39" x14ac:dyDescent="0.3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 cm="1">
        <f t="array" ref="AJ776">_xlfn.IFS(
HR_Data[[#This Row],[Age]]&lt;25,"Under 25",
HR_Data[[#This Row],[Age]]&lt;35,"25-34",
HR_Data[[#This Row],[Age]]&lt;45,"35-44",
HR_Data[[#This Row],[Age]]&lt;55,"45-54",
TRUE,"55+"
)</f>
        <v>55+</v>
      </c>
      <c r="AK776" t="str" cm="1">
        <f t="array" ref="AK776">_xlfn.IFS(
HR_Data[[#This Row],[MonthlyIncome]]&lt;3000,"&lt;3K",
HR_Data[[#This Row],[MonthlyIncome]]&lt;6000,"3K-6K",
HR_Data[[#This Row],[MonthlyIncome]]&lt;10000,"6K-10K",
TRUE,"10K+"
)</f>
        <v>10K+</v>
      </c>
      <c r="AL776" t="str" cm="1">
        <f t="array" ref="AL776">_xlfn.IFS(
HR_Data[[#This Row],[YearsAtCompany]]&lt;2,"&lt;2 Years",
HR_Data[[#This Row],[YearsAtCompany]]&lt;5,"2-4 Years",
HR_Data[[#This Row],[YearsAtCompany]]&lt;10,"5-9 Years",
TRUE,"10+ Years"
)</f>
        <v>5-9 Years</v>
      </c>
      <c r="AM776" s="1">
        <f>IF(HR_Data[[#This Row],[Attrition]]="Yes",1,0)</f>
        <v>0</v>
      </c>
    </row>
    <row r="777" spans="1:39" x14ac:dyDescent="0.3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 cm="1">
        <f t="array" ref="AJ777">_xlfn.IFS(
HR_Data[[#This Row],[Age]]&lt;25,"Under 25",
HR_Data[[#This Row],[Age]]&lt;35,"25-34",
HR_Data[[#This Row],[Age]]&lt;45,"35-44",
HR_Data[[#This Row],[Age]]&lt;55,"45-54",
TRUE,"55+"
)</f>
        <v>35-44</v>
      </c>
      <c r="AK777" t="str" cm="1">
        <f t="array" ref="AK777">_xlfn.IFS(
HR_Data[[#This Row],[MonthlyIncome]]&lt;3000,"&lt;3K",
HR_Data[[#This Row],[MonthlyIncome]]&lt;6000,"3K-6K",
HR_Data[[#This Row],[MonthlyIncome]]&lt;10000,"6K-10K",
TRUE,"10K+"
)</f>
        <v>10K+</v>
      </c>
      <c r="AL777" t="str" cm="1">
        <f t="array" ref="AL777">_xlfn.IFS(
HR_Data[[#This Row],[YearsAtCompany]]&lt;2,"&lt;2 Years",
HR_Data[[#This Row],[YearsAtCompany]]&lt;5,"2-4 Years",
HR_Data[[#This Row],[YearsAtCompany]]&lt;10,"5-9 Years",
TRUE,"10+ Years"
)</f>
        <v>&lt;2 Years</v>
      </c>
      <c r="AM777" s="1">
        <f>IF(HR_Data[[#This Row],[Attrition]]="Yes",1,0)</f>
        <v>0</v>
      </c>
    </row>
    <row r="778" spans="1:39" x14ac:dyDescent="0.3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 cm="1">
        <f t="array" ref="AJ778">_xlfn.IFS(
HR_Data[[#This Row],[Age]]&lt;25,"Under 25",
HR_Data[[#This Row],[Age]]&lt;35,"25-34",
HR_Data[[#This Row],[Age]]&lt;45,"35-44",
HR_Data[[#This Row],[Age]]&lt;55,"45-54",
TRUE,"55+"
)</f>
        <v>Under 25</v>
      </c>
      <c r="AK778" t="str" cm="1">
        <f t="array" ref="AK778">_xlfn.IFS(
HR_Data[[#This Row],[MonthlyIncome]]&lt;3000,"&lt;3K",
HR_Data[[#This Row],[MonthlyIncome]]&lt;6000,"3K-6K",
HR_Data[[#This Row],[MonthlyIncome]]&lt;10000,"6K-10K",
TRUE,"10K+"
)</f>
        <v>&lt;3K</v>
      </c>
      <c r="AL778" t="str" cm="1">
        <f t="array" ref="AL778">_xlfn.IFS(
HR_Data[[#This Row],[YearsAtCompany]]&lt;2,"&lt;2 Years",
HR_Data[[#This Row],[YearsAtCompany]]&lt;5,"2-4 Years",
HR_Data[[#This Row],[YearsAtCompany]]&lt;10,"5-9 Years",
TRUE,"10+ Years"
)</f>
        <v>2-4 Years</v>
      </c>
      <c r="AM778" s="1">
        <f>IF(HR_Data[[#This Row],[Attrition]]="Yes",1,0)</f>
        <v>1</v>
      </c>
    </row>
    <row r="779" spans="1:39" x14ac:dyDescent="0.3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 cm="1">
        <f t="array" ref="AJ779">_xlfn.IFS(
HR_Data[[#This Row],[Age]]&lt;25,"Under 25",
HR_Data[[#This Row],[Age]]&lt;35,"25-34",
HR_Data[[#This Row],[Age]]&lt;45,"35-44",
HR_Data[[#This Row],[Age]]&lt;55,"45-54",
TRUE,"55+"
)</f>
        <v>Under 25</v>
      </c>
      <c r="AK779" t="str" cm="1">
        <f t="array" ref="AK779">_xlfn.IFS(
HR_Data[[#This Row],[MonthlyIncome]]&lt;3000,"&lt;3K",
HR_Data[[#This Row],[MonthlyIncome]]&lt;6000,"3K-6K",
HR_Data[[#This Row],[MonthlyIncome]]&lt;10000,"6K-10K",
TRUE,"10K+"
)</f>
        <v>&lt;3K</v>
      </c>
      <c r="AL779" t="str" cm="1">
        <f t="array" ref="AL779">_xlfn.IFS(
HR_Data[[#This Row],[YearsAtCompany]]&lt;2,"&lt;2 Years",
HR_Data[[#This Row],[YearsAtCompany]]&lt;5,"2-4 Years",
HR_Data[[#This Row],[YearsAtCompany]]&lt;10,"5-9 Years",
TRUE,"10+ Years"
)</f>
        <v>&lt;2 Years</v>
      </c>
      <c r="AM779" s="1">
        <f>IF(HR_Data[[#This Row],[Attrition]]="Yes",1,0)</f>
        <v>1</v>
      </c>
    </row>
    <row r="780" spans="1:39" x14ac:dyDescent="0.3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 cm="1">
        <f t="array" ref="AJ780">_xlfn.IFS(
HR_Data[[#This Row],[Age]]&lt;25,"Under 25",
HR_Data[[#This Row],[Age]]&lt;35,"25-34",
HR_Data[[#This Row],[Age]]&lt;45,"35-44",
HR_Data[[#This Row],[Age]]&lt;55,"45-54",
TRUE,"55+"
)</f>
        <v>45-54</v>
      </c>
      <c r="AK780" t="str" cm="1">
        <f t="array" ref="AK780">_xlfn.IFS(
HR_Data[[#This Row],[MonthlyIncome]]&lt;3000,"&lt;3K",
HR_Data[[#This Row],[MonthlyIncome]]&lt;6000,"3K-6K",
HR_Data[[#This Row],[MonthlyIncome]]&lt;10000,"6K-10K",
TRUE,"10K+"
)</f>
        <v>3K-6K</v>
      </c>
      <c r="AL780" t="str" cm="1">
        <f t="array" ref="AL780">_xlfn.IFS(
HR_Data[[#This Row],[YearsAtCompany]]&lt;2,"&lt;2 Years",
HR_Data[[#This Row],[YearsAtCompany]]&lt;5,"2-4 Years",
HR_Data[[#This Row],[YearsAtCompany]]&lt;10,"5-9 Years",
TRUE,"10+ Years"
)</f>
        <v>10+ Years</v>
      </c>
      <c r="AM780" s="1">
        <f>IF(HR_Data[[#This Row],[Attrition]]="Yes",1,0)</f>
        <v>0</v>
      </c>
    </row>
    <row r="781" spans="1:39" x14ac:dyDescent="0.3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 cm="1">
        <f t="array" ref="AJ781">_xlfn.IFS(
HR_Data[[#This Row],[Age]]&lt;25,"Under 25",
HR_Data[[#This Row],[Age]]&lt;35,"25-34",
HR_Data[[#This Row],[Age]]&lt;45,"35-44",
HR_Data[[#This Row],[Age]]&lt;55,"45-54",
TRUE,"55+"
)</f>
        <v>45-54</v>
      </c>
      <c r="AK781" t="str" cm="1">
        <f t="array" ref="AK781">_xlfn.IFS(
HR_Data[[#This Row],[MonthlyIncome]]&lt;3000,"&lt;3K",
HR_Data[[#This Row],[MonthlyIncome]]&lt;6000,"3K-6K",
HR_Data[[#This Row],[MonthlyIncome]]&lt;10000,"6K-10K",
TRUE,"10K+"
)</f>
        <v>&lt;3K</v>
      </c>
      <c r="AL781" t="str" cm="1">
        <f t="array" ref="AL781">_xlfn.IFS(
HR_Data[[#This Row],[YearsAtCompany]]&lt;2,"&lt;2 Years",
HR_Data[[#This Row],[YearsAtCompany]]&lt;5,"2-4 Years",
HR_Data[[#This Row],[YearsAtCompany]]&lt;10,"5-9 Years",
TRUE,"10+ Years"
)</f>
        <v>10+ Years</v>
      </c>
      <c r="AM781" s="1">
        <f>IF(HR_Data[[#This Row],[Attrition]]="Yes",1,0)</f>
        <v>1</v>
      </c>
    </row>
    <row r="782" spans="1:39" x14ac:dyDescent="0.3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 cm="1">
        <f t="array" ref="AJ782">_xlfn.IFS(
HR_Data[[#This Row],[Age]]&lt;25,"Under 25",
HR_Data[[#This Row],[Age]]&lt;35,"25-34",
HR_Data[[#This Row],[Age]]&lt;45,"35-44",
HR_Data[[#This Row],[Age]]&lt;55,"45-54",
TRUE,"55+"
)</f>
        <v>25-34</v>
      </c>
      <c r="AK782" t="str" cm="1">
        <f t="array" ref="AK782">_xlfn.IFS(
HR_Data[[#This Row],[MonthlyIncome]]&lt;3000,"&lt;3K",
HR_Data[[#This Row],[MonthlyIncome]]&lt;6000,"3K-6K",
HR_Data[[#This Row],[MonthlyIncome]]&lt;10000,"6K-10K",
TRUE,"10K+"
)</f>
        <v>6K-10K</v>
      </c>
      <c r="AL782" t="str" cm="1">
        <f t="array" ref="AL782">_xlfn.IFS(
HR_Data[[#This Row],[YearsAtCompany]]&lt;2,"&lt;2 Years",
HR_Data[[#This Row],[YearsAtCompany]]&lt;5,"2-4 Years",
HR_Data[[#This Row],[YearsAtCompany]]&lt;10,"5-9 Years",
TRUE,"10+ Years"
)</f>
        <v>10+ Years</v>
      </c>
      <c r="AM782" s="1">
        <f>IF(HR_Data[[#This Row],[Attrition]]="Yes",1,0)</f>
        <v>1</v>
      </c>
    </row>
    <row r="783" spans="1:39" x14ac:dyDescent="0.3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 cm="1">
        <f t="array" ref="AJ783">_xlfn.IFS(
HR_Data[[#This Row],[Age]]&lt;25,"Under 25",
HR_Data[[#This Row],[Age]]&lt;35,"25-34",
HR_Data[[#This Row],[Age]]&lt;45,"35-44",
HR_Data[[#This Row],[Age]]&lt;55,"45-54",
TRUE,"55+"
)</f>
        <v>25-34</v>
      </c>
      <c r="AK783" t="str" cm="1">
        <f t="array" ref="AK783">_xlfn.IFS(
HR_Data[[#This Row],[MonthlyIncome]]&lt;3000,"&lt;3K",
HR_Data[[#This Row],[MonthlyIncome]]&lt;6000,"3K-6K",
HR_Data[[#This Row],[MonthlyIncome]]&lt;10000,"6K-10K",
TRUE,"10K+"
)</f>
        <v>3K-6K</v>
      </c>
      <c r="AL783" t="str" cm="1">
        <f t="array" ref="AL783">_xlfn.IFS(
HR_Data[[#This Row],[YearsAtCompany]]&lt;2,"&lt;2 Years",
HR_Data[[#This Row],[YearsAtCompany]]&lt;5,"2-4 Years",
HR_Data[[#This Row],[YearsAtCompany]]&lt;10,"5-9 Years",
TRUE,"10+ Years"
)</f>
        <v>5-9 Years</v>
      </c>
      <c r="AM783" s="1">
        <f>IF(HR_Data[[#This Row],[Attrition]]="Yes",1,0)</f>
        <v>0</v>
      </c>
    </row>
    <row r="784" spans="1:39" x14ac:dyDescent="0.3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 cm="1">
        <f t="array" ref="AJ784">_xlfn.IFS(
HR_Data[[#This Row],[Age]]&lt;25,"Under 25",
HR_Data[[#This Row],[Age]]&lt;35,"25-34",
HR_Data[[#This Row],[Age]]&lt;45,"35-44",
HR_Data[[#This Row],[Age]]&lt;55,"45-54",
TRUE,"55+"
)</f>
        <v>25-34</v>
      </c>
      <c r="AK784" t="str" cm="1">
        <f t="array" ref="AK784">_xlfn.IFS(
HR_Data[[#This Row],[MonthlyIncome]]&lt;3000,"&lt;3K",
HR_Data[[#This Row],[MonthlyIncome]]&lt;6000,"3K-6K",
HR_Data[[#This Row],[MonthlyIncome]]&lt;10000,"6K-10K",
TRUE,"10K+"
)</f>
        <v>6K-10K</v>
      </c>
      <c r="AL784" t="str" cm="1">
        <f t="array" ref="AL784">_xlfn.IFS(
HR_Data[[#This Row],[YearsAtCompany]]&lt;2,"&lt;2 Years",
HR_Data[[#This Row],[YearsAtCompany]]&lt;5,"2-4 Years",
HR_Data[[#This Row],[YearsAtCompany]]&lt;10,"5-9 Years",
TRUE,"10+ Years"
)</f>
        <v>5-9 Years</v>
      </c>
      <c r="AM784" s="1">
        <f>IF(HR_Data[[#This Row],[Attrition]]="Yes",1,0)</f>
        <v>0</v>
      </c>
    </row>
    <row r="785" spans="1:39" x14ac:dyDescent="0.3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 cm="1">
        <f t="array" ref="AJ785">_xlfn.IFS(
HR_Data[[#This Row],[Age]]&lt;25,"Under 25",
HR_Data[[#This Row],[Age]]&lt;35,"25-34",
HR_Data[[#This Row],[Age]]&lt;45,"35-44",
HR_Data[[#This Row],[Age]]&lt;55,"45-54",
TRUE,"55+"
)</f>
        <v>35-44</v>
      </c>
      <c r="AK785" t="str" cm="1">
        <f t="array" ref="AK785">_xlfn.IFS(
HR_Data[[#This Row],[MonthlyIncome]]&lt;3000,"&lt;3K",
HR_Data[[#This Row],[MonthlyIncome]]&lt;6000,"3K-6K",
HR_Data[[#This Row],[MonthlyIncome]]&lt;10000,"6K-10K",
TRUE,"10K+"
)</f>
        <v>3K-6K</v>
      </c>
      <c r="AL785" t="str" cm="1">
        <f t="array" ref="AL785">_xlfn.IFS(
HR_Data[[#This Row],[YearsAtCompany]]&lt;2,"&lt;2 Years",
HR_Data[[#This Row],[YearsAtCompany]]&lt;5,"2-4 Years",
HR_Data[[#This Row],[YearsAtCompany]]&lt;10,"5-9 Years",
TRUE,"10+ Years"
)</f>
        <v>10+ Years</v>
      </c>
      <c r="AM785" s="1">
        <f>IF(HR_Data[[#This Row],[Attrition]]="Yes",1,0)</f>
        <v>0</v>
      </c>
    </row>
    <row r="786" spans="1:39" x14ac:dyDescent="0.3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 cm="1">
        <f t="array" ref="AJ786">_xlfn.IFS(
HR_Data[[#This Row],[Age]]&lt;25,"Under 25",
HR_Data[[#This Row],[Age]]&lt;35,"25-34",
HR_Data[[#This Row],[Age]]&lt;45,"35-44",
HR_Data[[#This Row],[Age]]&lt;55,"45-54",
TRUE,"55+"
)</f>
        <v>35-44</v>
      </c>
      <c r="AK786" t="str" cm="1">
        <f t="array" ref="AK786">_xlfn.IFS(
HR_Data[[#This Row],[MonthlyIncome]]&lt;3000,"&lt;3K",
HR_Data[[#This Row],[MonthlyIncome]]&lt;6000,"3K-6K",
HR_Data[[#This Row],[MonthlyIncome]]&lt;10000,"6K-10K",
TRUE,"10K+"
)</f>
        <v>6K-10K</v>
      </c>
      <c r="AL786" t="str" cm="1">
        <f t="array" ref="AL786">_xlfn.IFS(
HR_Data[[#This Row],[YearsAtCompany]]&lt;2,"&lt;2 Years",
HR_Data[[#This Row],[YearsAtCompany]]&lt;5,"2-4 Years",
HR_Data[[#This Row],[YearsAtCompany]]&lt;10,"5-9 Years",
TRUE,"10+ Years"
)</f>
        <v>10+ Years</v>
      </c>
      <c r="AM786" s="1">
        <f>IF(HR_Data[[#This Row],[Attrition]]="Yes",1,0)</f>
        <v>0</v>
      </c>
    </row>
    <row r="787" spans="1:39" x14ac:dyDescent="0.3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 cm="1">
        <f t="array" ref="AJ787">_xlfn.IFS(
HR_Data[[#This Row],[Age]]&lt;25,"Under 25",
HR_Data[[#This Row],[Age]]&lt;35,"25-34",
HR_Data[[#This Row],[Age]]&lt;45,"35-44",
HR_Data[[#This Row],[Age]]&lt;55,"45-54",
TRUE,"55+"
)</f>
        <v>35-44</v>
      </c>
      <c r="AK787" t="str" cm="1">
        <f t="array" ref="AK787">_xlfn.IFS(
HR_Data[[#This Row],[MonthlyIncome]]&lt;3000,"&lt;3K",
HR_Data[[#This Row],[MonthlyIncome]]&lt;6000,"3K-6K",
HR_Data[[#This Row],[MonthlyIncome]]&lt;10000,"6K-10K",
TRUE,"10K+"
)</f>
        <v>10K+</v>
      </c>
      <c r="AL787" t="str" cm="1">
        <f t="array" ref="AL787">_xlfn.IFS(
HR_Data[[#This Row],[YearsAtCompany]]&lt;2,"&lt;2 Years",
HR_Data[[#This Row],[YearsAtCompany]]&lt;5,"2-4 Years",
HR_Data[[#This Row],[YearsAtCompany]]&lt;10,"5-9 Years",
TRUE,"10+ Years"
)</f>
        <v>10+ Years</v>
      </c>
      <c r="AM787" s="1">
        <f>IF(HR_Data[[#This Row],[Attrition]]="Yes",1,0)</f>
        <v>0</v>
      </c>
    </row>
    <row r="788" spans="1:39" x14ac:dyDescent="0.3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 cm="1">
        <f t="array" ref="AJ788">_xlfn.IFS(
HR_Data[[#This Row],[Age]]&lt;25,"Under 25",
HR_Data[[#This Row],[Age]]&lt;35,"25-34",
HR_Data[[#This Row],[Age]]&lt;45,"35-44",
HR_Data[[#This Row],[Age]]&lt;55,"45-54",
TRUE,"55+"
)</f>
        <v>25-34</v>
      </c>
      <c r="AK788" t="str" cm="1">
        <f t="array" ref="AK788">_xlfn.IFS(
HR_Data[[#This Row],[MonthlyIncome]]&lt;3000,"&lt;3K",
HR_Data[[#This Row],[MonthlyIncome]]&lt;6000,"3K-6K",
HR_Data[[#This Row],[MonthlyIncome]]&lt;10000,"6K-10K",
TRUE,"10K+"
)</f>
        <v>3K-6K</v>
      </c>
      <c r="AL788" t="str" cm="1">
        <f t="array" ref="AL788">_xlfn.IFS(
HR_Data[[#This Row],[YearsAtCompany]]&lt;2,"&lt;2 Years",
HR_Data[[#This Row],[YearsAtCompany]]&lt;5,"2-4 Years",
HR_Data[[#This Row],[YearsAtCompany]]&lt;10,"5-9 Years",
TRUE,"10+ Years"
)</f>
        <v>2-4 Years</v>
      </c>
      <c r="AM788" s="1">
        <f>IF(HR_Data[[#This Row],[Attrition]]="Yes",1,0)</f>
        <v>0</v>
      </c>
    </row>
    <row r="789" spans="1:39" x14ac:dyDescent="0.3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 cm="1">
        <f t="array" ref="AJ789">_xlfn.IFS(
HR_Data[[#This Row],[Age]]&lt;25,"Under 25",
HR_Data[[#This Row],[Age]]&lt;35,"25-34",
HR_Data[[#This Row],[Age]]&lt;45,"35-44",
HR_Data[[#This Row],[Age]]&lt;55,"45-54",
TRUE,"55+"
)</f>
        <v>55+</v>
      </c>
      <c r="AK789" t="str" cm="1">
        <f t="array" ref="AK789">_xlfn.IFS(
HR_Data[[#This Row],[MonthlyIncome]]&lt;3000,"&lt;3K",
HR_Data[[#This Row],[MonthlyIncome]]&lt;6000,"3K-6K",
HR_Data[[#This Row],[MonthlyIncome]]&lt;10000,"6K-10K",
TRUE,"10K+"
)</f>
        <v>10K+</v>
      </c>
      <c r="AL789" t="str" cm="1">
        <f t="array" ref="AL789">_xlfn.IFS(
HR_Data[[#This Row],[YearsAtCompany]]&lt;2,"&lt;2 Years",
HR_Data[[#This Row],[YearsAtCompany]]&lt;5,"2-4 Years",
HR_Data[[#This Row],[YearsAtCompany]]&lt;10,"5-9 Years",
TRUE,"10+ Years"
)</f>
        <v>2-4 Years</v>
      </c>
      <c r="AM789" s="1">
        <f>IF(HR_Data[[#This Row],[Attrition]]="Yes",1,0)</f>
        <v>0</v>
      </c>
    </row>
    <row r="790" spans="1:39" x14ac:dyDescent="0.3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 cm="1">
        <f t="array" ref="AJ790">_xlfn.IFS(
HR_Data[[#This Row],[Age]]&lt;25,"Under 25",
HR_Data[[#This Row],[Age]]&lt;35,"25-34",
HR_Data[[#This Row],[Age]]&lt;45,"35-44",
HR_Data[[#This Row],[Age]]&lt;55,"45-54",
TRUE,"55+"
)</f>
        <v>25-34</v>
      </c>
      <c r="AK790" t="str" cm="1">
        <f t="array" ref="AK790">_xlfn.IFS(
HR_Data[[#This Row],[MonthlyIncome]]&lt;3000,"&lt;3K",
HR_Data[[#This Row],[MonthlyIncome]]&lt;6000,"3K-6K",
HR_Data[[#This Row],[MonthlyIncome]]&lt;10000,"6K-10K",
TRUE,"10K+"
)</f>
        <v>3K-6K</v>
      </c>
      <c r="AL790" t="str" cm="1">
        <f t="array" ref="AL790">_xlfn.IFS(
HR_Data[[#This Row],[YearsAtCompany]]&lt;2,"&lt;2 Years",
HR_Data[[#This Row],[YearsAtCompany]]&lt;5,"2-4 Years",
HR_Data[[#This Row],[YearsAtCompany]]&lt;10,"5-9 Years",
TRUE,"10+ Years"
)</f>
        <v>5-9 Years</v>
      </c>
      <c r="AM790" s="1">
        <f>IF(HR_Data[[#This Row],[Attrition]]="Yes",1,0)</f>
        <v>0</v>
      </c>
    </row>
    <row r="791" spans="1:39" x14ac:dyDescent="0.3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 cm="1">
        <f t="array" ref="AJ791">_xlfn.IFS(
HR_Data[[#This Row],[Age]]&lt;25,"Under 25",
HR_Data[[#This Row],[Age]]&lt;35,"25-34",
HR_Data[[#This Row],[Age]]&lt;45,"35-44",
HR_Data[[#This Row],[Age]]&lt;55,"45-54",
TRUE,"55+"
)</f>
        <v>35-44</v>
      </c>
      <c r="AK791" t="str" cm="1">
        <f t="array" ref="AK791">_xlfn.IFS(
HR_Data[[#This Row],[MonthlyIncome]]&lt;3000,"&lt;3K",
HR_Data[[#This Row],[MonthlyIncome]]&lt;6000,"3K-6K",
HR_Data[[#This Row],[MonthlyIncome]]&lt;10000,"6K-10K",
TRUE,"10K+"
)</f>
        <v>10K+</v>
      </c>
      <c r="AL791" t="str" cm="1">
        <f t="array" ref="AL791">_xlfn.IFS(
HR_Data[[#This Row],[YearsAtCompany]]&lt;2,"&lt;2 Years",
HR_Data[[#This Row],[YearsAtCompany]]&lt;5,"2-4 Years",
HR_Data[[#This Row],[YearsAtCompany]]&lt;10,"5-9 Years",
TRUE,"10+ Years"
)</f>
        <v>10+ Years</v>
      </c>
      <c r="AM791" s="1">
        <f>IF(HR_Data[[#This Row],[Attrition]]="Yes",1,0)</f>
        <v>1</v>
      </c>
    </row>
    <row r="792" spans="1:39" x14ac:dyDescent="0.3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 cm="1">
        <f t="array" ref="AJ792">_xlfn.IFS(
HR_Data[[#This Row],[Age]]&lt;25,"Under 25",
HR_Data[[#This Row],[Age]]&lt;35,"25-34",
HR_Data[[#This Row],[Age]]&lt;45,"35-44",
HR_Data[[#This Row],[Age]]&lt;55,"45-54",
TRUE,"55+"
)</f>
        <v>25-34</v>
      </c>
      <c r="AK792" t="str" cm="1">
        <f t="array" ref="AK792">_xlfn.IFS(
HR_Data[[#This Row],[MonthlyIncome]]&lt;3000,"&lt;3K",
HR_Data[[#This Row],[MonthlyIncome]]&lt;6000,"3K-6K",
HR_Data[[#This Row],[MonthlyIncome]]&lt;10000,"6K-10K",
TRUE,"10K+"
)</f>
        <v>6K-10K</v>
      </c>
      <c r="AL792" t="str" cm="1">
        <f t="array" ref="AL792">_xlfn.IFS(
HR_Data[[#This Row],[YearsAtCompany]]&lt;2,"&lt;2 Years",
HR_Data[[#This Row],[YearsAtCompany]]&lt;5,"2-4 Years",
HR_Data[[#This Row],[YearsAtCompany]]&lt;10,"5-9 Years",
TRUE,"10+ Years"
)</f>
        <v>2-4 Years</v>
      </c>
      <c r="AM792" s="1">
        <f>IF(HR_Data[[#This Row],[Attrition]]="Yes",1,0)</f>
        <v>0</v>
      </c>
    </row>
    <row r="793" spans="1:39" x14ac:dyDescent="0.3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 cm="1">
        <f t="array" ref="AJ793">_xlfn.IFS(
HR_Data[[#This Row],[Age]]&lt;25,"Under 25",
HR_Data[[#This Row],[Age]]&lt;35,"25-34",
HR_Data[[#This Row],[Age]]&lt;45,"35-44",
HR_Data[[#This Row],[Age]]&lt;55,"45-54",
TRUE,"55+"
)</f>
        <v>35-44</v>
      </c>
      <c r="AK793" t="str" cm="1">
        <f t="array" ref="AK793">_xlfn.IFS(
HR_Data[[#This Row],[MonthlyIncome]]&lt;3000,"&lt;3K",
HR_Data[[#This Row],[MonthlyIncome]]&lt;6000,"3K-6K",
HR_Data[[#This Row],[MonthlyIncome]]&lt;10000,"6K-10K",
TRUE,"10K+"
)</f>
        <v>6K-10K</v>
      </c>
      <c r="AL793" t="str" cm="1">
        <f t="array" ref="AL793">_xlfn.IFS(
HR_Data[[#This Row],[YearsAtCompany]]&lt;2,"&lt;2 Years",
HR_Data[[#This Row],[YearsAtCompany]]&lt;5,"2-4 Years",
HR_Data[[#This Row],[YearsAtCompany]]&lt;10,"5-9 Years",
TRUE,"10+ Years"
)</f>
        <v>5-9 Years</v>
      </c>
      <c r="AM793" s="1">
        <f>IF(HR_Data[[#This Row],[Attrition]]="Yes",1,0)</f>
        <v>1</v>
      </c>
    </row>
    <row r="794" spans="1:39" x14ac:dyDescent="0.3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 cm="1">
        <f t="array" ref="AJ794">_xlfn.IFS(
HR_Data[[#This Row],[Age]]&lt;25,"Under 25",
HR_Data[[#This Row],[Age]]&lt;35,"25-34",
HR_Data[[#This Row],[Age]]&lt;45,"35-44",
HR_Data[[#This Row],[Age]]&lt;55,"45-54",
TRUE,"55+"
)</f>
        <v>25-34</v>
      </c>
      <c r="AK794" t="str" cm="1">
        <f t="array" ref="AK794">_xlfn.IFS(
HR_Data[[#This Row],[MonthlyIncome]]&lt;3000,"&lt;3K",
HR_Data[[#This Row],[MonthlyIncome]]&lt;6000,"3K-6K",
HR_Data[[#This Row],[MonthlyIncome]]&lt;10000,"6K-10K",
TRUE,"10K+"
)</f>
        <v>3K-6K</v>
      </c>
      <c r="AL794" t="str" cm="1">
        <f t="array" ref="AL794">_xlfn.IFS(
HR_Data[[#This Row],[YearsAtCompany]]&lt;2,"&lt;2 Years",
HR_Data[[#This Row],[YearsAtCompany]]&lt;5,"2-4 Years",
HR_Data[[#This Row],[YearsAtCompany]]&lt;10,"5-9 Years",
TRUE,"10+ Years"
)</f>
        <v>10+ Years</v>
      </c>
      <c r="AM794" s="1">
        <f>IF(HR_Data[[#This Row],[Attrition]]="Yes",1,0)</f>
        <v>1</v>
      </c>
    </row>
    <row r="795" spans="1:39" x14ac:dyDescent="0.3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 cm="1">
        <f t="array" ref="AJ795">_xlfn.IFS(
HR_Data[[#This Row],[Age]]&lt;25,"Under 25",
HR_Data[[#This Row],[Age]]&lt;35,"25-34",
HR_Data[[#This Row],[Age]]&lt;45,"35-44",
HR_Data[[#This Row],[Age]]&lt;55,"45-54",
TRUE,"55+"
)</f>
        <v>25-34</v>
      </c>
      <c r="AK795" t="str" cm="1">
        <f t="array" ref="AK795">_xlfn.IFS(
HR_Data[[#This Row],[MonthlyIncome]]&lt;3000,"&lt;3K",
HR_Data[[#This Row],[MonthlyIncome]]&lt;6000,"3K-6K",
HR_Data[[#This Row],[MonthlyIncome]]&lt;10000,"6K-10K",
TRUE,"10K+"
)</f>
        <v>&lt;3K</v>
      </c>
      <c r="AL795" t="str" cm="1">
        <f t="array" ref="AL795">_xlfn.IFS(
HR_Data[[#This Row],[YearsAtCompany]]&lt;2,"&lt;2 Years",
HR_Data[[#This Row],[YearsAtCompany]]&lt;5,"2-4 Years",
HR_Data[[#This Row],[YearsAtCompany]]&lt;10,"5-9 Years",
TRUE,"10+ Years"
)</f>
        <v>2-4 Years</v>
      </c>
      <c r="AM795" s="1">
        <f>IF(HR_Data[[#This Row],[Attrition]]="Yes",1,0)</f>
        <v>0</v>
      </c>
    </row>
    <row r="796" spans="1:39" x14ac:dyDescent="0.3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 cm="1">
        <f t="array" ref="AJ796">_xlfn.IFS(
HR_Data[[#This Row],[Age]]&lt;25,"Under 25",
HR_Data[[#This Row],[Age]]&lt;35,"25-34",
HR_Data[[#This Row],[Age]]&lt;45,"35-44",
HR_Data[[#This Row],[Age]]&lt;55,"45-54",
TRUE,"55+"
)</f>
        <v>25-34</v>
      </c>
      <c r="AK796" t="str" cm="1">
        <f t="array" ref="AK796">_xlfn.IFS(
HR_Data[[#This Row],[MonthlyIncome]]&lt;3000,"&lt;3K",
HR_Data[[#This Row],[MonthlyIncome]]&lt;6000,"3K-6K",
HR_Data[[#This Row],[MonthlyIncome]]&lt;10000,"6K-10K",
TRUE,"10K+"
)</f>
        <v>6K-10K</v>
      </c>
      <c r="AL796" t="str" cm="1">
        <f t="array" ref="AL796">_xlfn.IFS(
HR_Data[[#This Row],[YearsAtCompany]]&lt;2,"&lt;2 Years",
HR_Data[[#This Row],[YearsAtCompany]]&lt;5,"2-4 Years",
HR_Data[[#This Row],[YearsAtCompany]]&lt;10,"5-9 Years",
TRUE,"10+ Years"
)</f>
        <v>5-9 Years</v>
      </c>
      <c r="AM796" s="1">
        <f>IF(HR_Data[[#This Row],[Attrition]]="Yes",1,0)</f>
        <v>0</v>
      </c>
    </row>
    <row r="797" spans="1:39" x14ac:dyDescent="0.3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 cm="1">
        <f t="array" ref="AJ797">_xlfn.IFS(
HR_Data[[#This Row],[Age]]&lt;25,"Under 25",
HR_Data[[#This Row],[Age]]&lt;35,"25-34",
HR_Data[[#This Row],[Age]]&lt;45,"35-44",
HR_Data[[#This Row],[Age]]&lt;55,"45-54",
TRUE,"55+"
)</f>
        <v>35-44</v>
      </c>
      <c r="AK797" t="str" cm="1">
        <f t="array" ref="AK797">_xlfn.IFS(
HR_Data[[#This Row],[MonthlyIncome]]&lt;3000,"&lt;3K",
HR_Data[[#This Row],[MonthlyIncome]]&lt;6000,"3K-6K",
HR_Data[[#This Row],[MonthlyIncome]]&lt;10000,"6K-10K",
TRUE,"10K+"
)</f>
        <v>6K-10K</v>
      </c>
      <c r="AL797" t="str" cm="1">
        <f t="array" ref="AL797">_xlfn.IFS(
HR_Data[[#This Row],[YearsAtCompany]]&lt;2,"&lt;2 Years",
HR_Data[[#This Row],[YearsAtCompany]]&lt;5,"2-4 Years",
HR_Data[[#This Row],[YearsAtCompany]]&lt;10,"5-9 Years",
TRUE,"10+ Years"
)</f>
        <v>&lt;2 Years</v>
      </c>
      <c r="AM797" s="1">
        <f>IF(HR_Data[[#This Row],[Attrition]]="Yes",1,0)</f>
        <v>0</v>
      </c>
    </row>
    <row r="798" spans="1:39" x14ac:dyDescent="0.3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 cm="1">
        <f t="array" ref="AJ798">_xlfn.IFS(
HR_Data[[#This Row],[Age]]&lt;25,"Under 25",
HR_Data[[#This Row],[Age]]&lt;35,"25-34",
HR_Data[[#This Row],[Age]]&lt;45,"35-44",
HR_Data[[#This Row],[Age]]&lt;55,"45-54",
TRUE,"55+"
)</f>
        <v>25-34</v>
      </c>
      <c r="AK798" t="str" cm="1">
        <f t="array" ref="AK798">_xlfn.IFS(
HR_Data[[#This Row],[MonthlyIncome]]&lt;3000,"&lt;3K",
HR_Data[[#This Row],[MonthlyIncome]]&lt;6000,"3K-6K",
HR_Data[[#This Row],[MonthlyIncome]]&lt;10000,"6K-10K",
TRUE,"10K+"
)</f>
        <v>3K-6K</v>
      </c>
      <c r="AL798" t="str" cm="1">
        <f t="array" ref="AL798">_xlfn.IFS(
HR_Data[[#This Row],[YearsAtCompany]]&lt;2,"&lt;2 Years",
HR_Data[[#This Row],[YearsAtCompany]]&lt;5,"2-4 Years",
HR_Data[[#This Row],[YearsAtCompany]]&lt;10,"5-9 Years",
TRUE,"10+ Years"
)</f>
        <v>5-9 Years</v>
      </c>
      <c r="AM798" s="1">
        <f>IF(HR_Data[[#This Row],[Attrition]]="Yes",1,0)</f>
        <v>1</v>
      </c>
    </row>
    <row r="799" spans="1:39" x14ac:dyDescent="0.3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 cm="1">
        <f t="array" ref="AJ799">_xlfn.IFS(
HR_Data[[#This Row],[Age]]&lt;25,"Under 25",
HR_Data[[#This Row],[Age]]&lt;35,"25-34",
HR_Data[[#This Row],[Age]]&lt;45,"35-44",
HR_Data[[#This Row],[Age]]&lt;55,"45-54",
TRUE,"55+"
)</f>
        <v>25-34</v>
      </c>
      <c r="AK799" t="str" cm="1">
        <f t="array" ref="AK799">_xlfn.IFS(
HR_Data[[#This Row],[MonthlyIncome]]&lt;3000,"&lt;3K",
HR_Data[[#This Row],[MonthlyIncome]]&lt;6000,"3K-6K",
HR_Data[[#This Row],[MonthlyIncome]]&lt;10000,"6K-10K",
TRUE,"10K+"
)</f>
        <v>&lt;3K</v>
      </c>
      <c r="AL799" t="str" cm="1">
        <f t="array" ref="AL799">_xlfn.IFS(
HR_Data[[#This Row],[YearsAtCompany]]&lt;2,"&lt;2 Years",
HR_Data[[#This Row],[YearsAtCompany]]&lt;5,"2-4 Years",
HR_Data[[#This Row],[YearsAtCompany]]&lt;10,"5-9 Years",
TRUE,"10+ Years"
)</f>
        <v>&lt;2 Years</v>
      </c>
      <c r="AM799" s="1">
        <f>IF(HR_Data[[#This Row],[Attrition]]="Yes",1,0)</f>
        <v>1</v>
      </c>
    </row>
    <row r="800" spans="1:39" x14ac:dyDescent="0.3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 cm="1">
        <f t="array" ref="AJ800">_xlfn.IFS(
HR_Data[[#This Row],[Age]]&lt;25,"Under 25",
HR_Data[[#This Row],[Age]]&lt;35,"25-34",
HR_Data[[#This Row],[Age]]&lt;45,"35-44",
HR_Data[[#This Row],[Age]]&lt;55,"45-54",
TRUE,"55+"
)</f>
        <v>25-34</v>
      </c>
      <c r="AK800" t="str" cm="1">
        <f t="array" ref="AK800">_xlfn.IFS(
HR_Data[[#This Row],[MonthlyIncome]]&lt;3000,"&lt;3K",
HR_Data[[#This Row],[MonthlyIncome]]&lt;6000,"3K-6K",
HR_Data[[#This Row],[MonthlyIncome]]&lt;10000,"6K-10K",
TRUE,"10K+"
)</f>
        <v>&lt;3K</v>
      </c>
      <c r="AL800" t="str" cm="1">
        <f t="array" ref="AL800">_xlfn.IFS(
HR_Data[[#This Row],[YearsAtCompany]]&lt;2,"&lt;2 Years",
HR_Data[[#This Row],[YearsAtCompany]]&lt;5,"2-4 Years",
HR_Data[[#This Row],[YearsAtCompany]]&lt;10,"5-9 Years",
TRUE,"10+ Years"
)</f>
        <v>2-4 Years</v>
      </c>
      <c r="AM800" s="1">
        <f>IF(HR_Data[[#This Row],[Attrition]]="Yes",1,0)</f>
        <v>1</v>
      </c>
    </row>
    <row r="801" spans="1:39" x14ac:dyDescent="0.3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 cm="1">
        <f t="array" ref="AJ801">_xlfn.IFS(
HR_Data[[#This Row],[Age]]&lt;25,"Under 25",
HR_Data[[#This Row],[Age]]&lt;35,"25-34",
HR_Data[[#This Row],[Age]]&lt;45,"35-44",
HR_Data[[#This Row],[Age]]&lt;55,"45-54",
TRUE,"55+"
)</f>
        <v>35-44</v>
      </c>
      <c r="AK801" t="str" cm="1">
        <f t="array" ref="AK801">_xlfn.IFS(
HR_Data[[#This Row],[MonthlyIncome]]&lt;3000,"&lt;3K",
HR_Data[[#This Row],[MonthlyIncome]]&lt;6000,"3K-6K",
HR_Data[[#This Row],[MonthlyIncome]]&lt;10000,"6K-10K",
TRUE,"10K+"
)</f>
        <v>10K+</v>
      </c>
      <c r="AL801" t="str" cm="1">
        <f t="array" ref="AL801">_xlfn.IFS(
HR_Data[[#This Row],[YearsAtCompany]]&lt;2,"&lt;2 Years",
HR_Data[[#This Row],[YearsAtCompany]]&lt;5,"2-4 Years",
HR_Data[[#This Row],[YearsAtCompany]]&lt;10,"5-9 Years",
TRUE,"10+ Years"
)</f>
        <v>10+ Years</v>
      </c>
      <c r="AM801" s="1">
        <f>IF(HR_Data[[#This Row],[Attrition]]="Yes",1,0)</f>
        <v>0</v>
      </c>
    </row>
    <row r="802" spans="1:39" x14ac:dyDescent="0.3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 cm="1">
        <f t="array" ref="AJ802">_xlfn.IFS(
HR_Data[[#This Row],[Age]]&lt;25,"Under 25",
HR_Data[[#This Row],[Age]]&lt;35,"25-34",
HR_Data[[#This Row],[Age]]&lt;45,"35-44",
HR_Data[[#This Row],[Age]]&lt;55,"45-54",
TRUE,"55+"
)</f>
        <v>25-34</v>
      </c>
      <c r="AK802" t="str" cm="1">
        <f t="array" ref="AK802">_xlfn.IFS(
HR_Data[[#This Row],[MonthlyIncome]]&lt;3000,"&lt;3K",
HR_Data[[#This Row],[MonthlyIncome]]&lt;6000,"3K-6K",
HR_Data[[#This Row],[MonthlyIncome]]&lt;10000,"6K-10K",
TRUE,"10K+"
)</f>
        <v>&lt;3K</v>
      </c>
      <c r="AL802" t="str" cm="1">
        <f t="array" ref="AL802">_xlfn.IFS(
HR_Data[[#This Row],[YearsAtCompany]]&lt;2,"&lt;2 Years",
HR_Data[[#This Row],[YearsAtCompany]]&lt;5,"2-4 Years",
HR_Data[[#This Row],[YearsAtCompany]]&lt;10,"5-9 Years",
TRUE,"10+ Years"
)</f>
        <v>&lt;2 Years</v>
      </c>
      <c r="AM802" s="1">
        <f>IF(HR_Data[[#This Row],[Attrition]]="Yes",1,0)</f>
        <v>1</v>
      </c>
    </row>
    <row r="803" spans="1:39" x14ac:dyDescent="0.3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 cm="1">
        <f t="array" ref="AJ803">_xlfn.IFS(
HR_Data[[#This Row],[Age]]&lt;25,"Under 25",
HR_Data[[#This Row],[Age]]&lt;35,"25-34",
HR_Data[[#This Row],[Age]]&lt;45,"35-44",
HR_Data[[#This Row],[Age]]&lt;55,"45-54",
TRUE,"55+"
)</f>
        <v>45-54</v>
      </c>
      <c r="AK803" t="str" cm="1">
        <f t="array" ref="AK803">_xlfn.IFS(
HR_Data[[#This Row],[MonthlyIncome]]&lt;3000,"&lt;3K",
HR_Data[[#This Row],[MonthlyIncome]]&lt;6000,"3K-6K",
HR_Data[[#This Row],[MonthlyIncome]]&lt;10000,"6K-10K",
TRUE,"10K+"
)</f>
        <v>3K-6K</v>
      </c>
      <c r="AL803" t="str" cm="1">
        <f t="array" ref="AL803">_xlfn.IFS(
HR_Data[[#This Row],[YearsAtCompany]]&lt;2,"&lt;2 Years",
HR_Data[[#This Row],[YearsAtCompany]]&lt;5,"2-4 Years",
HR_Data[[#This Row],[YearsAtCompany]]&lt;10,"5-9 Years",
TRUE,"10+ Years"
)</f>
        <v>&lt;2 Years</v>
      </c>
      <c r="AM803" s="1">
        <f>IF(HR_Data[[#This Row],[Attrition]]="Yes",1,0)</f>
        <v>1</v>
      </c>
    </row>
    <row r="804" spans="1:39" x14ac:dyDescent="0.3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 cm="1">
        <f t="array" ref="AJ804">_xlfn.IFS(
HR_Data[[#This Row],[Age]]&lt;25,"Under 25",
HR_Data[[#This Row],[Age]]&lt;35,"25-34",
HR_Data[[#This Row],[Age]]&lt;45,"35-44",
HR_Data[[#This Row],[Age]]&lt;55,"45-54",
TRUE,"55+"
)</f>
        <v>25-34</v>
      </c>
      <c r="AK804" t="str" cm="1">
        <f t="array" ref="AK804">_xlfn.IFS(
HR_Data[[#This Row],[MonthlyIncome]]&lt;3000,"&lt;3K",
HR_Data[[#This Row],[MonthlyIncome]]&lt;6000,"3K-6K",
HR_Data[[#This Row],[MonthlyIncome]]&lt;10000,"6K-10K",
TRUE,"10K+"
)</f>
        <v>3K-6K</v>
      </c>
      <c r="AL804" t="str" cm="1">
        <f t="array" ref="AL804">_xlfn.IFS(
HR_Data[[#This Row],[YearsAtCompany]]&lt;2,"&lt;2 Years",
HR_Data[[#This Row],[YearsAtCompany]]&lt;5,"2-4 Years",
HR_Data[[#This Row],[YearsAtCompany]]&lt;10,"5-9 Years",
TRUE,"10+ Years"
)</f>
        <v>2-4 Years</v>
      </c>
      <c r="AM804" s="1">
        <f>IF(HR_Data[[#This Row],[Attrition]]="Yes",1,0)</f>
        <v>0</v>
      </c>
    </row>
    <row r="805" spans="1:39" x14ac:dyDescent="0.3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 cm="1">
        <f t="array" ref="AJ805">_xlfn.IFS(
HR_Data[[#This Row],[Age]]&lt;25,"Under 25",
HR_Data[[#This Row],[Age]]&lt;35,"25-34",
HR_Data[[#This Row],[Age]]&lt;45,"35-44",
HR_Data[[#This Row],[Age]]&lt;55,"45-54",
TRUE,"55+"
)</f>
        <v>25-34</v>
      </c>
      <c r="AK805" t="str" cm="1">
        <f t="array" ref="AK805">_xlfn.IFS(
HR_Data[[#This Row],[MonthlyIncome]]&lt;3000,"&lt;3K",
HR_Data[[#This Row],[MonthlyIncome]]&lt;6000,"3K-6K",
HR_Data[[#This Row],[MonthlyIncome]]&lt;10000,"6K-10K",
TRUE,"10K+"
)</f>
        <v>&lt;3K</v>
      </c>
      <c r="AL805" t="str" cm="1">
        <f t="array" ref="AL805">_xlfn.IFS(
HR_Data[[#This Row],[YearsAtCompany]]&lt;2,"&lt;2 Years",
HR_Data[[#This Row],[YearsAtCompany]]&lt;5,"2-4 Years",
HR_Data[[#This Row],[YearsAtCompany]]&lt;10,"5-9 Years",
TRUE,"10+ Years"
)</f>
        <v>&lt;2 Years</v>
      </c>
      <c r="AM805" s="1">
        <f>IF(HR_Data[[#This Row],[Attrition]]="Yes",1,0)</f>
        <v>0</v>
      </c>
    </row>
    <row r="806" spans="1:39" x14ac:dyDescent="0.3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 cm="1">
        <f t="array" ref="AJ806">_xlfn.IFS(
HR_Data[[#This Row],[Age]]&lt;25,"Under 25",
HR_Data[[#This Row],[Age]]&lt;35,"25-34",
HR_Data[[#This Row],[Age]]&lt;45,"35-44",
HR_Data[[#This Row],[Age]]&lt;55,"45-54",
TRUE,"55+"
)</f>
        <v>45-54</v>
      </c>
      <c r="AK806" t="str" cm="1">
        <f t="array" ref="AK806">_xlfn.IFS(
HR_Data[[#This Row],[MonthlyIncome]]&lt;3000,"&lt;3K",
HR_Data[[#This Row],[MonthlyIncome]]&lt;6000,"3K-6K",
HR_Data[[#This Row],[MonthlyIncome]]&lt;10000,"6K-10K",
TRUE,"10K+"
)</f>
        <v>10K+</v>
      </c>
      <c r="AL806" t="str" cm="1">
        <f t="array" ref="AL806">_xlfn.IFS(
HR_Data[[#This Row],[YearsAtCompany]]&lt;2,"&lt;2 Years",
HR_Data[[#This Row],[YearsAtCompany]]&lt;5,"2-4 Years",
HR_Data[[#This Row],[YearsAtCompany]]&lt;10,"5-9 Years",
TRUE,"10+ Years"
)</f>
        <v>5-9 Years</v>
      </c>
      <c r="AM806" s="1">
        <f>IF(HR_Data[[#This Row],[Attrition]]="Yes",1,0)</f>
        <v>0</v>
      </c>
    </row>
    <row r="807" spans="1:39" x14ac:dyDescent="0.3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 cm="1">
        <f t="array" ref="AJ807">_xlfn.IFS(
HR_Data[[#This Row],[Age]]&lt;25,"Under 25",
HR_Data[[#This Row],[Age]]&lt;35,"25-34",
HR_Data[[#This Row],[Age]]&lt;45,"35-44",
HR_Data[[#This Row],[Age]]&lt;55,"45-54",
TRUE,"55+"
)</f>
        <v>45-54</v>
      </c>
      <c r="AK807" t="str" cm="1">
        <f t="array" ref="AK807">_xlfn.IFS(
HR_Data[[#This Row],[MonthlyIncome]]&lt;3000,"&lt;3K",
HR_Data[[#This Row],[MonthlyIncome]]&lt;6000,"3K-6K",
HR_Data[[#This Row],[MonthlyIncome]]&lt;10000,"6K-10K",
TRUE,"10K+"
)</f>
        <v>3K-6K</v>
      </c>
      <c r="AL807" t="str" cm="1">
        <f t="array" ref="AL807">_xlfn.IFS(
HR_Data[[#This Row],[YearsAtCompany]]&lt;2,"&lt;2 Years",
HR_Data[[#This Row],[YearsAtCompany]]&lt;5,"2-4 Years",
HR_Data[[#This Row],[YearsAtCompany]]&lt;10,"5-9 Years",
TRUE,"10+ Years"
)</f>
        <v>10+ Years</v>
      </c>
      <c r="AM807" s="1">
        <f>IF(HR_Data[[#This Row],[Attrition]]="Yes",1,0)</f>
        <v>0</v>
      </c>
    </row>
    <row r="808" spans="1:39" x14ac:dyDescent="0.3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 cm="1">
        <f t="array" ref="AJ808">_xlfn.IFS(
HR_Data[[#This Row],[Age]]&lt;25,"Under 25",
HR_Data[[#This Row],[Age]]&lt;35,"25-34",
HR_Data[[#This Row],[Age]]&lt;45,"35-44",
HR_Data[[#This Row],[Age]]&lt;55,"45-54",
TRUE,"55+"
)</f>
        <v>45-54</v>
      </c>
      <c r="AK808" t="str" cm="1">
        <f t="array" ref="AK808">_xlfn.IFS(
HR_Data[[#This Row],[MonthlyIncome]]&lt;3000,"&lt;3K",
HR_Data[[#This Row],[MonthlyIncome]]&lt;6000,"3K-6K",
HR_Data[[#This Row],[MonthlyIncome]]&lt;10000,"6K-10K",
TRUE,"10K+"
)</f>
        <v>10K+</v>
      </c>
      <c r="AL808" t="str" cm="1">
        <f t="array" ref="AL808">_xlfn.IFS(
HR_Data[[#This Row],[YearsAtCompany]]&lt;2,"&lt;2 Years",
HR_Data[[#This Row],[YearsAtCompany]]&lt;5,"2-4 Years",
HR_Data[[#This Row],[YearsAtCompany]]&lt;10,"5-9 Years",
TRUE,"10+ Years"
)</f>
        <v>5-9 Years</v>
      </c>
      <c r="AM808" s="1">
        <f>IF(HR_Data[[#This Row],[Attrition]]="Yes",1,0)</f>
        <v>0</v>
      </c>
    </row>
    <row r="809" spans="1:39" x14ac:dyDescent="0.3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 cm="1">
        <f t="array" ref="AJ809">_xlfn.IFS(
HR_Data[[#This Row],[Age]]&lt;25,"Under 25",
HR_Data[[#This Row],[Age]]&lt;35,"25-34",
HR_Data[[#This Row],[Age]]&lt;45,"35-44",
HR_Data[[#This Row],[Age]]&lt;55,"45-54",
TRUE,"55+"
)</f>
        <v>35-44</v>
      </c>
      <c r="AK809" t="str" cm="1">
        <f t="array" ref="AK809">_xlfn.IFS(
HR_Data[[#This Row],[MonthlyIncome]]&lt;3000,"&lt;3K",
HR_Data[[#This Row],[MonthlyIncome]]&lt;6000,"3K-6K",
HR_Data[[#This Row],[MonthlyIncome]]&lt;10000,"6K-10K",
TRUE,"10K+"
)</f>
        <v>6K-10K</v>
      </c>
      <c r="AL809" t="str" cm="1">
        <f t="array" ref="AL809">_xlfn.IFS(
HR_Data[[#This Row],[YearsAtCompany]]&lt;2,"&lt;2 Years",
HR_Data[[#This Row],[YearsAtCompany]]&lt;5,"2-4 Years",
HR_Data[[#This Row],[YearsAtCompany]]&lt;10,"5-9 Years",
TRUE,"10+ Years"
)</f>
        <v>5-9 Years</v>
      </c>
      <c r="AM809" s="1">
        <f>IF(HR_Data[[#This Row],[Attrition]]="Yes",1,0)</f>
        <v>0</v>
      </c>
    </row>
    <row r="810" spans="1:39" x14ac:dyDescent="0.3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 cm="1">
        <f t="array" ref="AJ810">_xlfn.IFS(
HR_Data[[#This Row],[Age]]&lt;25,"Under 25",
HR_Data[[#This Row],[Age]]&lt;35,"25-34",
HR_Data[[#This Row],[Age]]&lt;45,"35-44",
HR_Data[[#This Row],[Age]]&lt;55,"45-54",
TRUE,"55+"
)</f>
        <v>25-34</v>
      </c>
      <c r="AK810" t="str" cm="1">
        <f t="array" ref="AK810">_xlfn.IFS(
HR_Data[[#This Row],[MonthlyIncome]]&lt;3000,"&lt;3K",
HR_Data[[#This Row],[MonthlyIncome]]&lt;6000,"3K-6K",
HR_Data[[#This Row],[MonthlyIncome]]&lt;10000,"6K-10K",
TRUE,"10K+"
)</f>
        <v>&lt;3K</v>
      </c>
      <c r="AL810" t="str" cm="1">
        <f t="array" ref="AL810">_xlfn.IFS(
HR_Data[[#This Row],[YearsAtCompany]]&lt;2,"&lt;2 Years",
HR_Data[[#This Row],[YearsAtCompany]]&lt;5,"2-4 Years",
HR_Data[[#This Row],[YearsAtCompany]]&lt;10,"5-9 Years",
TRUE,"10+ Years"
)</f>
        <v>5-9 Years</v>
      </c>
      <c r="AM810" s="1">
        <f>IF(HR_Data[[#This Row],[Attrition]]="Yes",1,0)</f>
        <v>0</v>
      </c>
    </row>
    <row r="811" spans="1:39" x14ac:dyDescent="0.3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 cm="1">
        <f t="array" ref="AJ811">_xlfn.IFS(
HR_Data[[#This Row],[Age]]&lt;25,"Under 25",
HR_Data[[#This Row],[Age]]&lt;35,"25-34",
HR_Data[[#This Row],[Age]]&lt;45,"35-44",
HR_Data[[#This Row],[Age]]&lt;55,"45-54",
TRUE,"55+"
)</f>
        <v>25-34</v>
      </c>
      <c r="AK811" t="str" cm="1">
        <f t="array" ref="AK811">_xlfn.IFS(
HR_Data[[#This Row],[MonthlyIncome]]&lt;3000,"&lt;3K",
HR_Data[[#This Row],[MonthlyIncome]]&lt;6000,"3K-6K",
HR_Data[[#This Row],[MonthlyIncome]]&lt;10000,"6K-10K",
TRUE,"10K+"
)</f>
        <v>6K-10K</v>
      </c>
      <c r="AL811" t="str" cm="1">
        <f t="array" ref="AL811">_xlfn.IFS(
HR_Data[[#This Row],[YearsAtCompany]]&lt;2,"&lt;2 Years",
HR_Data[[#This Row],[YearsAtCompany]]&lt;5,"2-4 Years",
HR_Data[[#This Row],[YearsAtCompany]]&lt;10,"5-9 Years",
TRUE,"10+ Years"
)</f>
        <v>5-9 Years</v>
      </c>
      <c r="AM811" s="1">
        <f>IF(HR_Data[[#This Row],[Attrition]]="Yes",1,0)</f>
        <v>0</v>
      </c>
    </row>
    <row r="812" spans="1:39" x14ac:dyDescent="0.3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 cm="1">
        <f t="array" ref="AJ812">_xlfn.IFS(
HR_Data[[#This Row],[Age]]&lt;25,"Under 25",
HR_Data[[#This Row],[Age]]&lt;35,"25-34",
HR_Data[[#This Row],[Age]]&lt;45,"35-44",
HR_Data[[#This Row],[Age]]&lt;55,"45-54",
TRUE,"55+"
)</f>
        <v>45-54</v>
      </c>
      <c r="AK812" t="str" cm="1">
        <f t="array" ref="AK812">_xlfn.IFS(
HR_Data[[#This Row],[MonthlyIncome]]&lt;3000,"&lt;3K",
HR_Data[[#This Row],[MonthlyIncome]]&lt;6000,"3K-6K",
HR_Data[[#This Row],[MonthlyIncome]]&lt;10000,"6K-10K",
TRUE,"10K+"
)</f>
        <v>10K+</v>
      </c>
      <c r="AL812" t="str" cm="1">
        <f t="array" ref="AL812">_xlfn.IFS(
HR_Data[[#This Row],[YearsAtCompany]]&lt;2,"&lt;2 Years",
HR_Data[[#This Row],[YearsAtCompany]]&lt;5,"2-4 Years",
HR_Data[[#This Row],[YearsAtCompany]]&lt;10,"5-9 Years",
TRUE,"10+ Years"
)</f>
        <v>10+ Years</v>
      </c>
      <c r="AM812" s="1">
        <f>IF(HR_Data[[#This Row],[Attrition]]="Yes",1,0)</f>
        <v>0</v>
      </c>
    </row>
    <row r="813" spans="1:39" x14ac:dyDescent="0.3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 cm="1">
        <f t="array" ref="AJ813">_xlfn.IFS(
HR_Data[[#This Row],[Age]]&lt;25,"Under 25",
HR_Data[[#This Row],[Age]]&lt;35,"25-34",
HR_Data[[#This Row],[Age]]&lt;45,"35-44",
HR_Data[[#This Row],[Age]]&lt;55,"45-54",
TRUE,"55+"
)</f>
        <v>35-44</v>
      </c>
      <c r="AK813" t="str" cm="1">
        <f t="array" ref="AK813">_xlfn.IFS(
HR_Data[[#This Row],[MonthlyIncome]]&lt;3000,"&lt;3K",
HR_Data[[#This Row],[MonthlyIncome]]&lt;6000,"3K-6K",
HR_Data[[#This Row],[MonthlyIncome]]&lt;10000,"6K-10K",
TRUE,"10K+"
)</f>
        <v>6K-10K</v>
      </c>
      <c r="AL813" t="str" cm="1">
        <f t="array" ref="AL813">_xlfn.IFS(
HR_Data[[#This Row],[YearsAtCompany]]&lt;2,"&lt;2 Years",
HR_Data[[#This Row],[YearsAtCompany]]&lt;5,"2-4 Years",
HR_Data[[#This Row],[YearsAtCompany]]&lt;10,"5-9 Years",
TRUE,"10+ Years"
)</f>
        <v>&lt;2 Years</v>
      </c>
      <c r="AM813" s="1">
        <f>IF(HR_Data[[#This Row],[Attrition]]="Yes",1,0)</f>
        <v>0</v>
      </c>
    </row>
    <row r="814" spans="1:39" x14ac:dyDescent="0.3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 cm="1">
        <f t="array" ref="AJ814">_xlfn.IFS(
HR_Data[[#This Row],[Age]]&lt;25,"Under 25",
HR_Data[[#This Row],[Age]]&lt;35,"25-34",
HR_Data[[#This Row],[Age]]&lt;45,"35-44",
HR_Data[[#This Row],[Age]]&lt;55,"45-54",
TRUE,"55+"
)</f>
        <v>35-44</v>
      </c>
      <c r="AK814" t="str" cm="1">
        <f t="array" ref="AK814">_xlfn.IFS(
HR_Data[[#This Row],[MonthlyIncome]]&lt;3000,"&lt;3K",
HR_Data[[#This Row],[MonthlyIncome]]&lt;6000,"3K-6K",
HR_Data[[#This Row],[MonthlyIncome]]&lt;10000,"6K-10K",
TRUE,"10K+"
)</f>
        <v>10K+</v>
      </c>
      <c r="AL814" t="str" cm="1">
        <f t="array" ref="AL814">_xlfn.IFS(
HR_Data[[#This Row],[YearsAtCompany]]&lt;2,"&lt;2 Years",
HR_Data[[#This Row],[YearsAtCompany]]&lt;5,"2-4 Years",
HR_Data[[#This Row],[YearsAtCompany]]&lt;10,"5-9 Years",
TRUE,"10+ Years"
)</f>
        <v>5-9 Years</v>
      </c>
      <c r="AM814" s="1">
        <f>IF(HR_Data[[#This Row],[Attrition]]="Yes",1,0)</f>
        <v>0</v>
      </c>
    </row>
    <row r="815" spans="1:39" x14ac:dyDescent="0.3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 cm="1">
        <f t="array" ref="AJ815">_xlfn.IFS(
HR_Data[[#This Row],[Age]]&lt;25,"Under 25",
HR_Data[[#This Row],[Age]]&lt;35,"25-34",
HR_Data[[#This Row],[Age]]&lt;45,"35-44",
HR_Data[[#This Row],[Age]]&lt;55,"45-54",
TRUE,"55+"
)</f>
        <v>35-44</v>
      </c>
      <c r="AK815" t="str" cm="1">
        <f t="array" ref="AK815">_xlfn.IFS(
HR_Data[[#This Row],[MonthlyIncome]]&lt;3000,"&lt;3K",
HR_Data[[#This Row],[MonthlyIncome]]&lt;6000,"3K-6K",
HR_Data[[#This Row],[MonthlyIncome]]&lt;10000,"6K-10K",
TRUE,"10K+"
)</f>
        <v>10K+</v>
      </c>
      <c r="AL815" t="str" cm="1">
        <f t="array" ref="AL815">_xlfn.IFS(
HR_Data[[#This Row],[YearsAtCompany]]&lt;2,"&lt;2 Years",
HR_Data[[#This Row],[YearsAtCompany]]&lt;5,"2-4 Years",
HR_Data[[#This Row],[YearsAtCompany]]&lt;10,"5-9 Years",
TRUE,"10+ Years"
)</f>
        <v>10+ Years</v>
      </c>
      <c r="AM815" s="1">
        <f>IF(HR_Data[[#This Row],[Attrition]]="Yes",1,0)</f>
        <v>1</v>
      </c>
    </row>
    <row r="816" spans="1:39" x14ac:dyDescent="0.3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 cm="1">
        <f t="array" ref="AJ816">_xlfn.IFS(
HR_Data[[#This Row],[Age]]&lt;25,"Under 25",
HR_Data[[#This Row],[Age]]&lt;35,"25-34",
HR_Data[[#This Row],[Age]]&lt;45,"35-44",
HR_Data[[#This Row],[Age]]&lt;55,"45-54",
TRUE,"55+"
)</f>
        <v>35-44</v>
      </c>
      <c r="AK816" t="str" cm="1">
        <f t="array" ref="AK816">_xlfn.IFS(
HR_Data[[#This Row],[MonthlyIncome]]&lt;3000,"&lt;3K",
HR_Data[[#This Row],[MonthlyIncome]]&lt;6000,"3K-6K",
HR_Data[[#This Row],[MonthlyIncome]]&lt;10000,"6K-10K",
TRUE,"10K+"
)</f>
        <v>10K+</v>
      </c>
      <c r="AL816" t="str" cm="1">
        <f t="array" ref="AL816">_xlfn.IFS(
HR_Data[[#This Row],[YearsAtCompany]]&lt;2,"&lt;2 Years",
HR_Data[[#This Row],[YearsAtCompany]]&lt;5,"2-4 Years",
HR_Data[[#This Row],[YearsAtCompany]]&lt;10,"5-9 Years",
TRUE,"10+ Years"
)</f>
        <v>10+ Years</v>
      </c>
      <c r="AM816" s="1">
        <f>IF(HR_Data[[#This Row],[Attrition]]="Yes",1,0)</f>
        <v>0</v>
      </c>
    </row>
    <row r="817" spans="1:39" x14ac:dyDescent="0.3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 cm="1">
        <f t="array" ref="AJ817">_xlfn.IFS(
HR_Data[[#This Row],[Age]]&lt;25,"Under 25",
HR_Data[[#This Row],[Age]]&lt;35,"25-34",
HR_Data[[#This Row],[Age]]&lt;45,"35-44",
HR_Data[[#This Row],[Age]]&lt;55,"45-54",
TRUE,"55+"
)</f>
        <v>Under 25</v>
      </c>
      <c r="AK817" t="str" cm="1">
        <f t="array" ref="AK817">_xlfn.IFS(
HR_Data[[#This Row],[MonthlyIncome]]&lt;3000,"&lt;3K",
HR_Data[[#This Row],[MonthlyIncome]]&lt;6000,"3K-6K",
HR_Data[[#This Row],[MonthlyIncome]]&lt;10000,"6K-10K",
TRUE,"10K+"
)</f>
        <v>&lt;3K</v>
      </c>
      <c r="AL817" t="str" cm="1">
        <f t="array" ref="AL817">_xlfn.IFS(
HR_Data[[#This Row],[YearsAtCompany]]&lt;2,"&lt;2 Years",
HR_Data[[#This Row],[YearsAtCompany]]&lt;5,"2-4 Years",
HR_Data[[#This Row],[YearsAtCompany]]&lt;10,"5-9 Years",
TRUE,"10+ Years"
)</f>
        <v>2-4 Years</v>
      </c>
      <c r="AM817" s="1">
        <f>IF(HR_Data[[#This Row],[Attrition]]="Yes",1,0)</f>
        <v>0</v>
      </c>
    </row>
    <row r="818" spans="1:39" x14ac:dyDescent="0.3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 cm="1">
        <f t="array" ref="AJ818">_xlfn.IFS(
HR_Data[[#This Row],[Age]]&lt;25,"Under 25",
HR_Data[[#This Row],[Age]]&lt;35,"25-34",
HR_Data[[#This Row],[Age]]&lt;45,"35-44",
HR_Data[[#This Row],[Age]]&lt;55,"45-54",
TRUE,"55+"
)</f>
        <v>35-44</v>
      </c>
      <c r="AK818" t="str" cm="1">
        <f t="array" ref="AK818">_xlfn.IFS(
HR_Data[[#This Row],[MonthlyIncome]]&lt;3000,"&lt;3K",
HR_Data[[#This Row],[MonthlyIncome]]&lt;6000,"3K-6K",
HR_Data[[#This Row],[MonthlyIncome]]&lt;10000,"6K-10K",
TRUE,"10K+"
)</f>
        <v>6K-10K</v>
      </c>
      <c r="AL818" t="str" cm="1">
        <f t="array" ref="AL818">_xlfn.IFS(
HR_Data[[#This Row],[YearsAtCompany]]&lt;2,"&lt;2 Years",
HR_Data[[#This Row],[YearsAtCompany]]&lt;5,"2-4 Years",
HR_Data[[#This Row],[YearsAtCompany]]&lt;10,"5-9 Years",
TRUE,"10+ Years"
)</f>
        <v>5-9 Years</v>
      </c>
      <c r="AM818" s="1">
        <f>IF(HR_Data[[#This Row],[Attrition]]="Yes",1,0)</f>
        <v>0</v>
      </c>
    </row>
    <row r="819" spans="1:39" x14ac:dyDescent="0.3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 cm="1">
        <f t="array" ref="AJ819">_xlfn.IFS(
HR_Data[[#This Row],[Age]]&lt;25,"Under 25",
HR_Data[[#This Row],[Age]]&lt;35,"25-34",
HR_Data[[#This Row],[Age]]&lt;45,"35-44",
HR_Data[[#This Row],[Age]]&lt;55,"45-54",
TRUE,"55+"
)</f>
        <v>35-44</v>
      </c>
      <c r="AK819" t="str" cm="1">
        <f t="array" ref="AK819">_xlfn.IFS(
HR_Data[[#This Row],[MonthlyIncome]]&lt;3000,"&lt;3K",
HR_Data[[#This Row],[MonthlyIncome]]&lt;6000,"3K-6K",
HR_Data[[#This Row],[MonthlyIncome]]&lt;10000,"6K-10K",
TRUE,"10K+"
)</f>
        <v>6K-10K</v>
      </c>
      <c r="AL819" t="str" cm="1">
        <f t="array" ref="AL819">_xlfn.IFS(
HR_Data[[#This Row],[YearsAtCompany]]&lt;2,"&lt;2 Years",
HR_Data[[#This Row],[YearsAtCompany]]&lt;5,"2-4 Years",
HR_Data[[#This Row],[YearsAtCompany]]&lt;10,"5-9 Years",
TRUE,"10+ Years"
)</f>
        <v>10+ Years</v>
      </c>
      <c r="AM819" s="1">
        <f>IF(HR_Data[[#This Row],[Attrition]]="Yes",1,0)</f>
        <v>0</v>
      </c>
    </row>
    <row r="820" spans="1:39" x14ac:dyDescent="0.3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 cm="1">
        <f t="array" ref="AJ820">_xlfn.IFS(
HR_Data[[#This Row],[Age]]&lt;25,"Under 25",
HR_Data[[#This Row],[Age]]&lt;35,"25-34",
HR_Data[[#This Row],[Age]]&lt;45,"35-44",
HR_Data[[#This Row],[Age]]&lt;55,"45-54",
TRUE,"55+"
)</f>
        <v>25-34</v>
      </c>
      <c r="AK820" t="str" cm="1">
        <f t="array" ref="AK820">_xlfn.IFS(
HR_Data[[#This Row],[MonthlyIncome]]&lt;3000,"&lt;3K",
HR_Data[[#This Row],[MonthlyIncome]]&lt;6000,"3K-6K",
HR_Data[[#This Row],[MonthlyIncome]]&lt;10000,"6K-10K",
TRUE,"10K+"
)</f>
        <v>&lt;3K</v>
      </c>
      <c r="AL820" t="str" cm="1">
        <f t="array" ref="AL820">_xlfn.IFS(
HR_Data[[#This Row],[YearsAtCompany]]&lt;2,"&lt;2 Years",
HR_Data[[#This Row],[YearsAtCompany]]&lt;5,"2-4 Years",
HR_Data[[#This Row],[YearsAtCompany]]&lt;10,"5-9 Years",
TRUE,"10+ Years"
)</f>
        <v>2-4 Years</v>
      </c>
      <c r="AM820" s="1">
        <f>IF(HR_Data[[#This Row],[Attrition]]="Yes",1,0)</f>
        <v>0</v>
      </c>
    </row>
    <row r="821" spans="1:39" x14ac:dyDescent="0.3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 cm="1">
        <f t="array" ref="AJ821">_xlfn.IFS(
HR_Data[[#This Row],[Age]]&lt;25,"Under 25",
HR_Data[[#This Row],[Age]]&lt;35,"25-34",
HR_Data[[#This Row],[Age]]&lt;45,"35-44",
HR_Data[[#This Row],[Age]]&lt;55,"45-54",
TRUE,"55+"
)</f>
        <v>25-34</v>
      </c>
      <c r="AK821" t="str" cm="1">
        <f t="array" ref="AK821">_xlfn.IFS(
HR_Data[[#This Row],[MonthlyIncome]]&lt;3000,"&lt;3K",
HR_Data[[#This Row],[MonthlyIncome]]&lt;6000,"3K-6K",
HR_Data[[#This Row],[MonthlyIncome]]&lt;10000,"6K-10K",
TRUE,"10K+"
)</f>
        <v>3K-6K</v>
      </c>
      <c r="AL821" t="str" cm="1">
        <f t="array" ref="AL821">_xlfn.IFS(
HR_Data[[#This Row],[YearsAtCompany]]&lt;2,"&lt;2 Years",
HR_Data[[#This Row],[YearsAtCompany]]&lt;5,"2-4 Years",
HR_Data[[#This Row],[YearsAtCompany]]&lt;10,"5-9 Years",
TRUE,"10+ Years"
)</f>
        <v>5-9 Years</v>
      </c>
      <c r="AM821" s="1">
        <f>IF(HR_Data[[#This Row],[Attrition]]="Yes",1,0)</f>
        <v>0</v>
      </c>
    </row>
    <row r="822" spans="1:39" x14ac:dyDescent="0.3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 cm="1">
        <f t="array" ref="AJ822">_xlfn.IFS(
HR_Data[[#This Row],[Age]]&lt;25,"Under 25",
HR_Data[[#This Row],[Age]]&lt;35,"25-34",
HR_Data[[#This Row],[Age]]&lt;45,"35-44",
HR_Data[[#This Row],[Age]]&lt;55,"45-54",
TRUE,"55+"
)</f>
        <v>35-44</v>
      </c>
      <c r="AK822" t="str" cm="1">
        <f t="array" ref="AK822">_xlfn.IFS(
HR_Data[[#This Row],[MonthlyIncome]]&lt;3000,"&lt;3K",
HR_Data[[#This Row],[MonthlyIncome]]&lt;6000,"3K-6K",
HR_Data[[#This Row],[MonthlyIncome]]&lt;10000,"6K-10K",
TRUE,"10K+"
)</f>
        <v>3K-6K</v>
      </c>
      <c r="AL822" t="str" cm="1">
        <f t="array" ref="AL822">_xlfn.IFS(
HR_Data[[#This Row],[YearsAtCompany]]&lt;2,"&lt;2 Years",
HR_Data[[#This Row],[YearsAtCompany]]&lt;5,"2-4 Years",
HR_Data[[#This Row],[YearsAtCompany]]&lt;10,"5-9 Years",
TRUE,"10+ Years"
)</f>
        <v>5-9 Years</v>
      </c>
      <c r="AM822" s="1">
        <f>IF(HR_Data[[#This Row],[Attrition]]="Yes",1,0)</f>
        <v>0</v>
      </c>
    </row>
    <row r="823" spans="1:39" x14ac:dyDescent="0.3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 cm="1">
        <f t="array" ref="AJ823">_xlfn.IFS(
HR_Data[[#This Row],[Age]]&lt;25,"Under 25",
HR_Data[[#This Row],[Age]]&lt;35,"25-34",
HR_Data[[#This Row],[Age]]&lt;45,"35-44",
HR_Data[[#This Row],[Age]]&lt;55,"45-54",
TRUE,"55+"
)</f>
        <v>45-54</v>
      </c>
      <c r="AK823" t="str" cm="1">
        <f t="array" ref="AK823">_xlfn.IFS(
HR_Data[[#This Row],[MonthlyIncome]]&lt;3000,"&lt;3K",
HR_Data[[#This Row],[MonthlyIncome]]&lt;6000,"3K-6K",
HR_Data[[#This Row],[MonthlyIncome]]&lt;10000,"6K-10K",
TRUE,"10K+"
)</f>
        <v>10K+</v>
      </c>
      <c r="AL823" t="str" cm="1">
        <f t="array" ref="AL823">_xlfn.IFS(
HR_Data[[#This Row],[YearsAtCompany]]&lt;2,"&lt;2 Years",
HR_Data[[#This Row],[YearsAtCompany]]&lt;5,"2-4 Years",
HR_Data[[#This Row],[YearsAtCompany]]&lt;10,"5-9 Years",
TRUE,"10+ Years"
)</f>
        <v>5-9 Years</v>
      </c>
      <c r="AM823" s="1">
        <f>IF(HR_Data[[#This Row],[Attrition]]="Yes",1,0)</f>
        <v>0</v>
      </c>
    </row>
    <row r="824" spans="1:39" x14ac:dyDescent="0.3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 cm="1">
        <f t="array" ref="AJ824">_xlfn.IFS(
HR_Data[[#This Row],[Age]]&lt;25,"Under 25",
HR_Data[[#This Row],[Age]]&lt;35,"25-34",
HR_Data[[#This Row],[Age]]&lt;45,"35-44",
HR_Data[[#This Row],[Age]]&lt;55,"45-54",
TRUE,"55+"
)</f>
        <v>25-34</v>
      </c>
      <c r="AK824" t="str" cm="1">
        <f t="array" ref="AK824">_xlfn.IFS(
HR_Data[[#This Row],[MonthlyIncome]]&lt;3000,"&lt;3K",
HR_Data[[#This Row],[MonthlyIncome]]&lt;6000,"3K-6K",
HR_Data[[#This Row],[MonthlyIncome]]&lt;10000,"6K-10K",
TRUE,"10K+"
)</f>
        <v>3K-6K</v>
      </c>
      <c r="AL824" t="str" cm="1">
        <f t="array" ref="AL824">_xlfn.IFS(
HR_Data[[#This Row],[YearsAtCompany]]&lt;2,"&lt;2 Years",
HR_Data[[#This Row],[YearsAtCompany]]&lt;5,"2-4 Years",
HR_Data[[#This Row],[YearsAtCompany]]&lt;10,"5-9 Years",
TRUE,"10+ Years"
)</f>
        <v>2-4 Years</v>
      </c>
      <c r="AM824" s="1">
        <f>IF(HR_Data[[#This Row],[Attrition]]="Yes",1,0)</f>
        <v>0</v>
      </c>
    </row>
    <row r="825" spans="1:39" x14ac:dyDescent="0.3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 cm="1">
        <f t="array" ref="AJ825">_xlfn.IFS(
HR_Data[[#This Row],[Age]]&lt;25,"Under 25",
HR_Data[[#This Row],[Age]]&lt;35,"25-34",
HR_Data[[#This Row],[Age]]&lt;45,"35-44",
HR_Data[[#This Row],[Age]]&lt;55,"45-54",
TRUE,"55+"
)</f>
        <v>25-34</v>
      </c>
      <c r="AK825" t="str" cm="1">
        <f t="array" ref="AK825">_xlfn.IFS(
HR_Data[[#This Row],[MonthlyIncome]]&lt;3000,"&lt;3K",
HR_Data[[#This Row],[MonthlyIncome]]&lt;6000,"3K-6K",
HR_Data[[#This Row],[MonthlyIncome]]&lt;10000,"6K-10K",
TRUE,"10K+"
)</f>
        <v>3K-6K</v>
      </c>
      <c r="AL825" t="str" cm="1">
        <f t="array" ref="AL825">_xlfn.IFS(
HR_Data[[#This Row],[YearsAtCompany]]&lt;2,"&lt;2 Years",
HR_Data[[#This Row],[YearsAtCompany]]&lt;5,"2-4 Years",
HR_Data[[#This Row],[YearsAtCompany]]&lt;10,"5-9 Years",
TRUE,"10+ Years"
)</f>
        <v>5-9 Years</v>
      </c>
      <c r="AM825" s="1">
        <f>IF(HR_Data[[#This Row],[Attrition]]="Yes",1,0)</f>
        <v>0</v>
      </c>
    </row>
    <row r="826" spans="1:39" x14ac:dyDescent="0.3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 cm="1">
        <f t="array" ref="AJ826">_xlfn.IFS(
HR_Data[[#This Row],[Age]]&lt;25,"Under 25",
HR_Data[[#This Row],[Age]]&lt;35,"25-34",
HR_Data[[#This Row],[Age]]&lt;45,"35-44",
HR_Data[[#This Row],[Age]]&lt;55,"45-54",
TRUE,"55+"
)</f>
        <v>35-44</v>
      </c>
      <c r="AK826" t="str" cm="1">
        <f t="array" ref="AK826">_xlfn.IFS(
HR_Data[[#This Row],[MonthlyIncome]]&lt;3000,"&lt;3K",
HR_Data[[#This Row],[MonthlyIncome]]&lt;6000,"3K-6K",
HR_Data[[#This Row],[MonthlyIncome]]&lt;10000,"6K-10K",
TRUE,"10K+"
)</f>
        <v>3K-6K</v>
      </c>
      <c r="AL826" t="str" cm="1">
        <f t="array" ref="AL826">_xlfn.IFS(
HR_Data[[#This Row],[YearsAtCompany]]&lt;2,"&lt;2 Years",
HR_Data[[#This Row],[YearsAtCompany]]&lt;5,"2-4 Years",
HR_Data[[#This Row],[YearsAtCompany]]&lt;10,"5-9 Years",
TRUE,"10+ Years"
)</f>
        <v>&lt;2 Years</v>
      </c>
      <c r="AM826" s="1">
        <f>IF(HR_Data[[#This Row],[Attrition]]="Yes",1,0)</f>
        <v>0</v>
      </c>
    </row>
    <row r="827" spans="1:39" x14ac:dyDescent="0.3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 cm="1">
        <f t="array" ref="AJ827">_xlfn.IFS(
HR_Data[[#This Row],[Age]]&lt;25,"Under 25",
HR_Data[[#This Row],[Age]]&lt;35,"25-34",
HR_Data[[#This Row],[Age]]&lt;45,"35-44",
HR_Data[[#This Row],[Age]]&lt;55,"45-54",
TRUE,"55+"
)</f>
        <v>25-34</v>
      </c>
      <c r="AK827" t="str" cm="1">
        <f t="array" ref="AK827">_xlfn.IFS(
HR_Data[[#This Row],[MonthlyIncome]]&lt;3000,"&lt;3K",
HR_Data[[#This Row],[MonthlyIncome]]&lt;6000,"3K-6K",
HR_Data[[#This Row],[MonthlyIncome]]&lt;10000,"6K-10K",
TRUE,"10K+"
)</f>
        <v>3K-6K</v>
      </c>
      <c r="AL827" t="str" cm="1">
        <f t="array" ref="AL827">_xlfn.IFS(
HR_Data[[#This Row],[YearsAtCompany]]&lt;2,"&lt;2 Years",
HR_Data[[#This Row],[YearsAtCompany]]&lt;5,"2-4 Years",
HR_Data[[#This Row],[YearsAtCompany]]&lt;10,"5-9 Years",
TRUE,"10+ Years"
)</f>
        <v>10+ Years</v>
      </c>
      <c r="AM827" s="1">
        <f>IF(HR_Data[[#This Row],[Attrition]]="Yes",1,0)</f>
        <v>0</v>
      </c>
    </row>
    <row r="828" spans="1:39" x14ac:dyDescent="0.3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 cm="1">
        <f t="array" ref="AJ828">_xlfn.IFS(
HR_Data[[#This Row],[Age]]&lt;25,"Under 25",
HR_Data[[#This Row],[Age]]&lt;35,"25-34",
HR_Data[[#This Row],[Age]]&lt;45,"35-44",
HR_Data[[#This Row],[Age]]&lt;55,"45-54",
TRUE,"55+"
)</f>
        <v>35-44</v>
      </c>
      <c r="AK828" t="str" cm="1">
        <f t="array" ref="AK828">_xlfn.IFS(
HR_Data[[#This Row],[MonthlyIncome]]&lt;3000,"&lt;3K",
HR_Data[[#This Row],[MonthlyIncome]]&lt;6000,"3K-6K",
HR_Data[[#This Row],[MonthlyIncome]]&lt;10000,"6K-10K",
TRUE,"10K+"
)</f>
        <v>&lt;3K</v>
      </c>
      <c r="AL828" t="str" cm="1">
        <f t="array" ref="AL828">_xlfn.IFS(
HR_Data[[#This Row],[YearsAtCompany]]&lt;2,"&lt;2 Years",
HR_Data[[#This Row],[YearsAtCompany]]&lt;5,"2-4 Years",
HR_Data[[#This Row],[YearsAtCompany]]&lt;10,"5-9 Years",
TRUE,"10+ Years"
)</f>
        <v>5-9 Years</v>
      </c>
      <c r="AM828" s="1">
        <f>IF(HR_Data[[#This Row],[Attrition]]="Yes",1,0)</f>
        <v>0</v>
      </c>
    </row>
    <row r="829" spans="1:39" x14ac:dyDescent="0.3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 cm="1">
        <f t="array" ref="AJ829">_xlfn.IFS(
HR_Data[[#This Row],[Age]]&lt;25,"Under 25",
HR_Data[[#This Row],[Age]]&lt;35,"25-34",
HR_Data[[#This Row],[Age]]&lt;45,"35-44",
HR_Data[[#This Row],[Age]]&lt;55,"45-54",
TRUE,"55+"
)</f>
        <v>25-34</v>
      </c>
      <c r="AK829" t="str" cm="1">
        <f t="array" ref="AK829">_xlfn.IFS(
HR_Data[[#This Row],[MonthlyIncome]]&lt;3000,"&lt;3K",
HR_Data[[#This Row],[MonthlyIncome]]&lt;6000,"3K-6K",
HR_Data[[#This Row],[MonthlyIncome]]&lt;10000,"6K-10K",
TRUE,"10K+"
)</f>
        <v>&lt;3K</v>
      </c>
      <c r="AL829" t="str" cm="1">
        <f t="array" ref="AL829">_xlfn.IFS(
HR_Data[[#This Row],[YearsAtCompany]]&lt;2,"&lt;2 Years",
HR_Data[[#This Row],[YearsAtCompany]]&lt;5,"2-4 Years",
HR_Data[[#This Row],[YearsAtCompany]]&lt;10,"5-9 Years",
TRUE,"10+ Years"
)</f>
        <v>2-4 Years</v>
      </c>
      <c r="AM829" s="1">
        <f>IF(HR_Data[[#This Row],[Attrition]]="Yes",1,0)</f>
        <v>0</v>
      </c>
    </row>
    <row r="830" spans="1:39" x14ac:dyDescent="0.3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 cm="1">
        <f t="array" ref="AJ830">_xlfn.IFS(
HR_Data[[#This Row],[Age]]&lt;25,"Under 25",
HR_Data[[#This Row],[Age]]&lt;35,"25-34",
HR_Data[[#This Row],[Age]]&lt;45,"35-44",
HR_Data[[#This Row],[Age]]&lt;55,"45-54",
TRUE,"55+"
)</f>
        <v>Under 25</v>
      </c>
      <c r="AK830" t="str" cm="1">
        <f t="array" ref="AK830">_xlfn.IFS(
HR_Data[[#This Row],[MonthlyIncome]]&lt;3000,"&lt;3K",
HR_Data[[#This Row],[MonthlyIncome]]&lt;6000,"3K-6K",
HR_Data[[#This Row],[MonthlyIncome]]&lt;10000,"6K-10K",
TRUE,"10K+"
)</f>
        <v>&lt;3K</v>
      </c>
      <c r="AL830" t="str" cm="1">
        <f t="array" ref="AL830">_xlfn.IFS(
HR_Data[[#This Row],[YearsAtCompany]]&lt;2,"&lt;2 Years",
HR_Data[[#This Row],[YearsAtCompany]]&lt;5,"2-4 Years",
HR_Data[[#This Row],[YearsAtCompany]]&lt;10,"5-9 Years",
TRUE,"10+ Years"
)</f>
        <v>&lt;2 Years</v>
      </c>
      <c r="AM830" s="1">
        <f>IF(HR_Data[[#This Row],[Attrition]]="Yes",1,0)</f>
        <v>1</v>
      </c>
    </row>
    <row r="831" spans="1:39" x14ac:dyDescent="0.3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 cm="1">
        <f t="array" ref="AJ831">_xlfn.IFS(
HR_Data[[#This Row],[Age]]&lt;25,"Under 25",
HR_Data[[#This Row],[Age]]&lt;35,"25-34",
HR_Data[[#This Row],[Age]]&lt;45,"35-44",
HR_Data[[#This Row],[Age]]&lt;55,"45-54",
TRUE,"55+"
)</f>
        <v>25-34</v>
      </c>
      <c r="AK831" t="str" cm="1">
        <f t="array" ref="AK831">_xlfn.IFS(
HR_Data[[#This Row],[MonthlyIncome]]&lt;3000,"&lt;3K",
HR_Data[[#This Row],[MonthlyIncome]]&lt;6000,"3K-6K",
HR_Data[[#This Row],[MonthlyIncome]]&lt;10000,"6K-10K",
TRUE,"10K+"
)</f>
        <v>6K-10K</v>
      </c>
      <c r="AL831" t="str" cm="1">
        <f t="array" ref="AL831">_xlfn.IFS(
HR_Data[[#This Row],[YearsAtCompany]]&lt;2,"&lt;2 Years",
HR_Data[[#This Row],[YearsAtCompany]]&lt;5,"2-4 Years",
HR_Data[[#This Row],[YearsAtCompany]]&lt;10,"5-9 Years",
TRUE,"10+ Years"
)</f>
        <v>5-9 Years</v>
      </c>
      <c r="AM831" s="1">
        <f>IF(HR_Data[[#This Row],[Attrition]]="Yes",1,0)</f>
        <v>1</v>
      </c>
    </row>
    <row r="832" spans="1:39" x14ac:dyDescent="0.3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 cm="1">
        <f t="array" ref="AJ832">_xlfn.IFS(
HR_Data[[#This Row],[Age]]&lt;25,"Under 25",
HR_Data[[#This Row],[Age]]&lt;35,"25-34",
HR_Data[[#This Row],[Age]]&lt;45,"35-44",
HR_Data[[#This Row],[Age]]&lt;55,"45-54",
TRUE,"55+"
)</f>
        <v>35-44</v>
      </c>
      <c r="AK832" t="str" cm="1">
        <f t="array" ref="AK832">_xlfn.IFS(
HR_Data[[#This Row],[MonthlyIncome]]&lt;3000,"&lt;3K",
HR_Data[[#This Row],[MonthlyIncome]]&lt;6000,"3K-6K",
HR_Data[[#This Row],[MonthlyIncome]]&lt;10000,"6K-10K",
TRUE,"10K+"
)</f>
        <v>3K-6K</v>
      </c>
      <c r="AL832" t="str" cm="1">
        <f t="array" ref="AL832">_xlfn.IFS(
HR_Data[[#This Row],[YearsAtCompany]]&lt;2,"&lt;2 Years",
HR_Data[[#This Row],[YearsAtCompany]]&lt;5,"2-4 Years",
HR_Data[[#This Row],[YearsAtCompany]]&lt;10,"5-9 Years",
TRUE,"10+ Years"
)</f>
        <v>&lt;2 Years</v>
      </c>
      <c r="AM832" s="1">
        <f>IF(HR_Data[[#This Row],[Attrition]]="Yes",1,0)</f>
        <v>0</v>
      </c>
    </row>
    <row r="833" spans="1:39" x14ac:dyDescent="0.3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 cm="1">
        <f t="array" ref="AJ833">_xlfn.IFS(
HR_Data[[#This Row],[Age]]&lt;25,"Under 25",
HR_Data[[#This Row],[Age]]&lt;35,"25-34",
HR_Data[[#This Row],[Age]]&lt;45,"35-44",
HR_Data[[#This Row],[Age]]&lt;55,"45-54",
TRUE,"55+"
)</f>
        <v>25-34</v>
      </c>
      <c r="AK833" t="str" cm="1">
        <f t="array" ref="AK833">_xlfn.IFS(
HR_Data[[#This Row],[MonthlyIncome]]&lt;3000,"&lt;3K",
HR_Data[[#This Row],[MonthlyIncome]]&lt;6000,"3K-6K",
HR_Data[[#This Row],[MonthlyIncome]]&lt;10000,"6K-10K",
TRUE,"10K+"
)</f>
        <v>&lt;3K</v>
      </c>
      <c r="AL833" t="str" cm="1">
        <f t="array" ref="AL833">_xlfn.IFS(
HR_Data[[#This Row],[YearsAtCompany]]&lt;2,"&lt;2 Years",
HR_Data[[#This Row],[YearsAtCompany]]&lt;5,"2-4 Years",
HR_Data[[#This Row],[YearsAtCompany]]&lt;10,"5-9 Years",
TRUE,"10+ Years"
)</f>
        <v>2-4 Years</v>
      </c>
      <c r="AM833" s="1">
        <f>IF(HR_Data[[#This Row],[Attrition]]="Yes",1,0)</f>
        <v>1</v>
      </c>
    </row>
    <row r="834" spans="1:39" x14ac:dyDescent="0.3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 cm="1">
        <f t="array" ref="AJ834">_xlfn.IFS(
HR_Data[[#This Row],[Age]]&lt;25,"Under 25",
HR_Data[[#This Row],[Age]]&lt;35,"25-34",
HR_Data[[#This Row],[Age]]&lt;45,"35-44",
HR_Data[[#This Row],[Age]]&lt;55,"45-54",
TRUE,"55+"
)</f>
        <v>35-44</v>
      </c>
      <c r="AK834" t="str" cm="1">
        <f t="array" ref="AK834">_xlfn.IFS(
HR_Data[[#This Row],[MonthlyIncome]]&lt;3000,"&lt;3K",
HR_Data[[#This Row],[MonthlyIncome]]&lt;6000,"3K-6K",
HR_Data[[#This Row],[MonthlyIncome]]&lt;10000,"6K-10K",
TRUE,"10K+"
)</f>
        <v>3K-6K</v>
      </c>
      <c r="AL834" t="str" cm="1">
        <f t="array" ref="AL834">_xlfn.IFS(
HR_Data[[#This Row],[YearsAtCompany]]&lt;2,"&lt;2 Years",
HR_Data[[#This Row],[YearsAtCompany]]&lt;5,"2-4 Years",
HR_Data[[#This Row],[YearsAtCompany]]&lt;10,"5-9 Years",
TRUE,"10+ Years"
)</f>
        <v>5-9 Years</v>
      </c>
      <c r="AM834" s="1">
        <f>IF(HR_Data[[#This Row],[Attrition]]="Yes",1,0)</f>
        <v>0</v>
      </c>
    </row>
    <row r="835" spans="1:39" x14ac:dyDescent="0.3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 cm="1">
        <f t="array" ref="AJ835">_xlfn.IFS(
HR_Data[[#This Row],[Age]]&lt;25,"Under 25",
HR_Data[[#This Row],[Age]]&lt;35,"25-34",
HR_Data[[#This Row],[Age]]&lt;45,"35-44",
HR_Data[[#This Row],[Age]]&lt;55,"45-54",
TRUE,"55+"
)</f>
        <v>25-34</v>
      </c>
      <c r="AK835" t="str" cm="1">
        <f t="array" ref="AK835">_xlfn.IFS(
HR_Data[[#This Row],[MonthlyIncome]]&lt;3000,"&lt;3K",
HR_Data[[#This Row],[MonthlyIncome]]&lt;6000,"3K-6K",
HR_Data[[#This Row],[MonthlyIncome]]&lt;10000,"6K-10K",
TRUE,"10K+"
)</f>
        <v>&lt;3K</v>
      </c>
      <c r="AL835" t="str" cm="1">
        <f t="array" ref="AL835">_xlfn.IFS(
HR_Data[[#This Row],[YearsAtCompany]]&lt;2,"&lt;2 Years",
HR_Data[[#This Row],[YearsAtCompany]]&lt;5,"2-4 Years",
HR_Data[[#This Row],[YearsAtCompany]]&lt;10,"5-9 Years",
TRUE,"10+ Years"
)</f>
        <v>2-4 Years</v>
      </c>
      <c r="AM835" s="1">
        <f>IF(HR_Data[[#This Row],[Attrition]]="Yes",1,0)</f>
        <v>0</v>
      </c>
    </row>
    <row r="836" spans="1:39" x14ac:dyDescent="0.3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 cm="1">
        <f t="array" ref="AJ836">_xlfn.IFS(
HR_Data[[#This Row],[Age]]&lt;25,"Under 25",
HR_Data[[#This Row],[Age]]&lt;35,"25-34",
HR_Data[[#This Row],[Age]]&lt;45,"35-44",
HR_Data[[#This Row],[Age]]&lt;55,"45-54",
TRUE,"55+"
)</f>
        <v>25-34</v>
      </c>
      <c r="AK836" t="str" cm="1">
        <f t="array" ref="AK836">_xlfn.IFS(
HR_Data[[#This Row],[MonthlyIncome]]&lt;3000,"&lt;3K",
HR_Data[[#This Row],[MonthlyIncome]]&lt;6000,"3K-6K",
HR_Data[[#This Row],[MonthlyIncome]]&lt;10000,"6K-10K",
TRUE,"10K+"
)</f>
        <v>3K-6K</v>
      </c>
      <c r="AL836" t="str" cm="1">
        <f t="array" ref="AL836">_xlfn.IFS(
HR_Data[[#This Row],[YearsAtCompany]]&lt;2,"&lt;2 Years",
HR_Data[[#This Row],[YearsAtCompany]]&lt;5,"2-4 Years",
HR_Data[[#This Row],[YearsAtCompany]]&lt;10,"5-9 Years",
TRUE,"10+ Years"
)</f>
        <v>5-9 Years</v>
      </c>
      <c r="AM836" s="1">
        <f>IF(HR_Data[[#This Row],[Attrition]]="Yes",1,0)</f>
        <v>0</v>
      </c>
    </row>
    <row r="837" spans="1:39" x14ac:dyDescent="0.3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 cm="1">
        <f t="array" ref="AJ837">_xlfn.IFS(
HR_Data[[#This Row],[Age]]&lt;25,"Under 25",
HR_Data[[#This Row],[Age]]&lt;35,"25-34",
HR_Data[[#This Row],[Age]]&lt;45,"35-44",
HR_Data[[#This Row],[Age]]&lt;55,"45-54",
TRUE,"55+"
)</f>
        <v>35-44</v>
      </c>
      <c r="AK837" t="str" cm="1">
        <f t="array" ref="AK837">_xlfn.IFS(
HR_Data[[#This Row],[MonthlyIncome]]&lt;3000,"&lt;3K",
HR_Data[[#This Row],[MonthlyIncome]]&lt;6000,"3K-6K",
HR_Data[[#This Row],[MonthlyIncome]]&lt;10000,"6K-10K",
TRUE,"10K+"
)</f>
        <v>3K-6K</v>
      </c>
      <c r="AL837" t="str" cm="1">
        <f t="array" ref="AL837">_xlfn.IFS(
HR_Data[[#This Row],[YearsAtCompany]]&lt;2,"&lt;2 Years",
HR_Data[[#This Row],[YearsAtCompany]]&lt;5,"2-4 Years",
HR_Data[[#This Row],[YearsAtCompany]]&lt;10,"5-9 Years",
TRUE,"10+ Years"
)</f>
        <v>5-9 Years</v>
      </c>
      <c r="AM837" s="1">
        <f>IF(HR_Data[[#This Row],[Attrition]]="Yes",1,0)</f>
        <v>0</v>
      </c>
    </row>
    <row r="838" spans="1:39" x14ac:dyDescent="0.3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 cm="1">
        <f t="array" ref="AJ838">_xlfn.IFS(
HR_Data[[#This Row],[Age]]&lt;25,"Under 25",
HR_Data[[#This Row],[Age]]&lt;35,"25-34",
HR_Data[[#This Row],[Age]]&lt;45,"35-44",
HR_Data[[#This Row],[Age]]&lt;55,"45-54",
TRUE,"55+"
)</f>
        <v>25-34</v>
      </c>
      <c r="AK838" t="str" cm="1">
        <f t="array" ref="AK838">_xlfn.IFS(
HR_Data[[#This Row],[MonthlyIncome]]&lt;3000,"&lt;3K",
HR_Data[[#This Row],[MonthlyIncome]]&lt;6000,"3K-6K",
HR_Data[[#This Row],[MonthlyIncome]]&lt;10000,"6K-10K",
TRUE,"10K+"
)</f>
        <v>6K-10K</v>
      </c>
      <c r="AL838" t="str" cm="1">
        <f t="array" ref="AL838">_xlfn.IFS(
HR_Data[[#This Row],[YearsAtCompany]]&lt;2,"&lt;2 Years",
HR_Data[[#This Row],[YearsAtCompany]]&lt;5,"2-4 Years",
HR_Data[[#This Row],[YearsAtCompany]]&lt;10,"5-9 Years",
TRUE,"10+ Years"
)</f>
        <v>10+ Years</v>
      </c>
      <c r="AM838" s="1">
        <f>IF(HR_Data[[#This Row],[Attrition]]="Yes",1,0)</f>
        <v>1</v>
      </c>
    </row>
    <row r="839" spans="1:39" x14ac:dyDescent="0.3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 cm="1">
        <f t="array" ref="AJ839">_xlfn.IFS(
HR_Data[[#This Row],[Age]]&lt;25,"Under 25",
HR_Data[[#This Row],[Age]]&lt;35,"25-34",
HR_Data[[#This Row],[Age]]&lt;45,"35-44",
HR_Data[[#This Row],[Age]]&lt;55,"45-54",
TRUE,"55+"
)</f>
        <v>35-44</v>
      </c>
      <c r="AK839" t="str" cm="1">
        <f t="array" ref="AK839">_xlfn.IFS(
HR_Data[[#This Row],[MonthlyIncome]]&lt;3000,"&lt;3K",
HR_Data[[#This Row],[MonthlyIncome]]&lt;6000,"3K-6K",
HR_Data[[#This Row],[MonthlyIncome]]&lt;10000,"6K-10K",
TRUE,"10K+"
)</f>
        <v>10K+</v>
      </c>
      <c r="AL839" t="str" cm="1">
        <f t="array" ref="AL839">_xlfn.IFS(
HR_Data[[#This Row],[YearsAtCompany]]&lt;2,"&lt;2 Years",
HR_Data[[#This Row],[YearsAtCompany]]&lt;5,"2-4 Years",
HR_Data[[#This Row],[YearsAtCompany]]&lt;10,"5-9 Years",
TRUE,"10+ Years"
)</f>
        <v>10+ Years</v>
      </c>
      <c r="AM839" s="1">
        <f>IF(HR_Data[[#This Row],[Attrition]]="Yes",1,0)</f>
        <v>0</v>
      </c>
    </row>
    <row r="840" spans="1:39" x14ac:dyDescent="0.3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 cm="1">
        <f t="array" ref="AJ840">_xlfn.IFS(
HR_Data[[#This Row],[Age]]&lt;25,"Under 25",
HR_Data[[#This Row],[Age]]&lt;35,"25-34",
HR_Data[[#This Row],[Age]]&lt;45,"35-44",
HR_Data[[#This Row],[Age]]&lt;55,"45-54",
TRUE,"55+"
)</f>
        <v>35-44</v>
      </c>
      <c r="AK840" t="str" cm="1">
        <f t="array" ref="AK840">_xlfn.IFS(
HR_Data[[#This Row],[MonthlyIncome]]&lt;3000,"&lt;3K",
HR_Data[[#This Row],[MonthlyIncome]]&lt;6000,"3K-6K",
HR_Data[[#This Row],[MonthlyIncome]]&lt;10000,"6K-10K",
TRUE,"10K+"
)</f>
        <v>10K+</v>
      </c>
      <c r="AL840" t="str" cm="1">
        <f t="array" ref="AL840">_xlfn.IFS(
HR_Data[[#This Row],[YearsAtCompany]]&lt;2,"&lt;2 Years",
HR_Data[[#This Row],[YearsAtCompany]]&lt;5,"2-4 Years",
HR_Data[[#This Row],[YearsAtCompany]]&lt;10,"5-9 Years",
TRUE,"10+ Years"
)</f>
        <v>10+ Years</v>
      </c>
      <c r="AM840" s="1">
        <f>IF(HR_Data[[#This Row],[Attrition]]="Yes",1,0)</f>
        <v>1</v>
      </c>
    </row>
    <row r="841" spans="1:39" x14ac:dyDescent="0.3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 cm="1">
        <f t="array" ref="AJ841">_xlfn.IFS(
HR_Data[[#This Row],[Age]]&lt;25,"Under 25",
HR_Data[[#This Row],[Age]]&lt;35,"25-34",
HR_Data[[#This Row],[Age]]&lt;45,"35-44",
HR_Data[[#This Row],[Age]]&lt;55,"45-54",
TRUE,"55+"
)</f>
        <v>35-44</v>
      </c>
      <c r="AK841" t="str" cm="1">
        <f t="array" ref="AK841">_xlfn.IFS(
HR_Data[[#This Row],[MonthlyIncome]]&lt;3000,"&lt;3K",
HR_Data[[#This Row],[MonthlyIncome]]&lt;6000,"3K-6K",
HR_Data[[#This Row],[MonthlyIncome]]&lt;10000,"6K-10K",
TRUE,"10K+"
)</f>
        <v>3K-6K</v>
      </c>
      <c r="AL841" t="str" cm="1">
        <f t="array" ref="AL841">_xlfn.IFS(
HR_Data[[#This Row],[YearsAtCompany]]&lt;2,"&lt;2 Years",
HR_Data[[#This Row],[YearsAtCompany]]&lt;5,"2-4 Years",
HR_Data[[#This Row],[YearsAtCompany]]&lt;10,"5-9 Years",
TRUE,"10+ Years"
)</f>
        <v>5-9 Years</v>
      </c>
      <c r="AM841" s="1">
        <f>IF(HR_Data[[#This Row],[Attrition]]="Yes",1,0)</f>
        <v>0</v>
      </c>
    </row>
    <row r="842" spans="1:39" x14ac:dyDescent="0.3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 cm="1">
        <f t="array" ref="AJ842">_xlfn.IFS(
HR_Data[[#This Row],[Age]]&lt;25,"Under 25",
HR_Data[[#This Row],[Age]]&lt;35,"25-34",
HR_Data[[#This Row],[Age]]&lt;45,"35-44",
HR_Data[[#This Row],[Age]]&lt;55,"45-54",
TRUE,"55+"
)</f>
        <v>35-44</v>
      </c>
      <c r="AK842" t="str" cm="1">
        <f t="array" ref="AK842">_xlfn.IFS(
HR_Data[[#This Row],[MonthlyIncome]]&lt;3000,"&lt;3K",
HR_Data[[#This Row],[MonthlyIncome]]&lt;6000,"3K-6K",
HR_Data[[#This Row],[MonthlyIncome]]&lt;10000,"6K-10K",
TRUE,"10K+"
)</f>
        <v>&lt;3K</v>
      </c>
      <c r="AL842" t="str" cm="1">
        <f t="array" ref="AL842">_xlfn.IFS(
HR_Data[[#This Row],[YearsAtCompany]]&lt;2,"&lt;2 Years",
HR_Data[[#This Row],[YearsAtCompany]]&lt;5,"2-4 Years",
HR_Data[[#This Row],[YearsAtCompany]]&lt;10,"5-9 Years",
TRUE,"10+ Years"
)</f>
        <v>5-9 Years</v>
      </c>
      <c r="AM842" s="1">
        <f>IF(HR_Data[[#This Row],[Attrition]]="Yes",1,0)</f>
        <v>0</v>
      </c>
    </row>
    <row r="843" spans="1:39" x14ac:dyDescent="0.3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 cm="1">
        <f t="array" ref="AJ843">_xlfn.IFS(
HR_Data[[#This Row],[Age]]&lt;25,"Under 25",
HR_Data[[#This Row],[Age]]&lt;35,"25-34",
HR_Data[[#This Row],[Age]]&lt;45,"35-44",
HR_Data[[#This Row],[Age]]&lt;55,"45-54",
TRUE,"55+"
)</f>
        <v>Under 25</v>
      </c>
      <c r="AK843" t="str" cm="1">
        <f t="array" ref="AK843">_xlfn.IFS(
HR_Data[[#This Row],[MonthlyIncome]]&lt;3000,"&lt;3K",
HR_Data[[#This Row],[MonthlyIncome]]&lt;6000,"3K-6K",
HR_Data[[#This Row],[MonthlyIncome]]&lt;10000,"6K-10K",
TRUE,"10K+"
)</f>
        <v>3K-6K</v>
      </c>
      <c r="AL843" t="str" cm="1">
        <f t="array" ref="AL843">_xlfn.IFS(
HR_Data[[#This Row],[YearsAtCompany]]&lt;2,"&lt;2 Years",
HR_Data[[#This Row],[YearsAtCompany]]&lt;5,"2-4 Years",
HR_Data[[#This Row],[YearsAtCompany]]&lt;10,"5-9 Years",
TRUE,"10+ Years"
)</f>
        <v>2-4 Years</v>
      </c>
      <c r="AM843" s="1">
        <f>IF(HR_Data[[#This Row],[Attrition]]="Yes",1,0)</f>
        <v>0</v>
      </c>
    </row>
    <row r="844" spans="1:39" x14ac:dyDescent="0.3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 cm="1">
        <f t="array" ref="AJ844">_xlfn.IFS(
HR_Data[[#This Row],[Age]]&lt;25,"Under 25",
HR_Data[[#This Row],[Age]]&lt;35,"25-34",
HR_Data[[#This Row],[Age]]&lt;45,"35-44",
HR_Data[[#This Row],[Age]]&lt;55,"45-54",
TRUE,"55+"
)</f>
        <v>25-34</v>
      </c>
      <c r="AK844" t="str" cm="1">
        <f t="array" ref="AK844">_xlfn.IFS(
HR_Data[[#This Row],[MonthlyIncome]]&lt;3000,"&lt;3K",
HR_Data[[#This Row],[MonthlyIncome]]&lt;6000,"3K-6K",
HR_Data[[#This Row],[MonthlyIncome]]&lt;10000,"6K-10K",
TRUE,"10K+"
)</f>
        <v>&lt;3K</v>
      </c>
      <c r="AL844" t="str" cm="1">
        <f t="array" ref="AL844">_xlfn.IFS(
HR_Data[[#This Row],[YearsAtCompany]]&lt;2,"&lt;2 Years",
HR_Data[[#This Row],[YearsAtCompany]]&lt;5,"2-4 Years",
HR_Data[[#This Row],[YearsAtCompany]]&lt;10,"5-9 Years",
TRUE,"10+ Years"
)</f>
        <v>&lt;2 Years</v>
      </c>
      <c r="AM844" s="1">
        <f>IF(HR_Data[[#This Row],[Attrition]]="Yes",1,0)</f>
        <v>1</v>
      </c>
    </row>
    <row r="845" spans="1:39" x14ac:dyDescent="0.3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 cm="1">
        <f t="array" ref="AJ845">_xlfn.IFS(
HR_Data[[#This Row],[Age]]&lt;25,"Under 25",
HR_Data[[#This Row],[Age]]&lt;35,"25-34",
HR_Data[[#This Row],[Age]]&lt;45,"35-44",
HR_Data[[#This Row],[Age]]&lt;55,"45-54",
TRUE,"55+"
)</f>
        <v>25-34</v>
      </c>
      <c r="AK845" t="str" cm="1">
        <f t="array" ref="AK845">_xlfn.IFS(
HR_Data[[#This Row],[MonthlyIncome]]&lt;3000,"&lt;3K",
HR_Data[[#This Row],[MonthlyIncome]]&lt;6000,"3K-6K",
HR_Data[[#This Row],[MonthlyIncome]]&lt;10000,"6K-10K",
TRUE,"10K+"
)</f>
        <v>3K-6K</v>
      </c>
      <c r="AL845" t="str" cm="1">
        <f t="array" ref="AL845">_xlfn.IFS(
HR_Data[[#This Row],[YearsAtCompany]]&lt;2,"&lt;2 Years",
HR_Data[[#This Row],[YearsAtCompany]]&lt;5,"2-4 Years",
HR_Data[[#This Row],[YearsAtCompany]]&lt;10,"5-9 Years",
TRUE,"10+ Years"
)</f>
        <v>5-9 Years</v>
      </c>
      <c r="AM845" s="1">
        <f>IF(HR_Data[[#This Row],[Attrition]]="Yes",1,0)</f>
        <v>0</v>
      </c>
    </row>
    <row r="846" spans="1:39" x14ac:dyDescent="0.3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 cm="1">
        <f t="array" ref="AJ846">_xlfn.IFS(
HR_Data[[#This Row],[Age]]&lt;25,"Under 25",
HR_Data[[#This Row],[Age]]&lt;35,"25-34",
HR_Data[[#This Row],[Age]]&lt;45,"35-44",
HR_Data[[#This Row],[Age]]&lt;55,"45-54",
TRUE,"55+"
)</f>
        <v>25-34</v>
      </c>
      <c r="AK846" t="str" cm="1">
        <f t="array" ref="AK846">_xlfn.IFS(
HR_Data[[#This Row],[MonthlyIncome]]&lt;3000,"&lt;3K",
HR_Data[[#This Row],[MonthlyIncome]]&lt;6000,"3K-6K",
HR_Data[[#This Row],[MonthlyIncome]]&lt;10000,"6K-10K",
TRUE,"10K+"
)</f>
        <v>6K-10K</v>
      </c>
      <c r="AL846" t="str" cm="1">
        <f t="array" ref="AL846">_xlfn.IFS(
HR_Data[[#This Row],[YearsAtCompany]]&lt;2,"&lt;2 Years",
HR_Data[[#This Row],[YearsAtCompany]]&lt;5,"2-4 Years",
HR_Data[[#This Row],[YearsAtCompany]]&lt;10,"5-9 Years",
TRUE,"10+ Years"
)</f>
        <v>10+ Years</v>
      </c>
      <c r="AM846" s="1">
        <f>IF(HR_Data[[#This Row],[Attrition]]="Yes",1,0)</f>
        <v>0</v>
      </c>
    </row>
    <row r="847" spans="1:39" x14ac:dyDescent="0.3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 cm="1">
        <f t="array" ref="AJ847">_xlfn.IFS(
HR_Data[[#This Row],[Age]]&lt;25,"Under 25",
HR_Data[[#This Row],[Age]]&lt;35,"25-34",
HR_Data[[#This Row],[Age]]&lt;45,"35-44",
HR_Data[[#This Row],[Age]]&lt;55,"45-54",
TRUE,"55+"
)</f>
        <v>35-44</v>
      </c>
      <c r="AK847" t="str" cm="1">
        <f t="array" ref="AK847">_xlfn.IFS(
HR_Data[[#This Row],[MonthlyIncome]]&lt;3000,"&lt;3K",
HR_Data[[#This Row],[MonthlyIncome]]&lt;6000,"3K-6K",
HR_Data[[#This Row],[MonthlyIncome]]&lt;10000,"6K-10K",
TRUE,"10K+"
)</f>
        <v>3K-6K</v>
      </c>
      <c r="AL847" t="str" cm="1">
        <f t="array" ref="AL847">_xlfn.IFS(
HR_Data[[#This Row],[YearsAtCompany]]&lt;2,"&lt;2 Years",
HR_Data[[#This Row],[YearsAtCompany]]&lt;5,"2-4 Years",
HR_Data[[#This Row],[YearsAtCompany]]&lt;10,"5-9 Years",
TRUE,"10+ Years"
)</f>
        <v>&lt;2 Years</v>
      </c>
      <c r="AM847" s="1">
        <f>IF(HR_Data[[#This Row],[Attrition]]="Yes",1,0)</f>
        <v>0</v>
      </c>
    </row>
    <row r="848" spans="1:39" x14ac:dyDescent="0.3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 cm="1">
        <f t="array" ref="AJ848">_xlfn.IFS(
HR_Data[[#This Row],[Age]]&lt;25,"Under 25",
HR_Data[[#This Row],[Age]]&lt;35,"25-34",
HR_Data[[#This Row],[Age]]&lt;45,"35-44",
HR_Data[[#This Row],[Age]]&lt;55,"45-54",
TRUE,"55+"
)</f>
        <v>35-44</v>
      </c>
      <c r="AK848" t="str" cm="1">
        <f t="array" ref="AK848">_xlfn.IFS(
HR_Data[[#This Row],[MonthlyIncome]]&lt;3000,"&lt;3K",
HR_Data[[#This Row],[MonthlyIncome]]&lt;6000,"3K-6K",
HR_Data[[#This Row],[MonthlyIncome]]&lt;10000,"6K-10K",
TRUE,"10K+"
)</f>
        <v>10K+</v>
      </c>
      <c r="AL848" t="str" cm="1">
        <f t="array" ref="AL848">_xlfn.IFS(
HR_Data[[#This Row],[YearsAtCompany]]&lt;2,"&lt;2 Years",
HR_Data[[#This Row],[YearsAtCompany]]&lt;5,"2-4 Years",
HR_Data[[#This Row],[YearsAtCompany]]&lt;10,"5-9 Years",
TRUE,"10+ Years"
)</f>
        <v>5-9 Years</v>
      </c>
      <c r="AM848" s="1">
        <f>IF(HR_Data[[#This Row],[Attrition]]="Yes",1,0)</f>
        <v>0</v>
      </c>
    </row>
    <row r="849" spans="1:39" x14ac:dyDescent="0.3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 cm="1">
        <f t="array" ref="AJ849">_xlfn.IFS(
HR_Data[[#This Row],[Age]]&lt;25,"Under 25",
HR_Data[[#This Row],[Age]]&lt;35,"25-34",
HR_Data[[#This Row],[Age]]&lt;45,"35-44",
HR_Data[[#This Row],[Age]]&lt;55,"45-54",
TRUE,"55+"
)</f>
        <v>25-34</v>
      </c>
      <c r="AK849" t="str" cm="1">
        <f t="array" ref="AK849">_xlfn.IFS(
HR_Data[[#This Row],[MonthlyIncome]]&lt;3000,"&lt;3K",
HR_Data[[#This Row],[MonthlyIncome]]&lt;6000,"3K-6K",
HR_Data[[#This Row],[MonthlyIncome]]&lt;10000,"6K-10K",
TRUE,"10K+"
)</f>
        <v>3K-6K</v>
      </c>
      <c r="AL849" t="str" cm="1">
        <f t="array" ref="AL849">_xlfn.IFS(
HR_Data[[#This Row],[YearsAtCompany]]&lt;2,"&lt;2 Years",
HR_Data[[#This Row],[YearsAtCompany]]&lt;5,"2-4 Years",
HR_Data[[#This Row],[YearsAtCompany]]&lt;10,"5-9 Years",
TRUE,"10+ Years"
)</f>
        <v>10+ Years</v>
      </c>
      <c r="AM849" s="1">
        <f>IF(HR_Data[[#This Row],[Attrition]]="Yes",1,0)</f>
        <v>0</v>
      </c>
    </row>
    <row r="850" spans="1:39" x14ac:dyDescent="0.3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 cm="1">
        <f t="array" ref="AJ850">_xlfn.IFS(
HR_Data[[#This Row],[Age]]&lt;25,"Under 25",
HR_Data[[#This Row],[Age]]&lt;35,"25-34",
HR_Data[[#This Row],[Age]]&lt;45,"35-44",
HR_Data[[#This Row],[Age]]&lt;55,"45-54",
TRUE,"55+"
)</f>
        <v>35-44</v>
      </c>
      <c r="AK850" t="str" cm="1">
        <f t="array" ref="AK850">_xlfn.IFS(
HR_Data[[#This Row],[MonthlyIncome]]&lt;3000,"&lt;3K",
HR_Data[[#This Row],[MonthlyIncome]]&lt;6000,"3K-6K",
HR_Data[[#This Row],[MonthlyIncome]]&lt;10000,"6K-10K",
TRUE,"10K+"
)</f>
        <v>&lt;3K</v>
      </c>
      <c r="AL850" t="str" cm="1">
        <f t="array" ref="AL850">_xlfn.IFS(
HR_Data[[#This Row],[YearsAtCompany]]&lt;2,"&lt;2 Years",
HR_Data[[#This Row],[YearsAtCompany]]&lt;5,"2-4 Years",
HR_Data[[#This Row],[YearsAtCompany]]&lt;10,"5-9 Years",
TRUE,"10+ Years"
)</f>
        <v>2-4 Years</v>
      </c>
      <c r="AM850" s="1">
        <f>IF(HR_Data[[#This Row],[Attrition]]="Yes",1,0)</f>
        <v>0</v>
      </c>
    </row>
    <row r="851" spans="1:39" x14ac:dyDescent="0.3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 cm="1">
        <f t="array" ref="AJ851">_xlfn.IFS(
HR_Data[[#This Row],[Age]]&lt;25,"Under 25",
HR_Data[[#This Row],[Age]]&lt;35,"25-34",
HR_Data[[#This Row],[Age]]&lt;45,"35-44",
HR_Data[[#This Row],[Age]]&lt;55,"45-54",
TRUE,"55+"
)</f>
        <v>35-44</v>
      </c>
      <c r="AK851" t="str" cm="1">
        <f t="array" ref="AK851">_xlfn.IFS(
HR_Data[[#This Row],[MonthlyIncome]]&lt;3000,"&lt;3K",
HR_Data[[#This Row],[MonthlyIncome]]&lt;6000,"3K-6K",
HR_Data[[#This Row],[MonthlyIncome]]&lt;10000,"6K-10K",
TRUE,"10K+"
)</f>
        <v>3K-6K</v>
      </c>
      <c r="AL851" t="str" cm="1">
        <f t="array" ref="AL851">_xlfn.IFS(
HR_Data[[#This Row],[YearsAtCompany]]&lt;2,"&lt;2 Years",
HR_Data[[#This Row],[YearsAtCompany]]&lt;5,"2-4 Years",
HR_Data[[#This Row],[YearsAtCompany]]&lt;10,"5-9 Years",
TRUE,"10+ Years"
)</f>
        <v>2-4 Years</v>
      </c>
      <c r="AM851" s="1">
        <f>IF(HR_Data[[#This Row],[Attrition]]="Yes",1,0)</f>
        <v>1</v>
      </c>
    </row>
    <row r="852" spans="1:39" x14ac:dyDescent="0.3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 cm="1">
        <f t="array" ref="AJ852">_xlfn.IFS(
HR_Data[[#This Row],[Age]]&lt;25,"Under 25",
HR_Data[[#This Row],[Age]]&lt;35,"25-34",
HR_Data[[#This Row],[Age]]&lt;45,"35-44",
HR_Data[[#This Row],[Age]]&lt;55,"45-54",
TRUE,"55+"
)</f>
        <v>25-34</v>
      </c>
      <c r="AK852" t="str" cm="1">
        <f t="array" ref="AK852">_xlfn.IFS(
HR_Data[[#This Row],[MonthlyIncome]]&lt;3000,"&lt;3K",
HR_Data[[#This Row],[MonthlyIncome]]&lt;6000,"3K-6K",
HR_Data[[#This Row],[MonthlyIncome]]&lt;10000,"6K-10K",
TRUE,"10K+"
)</f>
        <v>&lt;3K</v>
      </c>
      <c r="AL852" t="str" cm="1">
        <f t="array" ref="AL852">_xlfn.IFS(
HR_Data[[#This Row],[YearsAtCompany]]&lt;2,"&lt;2 Years",
HR_Data[[#This Row],[YearsAtCompany]]&lt;5,"2-4 Years",
HR_Data[[#This Row],[YearsAtCompany]]&lt;10,"5-9 Years",
TRUE,"10+ Years"
)</f>
        <v>&lt;2 Years</v>
      </c>
      <c r="AM852" s="1">
        <f>IF(HR_Data[[#This Row],[Attrition]]="Yes",1,0)</f>
        <v>0</v>
      </c>
    </row>
    <row r="853" spans="1:39" x14ac:dyDescent="0.3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 cm="1">
        <f t="array" ref="AJ853">_xlfn.IFS(
HR_Data[[#This Row],[Age]]&lt;25,"Under 25",
HR_Data[[#This Row],[Age]]&lt;35,"25-34",
HR_Data[[#This Row],[Age]]&lt;45,"35-44",
HR_Data[[#This Row],[Age]]&lt;55,"45-54",
TRUE,"55+"
)</f>
        <v>55+</v>
      </c>
      <c r="AK853" t="str" cm="1">
        <f t="array" ref="AK853">_xlfn.IFS(
HR_Data[[#This Row],[MonthlyIncome]]&lt;3000,"&lt;3K",
HR_Data[[#This Row],[MonthlyIncome]]&lt;6000,"3K-6K",
HR_Data[[#This Row],[MonthlyIncome]]&lt;10000,"6K-10K",
TRUE,"10K+"
)</f>
        <v>10K+</v>
      </c>
      <c r="AL853" t="str" cm="1">
        <f t="array" ref="AL853">_xlfn.IFS(
HR_Data[[#This Row],[YearsAtCompany]]&lt;2,"&lt;2 Years",
HR_Data[[#This Row],[YearsAtCompany]]&lt;5,"2-4 Years",
HR_Data[[#This Row],[YearsAtCompany]]&lt;10,"5-9 Years",
TRUE,"10+ Years"
)</f>
        <v>5-9 Years</v>
      </c>
      <c r="AM853" s="1">
        <f>IF(HR_Data[[#This Row],[Attrition]]="Yes",1,0)</f>
        <v>0</v>
      </c>
    </row>
    <row r="854" spans="1:39" x14ac:dyDescent="0.3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 cm="1">
        <f t="array" ref="AJ854">_xlfn.IFS(
HR_Data[[#This Row],[Age]]&lt;25,"Under 25",
HR_Data[[#This Row],[Age]]&lt;35,"25-34",
HR_Data[[#This Row],[Age]]&lt;45,"35-44",
HR_Data[[#This Row],[Age]]&lt;55,"45-54",
TRUE,"55+"
)</f>
        <v>25-34</v>
      </c>
      <c r="AK854" t="str" cm="1">
        <f t="array" ref="AK854">_xlfn.IFS(
HR_Data[[#This Row],[MonthlyIncome]]&lt;3000,"&lt;3K",
HR_Data[[#This Row],[MonthlyIncome]]&lt;6000,"3K-6K",
HR_Data[[#This Row],[MonthlyIncome]]&lt;10000,"6K-10K",
TRUE,"10K+"
)</f>
        <v>3K-6K</v>
      </c>
      <c r="AL854" t="str" cm="1">
        <f t="array" ref="AL854">_xlfn.IFS(
HR_Data[[#This Row],[YearsAtCompany]]&lt;2,"&lt;2 Years",
HR_Data[[#This Row],[YearsAtCompany]]&lt;5,"2-4 Years",
HR_Data[[#This Row],[YearsAtCompany]]&lt;10,"5-9 Years",
TRUE,"10+ Years"
)</f>
        <v>10+ Years</v>
      </c>
      <c r="AM854" s="1">
        <f>IF(HR_Data[[#This Row],[Attrition]]="Yes",1,0)</f>
        <v>0</v>
      </c>
    </row>
    <row r="855" spans="1:39" x14ac:dyDescent="0.3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 cm="1">
        <f t="array" ref="AJ855">_xlfn.IFS(
HR_Data[[#This Row],[Age]]&lt;25,"Under 25",
HR_Data[[#This Row],[Age]]&lt;35,"25-34",
HR_Data[[#This Row],[Age]]&lt;45,"35-44",
HR_Data[[#This Row],[Age]]&lt;55,"45-54",
TRUE,"55+"
)</f>
        <v>Under 25</v>
      </c>
      <c r="AK855" t="str" cm="1">
        <f t="array" ref="AK855">_xlfn.IFS(
HR_Data[[#This Row],[MonthlyIncome]]&lt;3000,"&lt;3K",
HR_Data[[#This Row],[MonthlyIncome]]&lt;6000,"3K-6K",
HR_Data[[#This Row],[MonthlyIncome]]&lt;10000,"6K-10K",
TRUE,"10K+"
)</f>
        <v>&lt;3K</v>
      </c>
      <c r="AL855" t="str" cm="1">
        <f t="array" ref="AL855">_xlfn.IFS(
HR_Data[[#This Row],[YearsAtCompany]]&lt;2,"&lt;2 Years",
HR_Data[[#This Row],[YearsAtCompany]]&lt;5,"2-4 Years",
HR_Data[[#This Row],[YearsAtCompany]]&lt;10,"5-9 Years",
TRUE,"10+ Years"
)</f>
        <v>&lt;2 Years</v>
      </c>
      <c r="AM855" s="1">
        <f>IF(HR_Data[[#This Row],[Attrition]]="Yes",1,0)</f>
        <v>0</v>
      </c>
    </row>
    <row r="856" spans="1:39" x14ac:dyDescent="0.3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 cm="1">
        <f t="array" ref="AJ856">_xlfn.IFS(
HR_Data[[#This Row],[Age]]&lt;25,"Under 25",
HR_Data[[#This Row],[Age]]&lt;35,"25-34",
HR_Data[[#This Row],[Age]]&lt;45,"35-44",
HR_Data[[#This Row],[Age]]&lt;55,"45-54",
TRUE,"55+"
)</f>
        <v>45-54</v>
      </c>
      <c r="AK856" t="str" cm="1">
        <f t="array" ref="AK856">_xlfn.IFS(
HR_Data[[#This Row],[MonthlyIncome]]&lt;3000,"&lt;3K",
HR_Data[[#This Row],[MonthlyIncome]]&lt;6000,"3K-6K",
HR_Data[[#This Row],[MonthlyIncome]]&lt;10000,"6K-10K",
TRUE,"10K+"
)</f>
        <v>3K-6K</v>
      </c>
      <c r="AL856" t="str" cm="1">
        <f t="array" ref="AL856">_xlfn.IFS(
HR_Data[[#This Row],[YearsAtCompany]]&lt;2,"&lt;2 Years",
HR_Data[[#This Row],[YearsAtCompany]]&lt;5,"2-4 Years",
HR_Data[[#This Row],[YearsAtCompany]]&lt;10,"5-9 Years",
TRUE,"10+ Years"
)</f>
        <v>2-4 Years</v>
      </c>
      <c r="AM856" s="1">
        <f>IF(HR_Data[[#This Row],[Attrition]]="Yes",1,0)</f>
        <v>0</v>
      </c>
    </row>
    <row r="857" spans="1:39" x14ac:dyDescent="0.3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 cm="1">
        <f t="array" ref="AJ857">_xlfn.IFS(
HR_Data[[#This Row],[Age]]&lt;25,"Under 25",
HR_Data[[#This Row],[Age]]&lt;35,"25-34",
HR_Data[[#This Row],[Age]]&lt;45,"35-44",
HR_Data[[#This Row],[Age]]&lt;55,"45-54",
TRUE,"55+"
)</f>
        <v>35-44</v>
      </c>
      <c r="AK857" t="str" cm="1">
        <f t="array" ref="AK857">_xlfn.IFS(
HR_Data[[#This Row],[MonthlyIncome]]&lt;3000,"&lt;3K",
HR_Data[[#This Row],[MonthlyIncome]]&lt;6000,"3K-6K",
HR_Data[[#This Row],[MonthlyIncome]]&lt;10000,"6K-10K",
TRUE,"10K+"
)</f>
        <v>6K-10K</v>
      </c>
      <c r="AL857" t="str" cm="1">
        <f t="array" ref="AL857">_xlfn.IFS(
HR_Data[[#This Row],[YearsAtCompany]]&lt;2,"&lt;2 Years",
HR_Data[[#This Row],[YearsAtCompany]]&lt;5,"2-4 Years",
HR_Data[[#This Row],[YearsAtCompany]]&lt;10,"5-9 Years",
TRUE,"10+ Years"
)</f>
        <v>10+ Years</v>
      </c>
      <c r="AM857" s="1">
        <f>IF(HR_Data[[#This Row],[Attrition]]="Yes",1,0)</f>
        <v>0</v>
      </c>
    </row>
    <row r="858" spans="1:39" x14ac:dyDescent="0.3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 cm="1">
        <f t="array" ref="AJ858">_xlfn.IFS(
HR_Data[[#This Row],[Age]]&lt;25,"Under 25",
HR_Data[[#This Row],[Age]]&lt;35,"25-34",
HR_Data[[#This Row],[Age]]&lt;45,"35-44",
HR_Data[[#This Row],[Age]]&lt;55,"45-54",
TRUE,"55+"
)</f>
        <v>Under 25</v>
      </c>
      <c r="AK858" t="str" cm="1">
        <f t="array" ref="AK858">_xlfn.IFS(
HR_Data[[#This Row],[MonthlyIncome]]&lt;3000,"&lt;3K",
HR_Data[[#This Row],[MonthlyIncome]]&lt;6000,"3K-6K",
HR_Data[[#This Row],[MonthlyIncome]]&lt;10000,"6K-10K",
TRUE,"10K+"
)</f>
        <v>3K-6K</v>
      </c>
      <c r="AL858" t="str" cm="1">
        <f t="array" ref="AL858">_xlfn.IFS(
HR_Data[[#This Row],[YearsAtCompany]]&lt;2,"&lt;2 Years",
HR_Data[[#This Row],[YearsAtCompany]]&lt;5,"2-4 Years",
HR_Data[[#This Row],[YearsAtCompany]]&lt;10,"5-9 Years",
TRUE,"10+ Years"
)</f>
        <v>2-4 Years</v>
      </c>
      <c r="AM858" s="1">
        <f>IF(HR_Data[[#This Row],[Attrition]]="Yes",1,0)</f>
        <v>0</v>
      </c>
    </row>
    <row r="859" spans="1:39" x14ac:dyDescent="0.3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 cm="1">
        <f t="array" ref="AJ859">_xlfn.IFS(
HR_Data[[#This Row],[Age]]&lt;25,"Under 25",
HR_Data[[#This Row],[Age]]&lt;35,"25-34",
HR_Data[[#This Row],[Age]]&lt;45,"35-44",
HR_Data[[#This Row],[Age]]&lt;55,"45-54",
TRUE,"55+"
)</f>
        <v>35-44</v>
      </c>
      <c r="AK859" t="str" cm="1">
        <f t="array" ref="AK859">_xlfn.IFS(
HR_Data[[#This Row],[MonthlyIncome]]&lt;3000,"&lt;3K",
HR_Data[[#This Row],[MonthlyIncome]]&lt;6000,"3K-6K",
HR_Data[[#This Row],[MonthlyIncome]]&lt;10000,"6K-10K",
TRUE,"10K+"
)</f>
        <v>&lt;3K</v>
      </c>
      <c r="AL859" t="str" cm="1">
        <f t="array" ref="AL859">_xlfn.IFS(
HR_Data[[#This Row],[YearsAtCompany]]&lt;2,"&lt;2 Years",
HR_Data[[#This Row],[YearsAtCompany]]&lt;5,"2-4 Years",
HR_Data[[#This Row],[YearsAtCompany]]&lt;10,"5-9 Years",
TRUE,"10+ Years"
)</f>
        <v>5-9 Years</v>
      </c>
      <c r="AM859" s="1">
        <f>IF(HR_Data[[#This Row],[Attrition]]="Yes",1,0)</f>
        <v>1</v>
      </c>
    </row>
    <row r="860" spans="1:39" x14ac:dyDescent="0.3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 cm="1">
        <f t="array" ref="AJ860">_xlfn.IFS(
HR_Data[[#This Row],[Age]]&lt;25,"Under 25",
HR_Data[[#This Row],[Age]]&lt;35,"25-34",
HR_Data[[#This Row],[Age]]&lt;45,"35-44",
HR_Data[[#This Row],[Age]]&lt;55,"45-54",
TRUE,"55+"
)</f>
        <v>45-54</v>
      </c>
      <c r="AK860" t="str" cm="1">
        <f t="array" ref="AK860">_xlfn.IFS(
HR_Data[[#This Row],[MonthlyIncome]]&lt;3000,"&lt;3K",
HR_Data[[#This Row],[MonthlyIncome]]&lt;6000,"3K-6K",
HR_Data[[#This Row],[MonthlyIncome]]&lt;10000,"6K-10K",
TRUE,"10K+"
)</f>
        <v>10K+</v>
      </c>
      <c r="AL860" t="str" cm="1">
        <f t="array" ref="AL860">_xlfn.IFS(
HR_Data[[#This Row],[YearsAtCompany]]&lt;2,"&lt;2 Years",
HR_Data[[#This Row],[YearsAtCompany]]&lt;5,"2-4 Years",
HR_Data[[#This Row],[YearsAtCompany]]&lt;10,"5-9 Years",
TRUE,"10+ Years"
)</f>
        <v>5-9 Years</v>
      </c>
      <c r="AM860" s="1">
        <f>IF(HR_Data[[#This Row],[Attrition]]="Yes",1,0)</f>
        <v>0</v>
      </c>
    </row>
    <row r="861" spans="1:39" x14ac:dyDescent="0.3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 cm="1">
        <f t="array" ref="AJ861">_xlfn.IFS(
HR_Data[[#This Row],[Age]]&lt;25,"Under 25",
HR_Data[[#This Row],[Age]]&lt;35,"25-34",
HR_Data[[#This Row],[Age]]&lt;45,"35-44",
HR_Data[[#This Row],[Age]]&lt;55,"45-54",
TRUE,"55+"
)</f>
        <v>25-34</v>
      </c>
      <c r="AK861" t="str" cm="1">
        <f t="array" ref="AK861">_xlfn.IFS(
HR_Data[[#This Row],[MonthlyIncome]]&lt;3000,"&lt;3K",
HR_Data[[#This Row],[MonthlyIncome]]&lt;6000,"3K-6K",
HR_Data[[#This Row],[MonthlyIncome]]&lt;10000,"6K-10K",
TRUE,"10K+"
)</f>
        <v>&lt;3K</v>
      </c>
      <c r="AL861" t="str" cm="1">
        <f t="array" ref="AL861">_xlfn.IFS(
HR_Data[[#This Row],[YearsAtCompany]]&lt;2,"&lt;2 Years",
HR_Data[[#This Row],[YearsAtCompany]]&lt;5,"2-4 Years",
HR_Data[[#This Row],[YearsAtCompany]]&lt;10,"5-9 Years",
TRUE,"10+ Years"
)</f>
        <v>5-9 Years</v>
      </c>
      <c r="AM861" s="1">
        <f>IF(HR_Data[[#This Row],[Attrition]]="Yes",1,0)</f>
        <v>0</v>
      </c>
    </row>
    <row r="862" spans="1:39" x14ac:dyDescent="0.3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 cm="1">
        <f t="array" ref="AJ862">_xlfn.IFS(
HR_Data[[#This Row],[Age]]&lt;25,"Under 25",
HR_Data[[#This Row],[Age]]&lt;35,"25-34",
HR_Data[[#This Row],[Age]]&lt;45,"35-44",
HR_Data[[#This Row],[Age]]&lt;55,"45-54",
TRUE,"55+"
)</f>
        <v>Under 25</v>
      </c>
      <c r="AK862" t="str" cm="1">
        <f t="array" ref="AK862">_xlfn.IFS(
HR_Data[[#This Row],[MonthlyIncome]]&lt;3000,"&lt;3K",
HR_Data[[#This Row],[MonthlyIncome]]&lt;6000,"3K-6K",
HR_Data[[#This Row],[MonthlyIncome]]&lt;10000,"6K-10K",
TRUE,"10K+"
)</f>
        <v>&lt;3K</v>
      </c>
      <c r="AL862" t="str" cm="1">
        <f t="array" ref="AL862">_xlfn.IFS(
HR_Data[[#This Row],[YearsAtCompany]]&lt;2,"&lt;2 Years",
HR_Data[[#This Row],[YearsAtCompany]]&lt;5,"2-4 Years",
HR_Data[[#This Row],[YearsAtCompany]]&lt;10,"5-9 Years",
TRUE,"10+ Years"
)</f>
        <v>&lt;2 Years</v>
      </c>
      <c r="AM862" s="1">
        <f>IF(HR_Data[[#This Row],[Attrition]]="Yes",1,0)</f>
        <v>1</v>
      </c>
    </row>
    <row r="863" spans="1:39" x14ac:dyDescent="0.3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 cm="1">
        <f t="array" ref="AJ863">_xlfn.IFS(
HR_Data[[#This Row],[Age]]&lt;25,"Under 25",
HR_Data[[#This Row],[Age]]&lt;35,"25-34",
HR_Data[[#This Row],[Age]]&lt;45,"35-44",
HR_Data[[#This Row],[Age]]&lt;55,"45-54",
TRUE,"55+"
)</f>
        <v>45-54</v>
      </c>
      <c r="AK863" t="str" cm="1">
        <f t="array" ref="AK863">_xlfn.IFS(
HR_Data[[#This Row],[MonthlyIncome]]&lt;3000,"&lt;3K",
HR_Data[[#This Row],[MonthlyIncome]]&lt;6000,"3K-6K",
HR_Data[[#This Row],[MonthlyIncome]]&lt;10000,"6K-10K",
TRUE,"10K+"
)</f>
        <v>10K+</v>
      </c>
      <c r="AL863" t="str" cm="1">
        <f t="array" ref="AL863">_xlfn.IFS(
HR_Data[[#This Row],[YearsAtCompany]]&lt;2,"&lt;2 Years",
HR_Data[[#This Row],[YearsAtCompany]]&lt;5,"2-4 Years",
HR_Data[[#This Row],[YearsAtCompany]]&lt;10,"5-9 Years",
TRUE,"10+ Years"
)</f>
        <v>10+ Years</v>
      </c>
      <c r="AM863" s="1">
        <f>IF(HR_Data[[#This Row],[Attrition]]="Yes",1,0)</f>
        <v>0</v>
      </c>
    </row>
    <row r="864" spans="1:39" x14ac:dyDescent="0.3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 cm="1">
        <f t="array" ref="AJ864">_xlfn.IFS(
HR_Data[[#This Row],[Age]]&lt;25,"Under 25",
HR_Data[[#This Row],[Age]]&lt;35,"25-34",
HR_Data[[#This Row],[Age]]&lt;45,"35-44",
HR_Data[[#This Row],[Age]]&lt;55,"45-54",
TRUE,"55+"
)</f>
        <v>35-44</v>
      </c>
      <c r="AK864" t="str" cm="1">
        <f t="array" ref="AK864">_xlfn.IFS(
HR_Data[[#This Row],[MonthlyIncome]]&lt;3000,"&lt;3K",
HR_Data[[#This Row],[MonthlyIncome]]&lt;6000,"3K-6K",
HR_Data[[#This Row],[MonthlyIncome]]&lt;10000,"6K-10K",
TRUE,"10K+"
)</f>
        <v>&lt;3K</v>
      </c>
      <c r="AL864" t="str" cm="1">
        <f t="array" ref="AL864">_xlfn.IFS(
HR_Data[[#This Row],[YearsAtCompany]]&lt;2,"&lt;2 Years",
HR_Data[[#This Row],[YearsAtCompany]]&lt;5,"2-4 Years",
HR_Data[[#This Row],[YearsAtCompany]]&lt;10,"5-9 Years",
TRUE,"10+ Years"
)</f>
        <v>&lt;2 Years</v>
      </c>
      <c r="AM864" s="1">
        <f>IF(HR_Data[[#This Row],[Attrition]]="Yes",1,0)</f>
        <v>0</v>
      </c>
    </row>
    <row r="865" spans="1:39" x14ac:dyDescent="0.3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 cm="1">
        <f t="array" ref="AJ865">_xlfn.IFS(
HR_Data[[#This Row],[Age]]&lt;25,"Under 25",
HR_Data[[#This Row],[Age]]&lt;35,"25-34",
HR_Data[[#This Row],[Age]]&lt;45,"35-44",
HR_Data[[#This Row],[Age]]&lt;55,"45-54",
TRUE,"55+"
)</f>
        <v>25-34</v>
      </c>
      <c r="AK865" t="str" cm="1">
        <f t="array" ref="AK865">_xlfn.IFS(
HR_Data[[#This Row],[MonthlyIncome]]&lt;3000,"&lt;3K",
HR_Data[[#This Row],[MonthlyIncome]]&lt;6000,"3K-6K",
HR_Data[[#This Row],[MonthlyIncome]]&lt;10000,"6K-10K",
TRUE,"10K+"
)</f>
        <v>3K-6K</v>
      </c>
      <c r="AL865" t="str" cm="1">
        <f t="array" ref="AL865">_xlfn.IFS(
HR_Data[[#This Row],[YearsAtCompany]]&lt;2,"&lt;2 Years",
HR_Data[[#This Row],[YearsAtCompany]]&lt;5,"2-4 Years",
HR_Data[[#This Row],[YearsAtCompany]]&lt;10,"5-9 Years",
TRUE,"10+ Years"
)</f>
        <v>5-9 Years</v>
      </c>
      <c r="AM865" s="1">
        <f>IF(HR_Data[[#This Row],[Attrition]]="Yes",1,0)</f>
        <v>0</v>
      </c>
    </row>
    <row r="866" spans="1:39" x14ac:dyDescent="0.3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 cm="1">
        <f t="array" ref="AJ866">_xlfn.IFS(
HR_Data[[#This Row],[Age]]&lt;25,"Under 25",
HR_Data[[#This Row],[Age]]&lt;35,"25-34",
HR_Data[[#This Row],[Age]]&lt;45,"35-44",
HR_Data[[#This Row],[Age]]&lt;55,"45-54",
TRUE,"55+"
)</f>
        <v>35-44</v>
      </c>
      <c r="AK866" t="str" cm="1">
        <f t="array" ref="AK866">_xlfn.IFS(
HR_Data[[#This Row],[MonthlyIncome]]&lt;3000,"&lt;3K",
HR_Data[[#This Row],[MonthlyIncome]]&lt;6000,"3K-6K",
HR_Data[[#This Row],[MonthlyIncome]]&lt;10000,"6K-10K",
TRUE,"10K+"
)</f>
        <v>&lt;3K</v>
      </c>
      <c r="AL866" t="str" cm="1">
        <f t="array" ref="AL866">_xlfn.IFS(
HR_Data[[#This Row],[YearsAtCompany]]&lt;2,"&lt;2 Years",
HR_Data[[#This Row],[YearsAtCompany]]&lt;5,"2-4 Years",
HR_Data[[#This Row],[YearsAtCompany]]&lt;10,"5-9 Years",
TRUE,"10+ Years"
)</f>
        <v>&lt;2 Years</v>
      </c>
      <c r="AM866" s="1">
        <f>IF(HR_Data[[#This Row],[Attrition]]="Yes",1,0)</f>
        <v>1</v>
      </c>
    </row>
    <row r="867" spans="1:39" x14ac:dyDescent="0.3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 cm="1">
        <f t="array" ref="AJ867">_xlfn.IFS(
HR_Data[[#This Row],[Age]]&lt;25,"Under 25",
HR_Data[[#This Row],[Age]]&lt;35,"25-34",
HR_Data[[#This Row],[Age]]&lt;45,"35-44",
HR_Data[[#This Row],[Age]]&lt;55,"45-54",
TRUE,"55+"
)</f>
        <v>25-34</v>
      </c>
      <c r="AK867" t="str" cm="1">
        <f t="array" ref="AK867">_xlfn.IFS(
HR_Data[[#This Row],[MonthlyIncome]]&lt;3000,"&lt;3K",
HR_Data[[#This Row],[MonthlyIncome]]&lt;6000,"3K-6K",
HR_Data[[#This Row],[MonthlyIncome]]&lt;10000,"6K-10K",
TRUE,"10K+"
)</f>
        <v>3K-6K</v>
      </c>
      <c r="AL867" t="str" cm="1">
        <f t="array" ref="AL867">_xlfn.IFS(
HR_Data[[#This Row],[YearsAtCompany]]&lt;2,"&lt;2 Years",
HR_Data[[#This Row],[YearsAtCompany]]&lt;5,"2-4 Years",
HR_Data[[#This Row],[YearsAtCompany]]&lt;10,"5-9 Years",
TRUE,"10+ Years"
)</f>
        <v>2-4 Years</v>
      </c>
      <c r="AM867" s="1">
        <f>IF(HR_Data[[#This Row],[Attrition]]="Yes",1,0)</f>
        <v>0</v>
      </c>
    </row>
    <row r="868" spans="1:39" x14ac:dyDescent="0.3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 cm="1">
        <f t="array" ref="AJ868">_xlfn.IFS(
HR_Data[[#This Row],[Age]]&lt;25,"Under 25",
HR_Data[[#This Row],[Age]]&lt;35,"25-34",
HR_Data[[#This Row],[Age]]&lt;45,"35-44",
HR_Data[[#This Row],[Age]]&lt;55,"45-54",
TRUE,"55+"
)</f>
        <v>35-44</v>
      </c>
      <c r="AK868" t="str" cm="1">
        <f t="array" ref="AK868">_xlfn.IFS(
HR_Data[[#This Row],[MonthlyIncome]]&lt;3000,"&lt;3K",
HR_Data[[#This Row],[MonthlyIncome]]&lt;6000,"3K-6K",
HR_Data[[#This Row],[MonthlyIncome]]&lt;10000,"6K-10K",
TRUE,"10K+"
)</f>
        <v>3K-6K</v>
      </c>
      <c r="AL868" t="str" cm="1">
        <f t="array" ref="AL868">_xlfn.IFS(
HR_Data[[#This Row],[YearsAtCompany]]&lt;2,"&lt;2 Years",
HR_Data[[#This Row],[YearsAtCompany]]&lt;5,"2-4 Years",
HR_Data[[#This Row],[YearsAtCompany]]&lt;10,"5-9 Years",
TRUE,"10+ Years"
)</f>
        <v>&lt;2 Years</v>
      </c>
      <c r="AM868" s="1">
        <f>IF(HR_Data[[#This Row],[Attrition]]="Yes",1,0)</f>
        <v>0</v>
      </c>
    </row>
    <row r="869" spans="1:39" x14ac:dyDescent="0.3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 cm="1">
        <f t="array" ref="AJ869">_xlfn.IFS(
HR_Data[[#This Row],[Age]]&lt;25,"Under 25",
HR_Data[[#This Row],[Age]]&lt;35,"25-34",
HR_Data[[#This Row],[Age]]&lt;45,"35-44",
HR_Data[[#This Row],[Age]]&lt;55,"45-54",
TRUE,"55+"
)</f>
        <v>45-54</v>
      </c>
      <c r="AK869" t="str" cm="1">
        <f t="array" ref="AK869">_xlfn.IFS(
HR_Data[[#This Row],[MonthlyIncome]]&lt;3000,"&lt;3K",
HR_Data[[#This Row],[MonthlyIncome]]&lt;6000,"3K-6K",
HR_Data[[#This Row],[MonthlyIncome]]&lt;10000,"6K-10K",
TRUE,"10K+"
)</f>
        <v>10K+</v>
      </c>
      <c r="AL869" t="str" cm="1">
        <f t="array" ref="AL869">_xlfn.IFS(
HR_Data[[#This Row],[YearsAtCompany]]&lt;2,"&lt;2 Years",
HR_Data[[#This Row],[YearsAtCompany]]&lt;5,"2-4 Years",
HR_Data[[#This Row],[YearsAtCompany]]&lt;10,"5-9 Years",
TRUE,"10+ Years"
)</f>
        <v>2-4 Years</v>
      </c>
      <c r="AM869" s="1">
        <f>IF(HR_Data[[#This Row],[Attrition]]="Yes",1,0)</f>
        <v>0</v>
      </c>
    </row>
    <row r="870" spans="1:39" x14ac:dyDescent="0.3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 cm="1">
        <f t="array" ref="AJ870">_xlfn.IFS(
HR_Data[[#This Row],[Age]]&lt;25,"Under 25",
HR_Data[[#This Row],[Age]]&lt;35,"25-34",
HR_Data[[#This Row],[Age]]&lt;45,"35-44",
HR_Data[[#This Row],[Age]]&lt;55,"45-54",
TRUE,"55+"
)</f>
        <v>25-34</v>
      </c>
      <c r="AK870" t="str" cm="1">
        <f t="array" ref="AK870">_xlfn.IFS(
HR_Data[[#This Row],[MonthlyIncome]]&lt;3000,"&lt;3K",
HR_Data[[#This Row],[MonthlyIncome]]&lt;6000,"3K-6K",
HR_Data[[#This Row],[MonthlyIncome]]&lt;10000,"6K-10K",
TRUE,"10K+"
)</f>
        <v>3K-6K</v>
      </c>
      <c r="AL870" t="str" cm="1">
        <f t="array" ref="AL870">_xlfn.IFS(
HR_Data[[#This Row],[YearsAtCompany]]&lt;2,"&lt;2 Years",
HR_Data[[#This Row],[YearsAtCompany]]&lt;5,"2-4 Years",
HR_Data[[#This Row],[YearsAtCompany]]&lt;10,"5-9 Years",
TRUE,"10+ Years"
)</f>
        <v>5-9 Years</v>
      </c>
      <c r="AM870" s="1">
        <f>IF(HR_Data[[#This Row],[Attrition]]="Yes",1,0)</f>
        <v>0</v>
      </c>
    </row>
    <row r="871" spans="1:39" x14ac:dyDescent="0.3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 cm="1">
        <f t="array" ref="AJ871">_xlfn.IFS(
HR_Data[[#This Row],[Age]]&lt;25,"Under 25",
HR_Data[[#This Row],[Age]]&lt;35,"25-34",
HR_Data[[#This Row],[Age]]&lt;45,"35-44",
HR_Data[[#This Row],[Age]]&lt;55,"45-54",
TRUE,"55+"
)</f>
        <v>45-54</v>
      </c>
      <c r="AK871" t="str" cm="1">
        <f t="array" ref="AK871">_xlfn.IFS(
HR_Data[[#This Row],[MonthlyIncome]]&lt;3000,"&lt;3K",
HR_Data[[#This Row],[MonthlyIncome]]&lt;6000,"3K-6K",
HR_Data[[#This Row],[MonthlyIncome]]&lt;10000,"6K-10K",
TRUE,"10K+"
)</f>
        <v>10K+</v>
      </c>
      <c r="AL871" t="str" cm="1">
        <f t="array" ref="AL871">_xlfn.IFS(
HR_Data[[#This Row],[YearsAtCompany]]&lt;2,"&lt;2 Years",
HR_Data[[#This Row],[YearsAtCompany]]&lt;5,"2-4 Years",
HR_Data[[#This Row],[YearsAtCompany]]&lt;10,"5-9 Years",
TRUE,"10+ Years"
)</f>
        <v>2-4 Years</v>
      </c>
      <c r="AM871" s="1">
        <f>IF(HR_Data[[#This Row],[Attrition]]="Yes",1,0)</f>
        <v>0</v>
      </c>
    </row>
    <row r="872" spans="1:39" x14ac:dyDescent="0.3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 cm="1">
        <f t="array" ref="AJ872">_xlfn.IFS(
HR_Data[[#This Row],[Age]]&lt;25,"Under 25",
HR_Data[[#This Row],[Age]]&lt;35,"25-34",
HR_Data[[#This Row],[Age]]&lt;45,"35-44",
HR_Data[[#This Row],[Age]]&lt;55,"45-54",
TRUE,"55+"
)</f>
        <v>35-44</v>
      </c>
      <c r="AK872" t="str" cm="1">
        <f t="array" ref="AK872">_xlfn.IFS(
HR_Data[[#This Row],[MonthlyIncome]]&lt;3000,"&lt;3K",
HR_Data[[#This Row],[MonthlyIncome]]&lt;6000,"3K-6K",
HR_Data[[#This Row],[MonthlyIncome]]&lt;10000,"6K-10K",
TRUE,"10K+"
)</f>
        <v>6K-10K</v>
      </c>
      <c r="AL872" t="str" cm="1">
        <f t="array" ref="AL872">_xlfn.IFS(
HR_Data[[#This Row],[YearsAtCompany]]&lt;2,"&lt;2 Years",
HR_Data[[#This Row],[YearsAtCompany]]&lt;5,"2-4 Years",
HR_Data[[#This Row],[YearsAtCompany]]&lt;10,"5-9 Years",
TRUE,"10+ Years"
)</f>
        <v>5-9 Years</v>
      </c>
      <c r="AM872" s="1">
        <f>IF(HR_Data[[#This Row],[Attrition]]="Yes",1,0)</f>
        <v>0</v>
      </c>
    </row>
    <row r="873" spans="1:39" x14ac:dyDescent="0.3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 cm="1">
        <f t="array" ref="AJ873">_xlfn.IFS(
HR_Data[[#This Row],[Age]]&lt;25,"Under 25",
HR_Data[[#This Row],[Age]]&lt;35,"25-34",
HR_Data[[#This Row],[Age]]&lt;45,"35-44",
HR_Data[[#This Row],[Age]]&lt;55,"45-54",
TRUE,"55+"
)</f>
        <v>Under 25</v>
      </c>
      <c r="AK873" t="str" cm="1">
        <f t="array" ref="AK873">_xlfn.IFS(
HR_Data[[#This Row],[MonthlyIncome]]&lt;3000,"&lt;3K",
HR_Data[[#This Row],[MonthlyIncome]]&lt;6000,"3K-6K",
HR_Data[[#This Row],[MonthlyIncome]]&lt;10000,"6K-10K",
TRUE,"10K+"
)</f>
        <v>&lt;3K</v>
      </c>
      <c r="AL873" t="str" cm="1">
        <f t="array" ref="AL873">_xlfn.IFS(
HR_Data[[#This Row],[YearsAtCompany]]&lt;2,"&lt;2 Years",
HR_Data[[#This Row],[YearsAtCompany]]&lt;5,"2-4 Years",
HR_Data[[#This Row],[YearsAtCompany]]&lt;10,"5-9 Years",
TRUE,"10+ Years"
)</f>
        <v>&lt;2 Years</v>
      </c>
      <c r="AM873" s="1">
        <f>IF(HR_Data[[#This Row],[Attrition]]="Yes",1,0)</f>
        <v>1</v>
      </c>
    </row>
    <row r="874" spans="1:39" x14ac:dyDescent="0.3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 cm="1">
        <f t="array" ref="AJ874">_xlfn.IFS(
HR_Data[[#This Row],[Age]]&lt;25,"Under 25",
HR_Data[[#This Row],[Age]]&lt;35,"25-34",
HR_Data[[#This Row],[Age]]&lt;45,"35-44",
HR_Data[[#This Row],[Age]]&lt;55,"45-54",
TRUE,"55+"
)</f>
        <v>25-34</v>
      </c>
      <c r="AK874" t="str" cm="1">
        <f t="array" ref="AK874">_xlfn.IFS(
HR_Data[[#This Row],[MonthlyIncome]]&lt;3000,"&lt;3K",
HR_Data[[#This Row],[MonthlyIncome]]&lt;6000,"3K-6K",
HR_Data[[#This Row],[MonthlyIncome]]&lt;10000,"6K-10K",
TRUE,"10K+"
)</f>
        <v>3K-6K</v>
      </c>
      <c r="AL874" t="str" cm="1">
        <f t="array" ref="AL874">_xlfn.IFS(
HR_Data[[#This Row],[YearsAtCompany]]&lt;2,"&lt;2 Years",
HR_Data[[#This Row],[YearsAtCompany]]&lt;5,"2-4 Years",
HR_Data[[#This Row],[YearsAtCompany]]&lt;10,"5-9 Years",
TRUE,"10+ Years"
)</f>
        <v>10+ Years</v>
      </c>
      <c r="AM874" s="1">
        <f>IF(HR_Data[[#This Row],[Attrition]]="Yes",1,0)</f>
        <v>0</v>
      </c>
    </row>
    <row r="875" spans="1:39" x14ac:dyDescent="0.3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 cm="1">
        <f t="array" ref="AJ875">_xlfn.IFS(
HR_Data[[#This Row],[Age]]&lt;25,"Under 25",
HR_Data[[#This Row],[Age]]&lt;35,"25-34",
HR_Data[[#This Row],[Age]]&lt;45,"35-44",
HR_Data[[#This Row],[Age]]&lt;55,"45-54",
TRUE,"55+"
)</f>
        <v>35-44</v>
      </c>
      <c r="AK875" t="str" cm="1">
        <f t="array" ref="AK875">_xlfn.IFS(
HR_Data[[#This Row],[MonthlyIncome]]&lt;3000,"&lt;3K",
HR_Data[[#This Row],[MonthlyIncome]]&lt;6000,"3K-6K",
HR_Data[[#This Row],[MonthlyIncome]]&lt;10000,"6K-10K",
TRUE,"10K+"
)</f>
        <v>&lt;3K</v>
      </c>
      <c r="AL875" t="str" cm="1">
        <f t="array" ref="AL875">_xlfn.IFS(
HR_Data[[#This Row],[YearsAtCompany]]&lt;2,"&lt;2 Years",
HR_Data[[#This Row],[YearsAtCompany]]&lt;5,"2-4 Years",
HR_Data[[#This Row],[YearsAtCompany]]&lt;10,"5-9 Years",
TRUE,"10+ Years"
)</f>
        <v>5-9 Years</v>
      </c>
      <c r="AM875" s="1">
        <f>IF(HR_Data[[#This Row],[Attrition]]="Yes",1,0)</f>
        <v>0</v>
      </c>
    </row>
    <row r="876" spans="1:39" x14ac:dyDescent="0.3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 cm="1">
        <f t="array" ref="AJ876">_xlfn.IFS(
HR_Data[[#This Row],[Age]]&lt;25,"Under 25",
HR_Data[[#This Row],[Age]]&lt;35,"25-34",
HR_Data[[#This Row],[Age]]&lt;45,"35-44",
HR_Data[[#This Row],[Age]]&lt;55,"45-54",
TRUE,"55+"
)</f>
        <v>25-34</v>
      </c>
      <c r="AK876" t="str" cm="1">
        <f t="array" ref="AK876">_xlfn.IFS(
HR_Data[[#This Row],[MonthlyIncome]]&lt;3000,"&lt;3K",
HR_Data[[#This Row],[MonthlyIncome]]&lt;6000,"3K-6K",
HR_Data[[#This Row],[MonthlyIncome]]&lt;10000,"6K-10K",
TRUE,"10K+"
)</f>
        <v>3K-6K</v>
      </c>
      <c r="AL876" t="str" cm="1">
        <f t="array" ref="AL876">_xlfn.IFS(
HR_Data[[#This Row],[YearsAtCompany]]&lt;2,"&lt;2 Years",
HR_Data[[#This Row],[YearsAtCompany]]&lt;5,"2-4 Years",
HR_Data[[#This Row],[YearsAtCompany]]&lt;10,"5-9 Years",
TRUE,"10+ Years"
)</f>
        <v>10+ Years</v>
      </c>
      <c r="AM876" s="1">
        <f>IF(HR_Data[[#This Row],[Attrition]]="Yes",1,0)</f>
        <v>0</v>
      </c>
    </row>
    <row r="877" spans="1:39" x14ac:dyDescent="0.3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 cm="1">
        <f t="array" ref="AJ877">_xlfn.IFS(
HR_Data[[#This Row],[Age]]&lt;25,"Under 25",
HR_Data[[#This Row],[Age]]&lt;35,"25-34",
HR_Data[[#This Row],[Age]]&lt;45,"35-44",
HR_Data[[#This Row],[Age]]&lt;55,"45-54",
TRUE,"55+"
)</f>
        <v>35-44</v>
      </c>
      <c r="AK877" t="str" cm="1">
        <f t="array" ref="AK877">_xlfn.IFS(
HR_Data[[#This Row],[MonthlyIncome]]&lt;3000,"&lt;3K",
HR_Data[[#This Row],[MonthlyIncome]]&lt;6000,"3K-6K",
HR_Data[[#This Row],[MonthlyIncome]]&lt;10000,"6K-10K",
TRUE,"10K+"
)</f>
        <v>3K-6K</v>
      </c>
      <c r="AL877" t="str" cm="1">
        <f t="array" ref="AL877">_xlfn.IFS(
HR_Data[[#This Row],[YearsAtCompany]]&lt;2,"&lt;2 Years",
HR_Data[[#This Row],[YearsAtCompany]]&lt;5,"2-4 Years",
HR_Data[[#This Row],[YearsAtCompany]]&lt;10,"5-9 Years",
TRUE,"10+ Years"
)</f>
        <v>10+ Years</v>
      </c>
      <c r="AM877" s="1">
        <f>IF(HR_Data[[#This Row],[Attrition]]="Yes",1,0)</f>
        <v>0</v>
      </c>
    </row>
    <row r="878" spans="1:39" x14ac:dyDescent="0.3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 cm="1">
        <f t="array" ref="AJ878">_xlfn.IFS(
HR_Data[[#This Row],[Age]]&lt;25,"Under 25",
HR_Data[[#This Row],[Age]]&lt;35,"25-34",
HR_Data[[#This Row],[Age]]&lt;45,"35-44",
HR_Data[[#This Row],[Age]]&lt;55,"45-54",
TRUE,"55+"
)</f>
        <v>Under 25</v>
      </c>
      <c r="AK878" t="str" cm="1">
        <f t="array" ref="AK878">_xlfn.IFS(
HR_Data[[#This Row],[MonthlyIncome]]&lt;3000,"&lt;3K",
HR_Data[[#This Row],[MonthlyIncome]]&lt;6000,"3K-6K",
HR_Data[[#This Row],[MonthlyIncome]]&lt;10000,"6K-10K",
TRUE,"10K+"
)</f>
        <v>&lt;3K</v>
      </c>
      <c r="AL878" t="str" cm="1">
        <f t="array" ref="AL878">_xlfn.IFS(
HR_Data[[#This Row],[YearsAtCompany]]&lt;2,"&lt;2 Years",
HR_Data[[#This Row],[YearsAtCompany]]&lt;5,"2-4 Years",
HR_Data[[#This Row],[YearsAtCompany]]&lt;10,"5-9 Years",
TRUE,"10+ Years"
)</f>
        <v>2-4 Years</v>
      </c>
      <c r="AM878" s="1">
        <f>IF(HR_Data[[#This Row],[Attrition]]="Yes",1,0)</f>
        <v>0</v>
      </c>
    </row>
    <row r="879" spans="1:39" x14ac:dyDescent="0.3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 cm="1">
        <f t="array" ref="AJ879">_xlfn.IFS(
HR_Data[[#This Row],[Age]]&lt;25,"Under 25",
HR_Data[[#This Row],[Age]]&lt;35,"25-34",
HR_Data[[#This Row],[Age]]&lt;45,"35-44",
HR_Data[[#This Row],[Age]]&lt;55,"45-54",
TRUE,"55+"
)</f>
        <v>45-54</v>
      </c>
      <c r="AK879" t="str" cm="1">
        <f t="array" ref="AK879">_xlfn.IFS(
HR_Data[[#This Row],[MonthlyIncome]]&lt;3000,"&lt;3K",
HR_Data[[#This Row],[MonthlyIncome]]&lt;6000,"3K-6K",
HR_Data[[#This Row],[MonthlyIncome]]&lt;10000,"6K-10K",
TRUE,"10K+"
)</f>
        <v>6K-10K</v>
      </c>
      <c r="AL879" t="str" cm="1">
        <f t="array" ref="AL879">_xlfn.IFS(
HR_Data[[#This Row],[YearsAtCompany]]&lt;2,"&lt;2 Years",
HR_Data[[#This Row],[YearsAtCompany]]&lt;5,"2-4 Years",
HR_Data[[#This Row],[YearsAtCompany]]&lt;10,"5-9 Years",
TRUE,"10+ Years"
)</f>
        <v>5-9 Years</v>
      </c>
      <c r="AM879" s="1">
        <f>IF(HR_Data[[#This Row],[Attrition]]="Yes",1,0)</f>
        <v>0</v>
      </c>
    </row>
    <row r="880" spans="1:39" x14ac:dyDescent="0.3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 cm="1">
        <f t="array" ref="AJ880">_xlfn.IFS(
HR_Data[[#This Row],[Age]]&lt;25,"Under 25",
HR_Data[[#This Row],[Age]]&lt;35,"25-34",
HR_Data[[#This Row],[Age]]&lt;45,"35-44",
HR_Data[[#This Row],[Age]]&lt;55,"45-54",
TRUE,"55+"
)</f>
        <v>35-44</v>
      </c>
      <c r="AK880" t="str" cm="1">
        <f t="array" ref="AK880">_xlfn.IFS(
HR_Data[[#This Row],[MonthlyIncome]]&lt;3000,"&lt;3K",
HR_Data[[#This Row],[MonthlyIncome]]&lt;6000,"3K-6K",
HR_Data[[#This Row],[MonthlyIncome]]&lt;10000,"6K-10K",
TRUE,"10K+"
)</f>
        <v>6K-10K</v>
      </c>
      <c r="AL880" t="str" cm="1">
        <f t="array" ref="AL880">_xlfn.IFS(
HR_Data[[#This Row],[YearsAtCompany]]&lt;2,"&lt;2 Years",
HR_Data[[#This Row],[YearsAtCompany]]&lt;5,"2-4 Years",
HR_Data[[#This Row],[YearsAtCompany]]&lt;10,"5-9 Years",
TRUE,"10+ Years"
)</f>
        <v>2-4 Years</v>
      </c>
      <c r="AM880" s="1">
        <f>IF(HR_Data[[#This Row],[Attrition]]="Yes",1,0)</f>
        <v>0</v>
      </c>
    </row>
    <row r="881" spans="1:39" x14ac:dyDescent="0.3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 cm="1">
        <f t="array" ref="AJ881">_xlfn.IFS(
HR_Data[[#This Row],[Age]]&lt;25,"Under 25",
HR_Data[[#This Row],[Age]]&lt;35,"25-34",
HR_Data[[#This Row],[Age]]&lt;45,"35-44",
HR_Data[[#This Row],[Age]]&lt;55,"45-54",
TRUE,"55+"
)</f>
        <v>55+</v>
      </c>
      <c r="AK881" t="str" cm="1">
        <f t="array" ref="AK881">_xlfn.IFS(
HR_Data[[#This Row],[MonthlyIncome]]&lt;3000,"&lt;3K",
HR_Data[[#This Row],[MonthlyIncome]]&lt;6000,"3K-6K",
HR_Data[[#This Row],[MonthlyIncome]]&lt;10000,"6K-10K",
TRUE,"10K+"
)</f>
        <v>3K-6K</v>
      </c>
      <c r="AL881" t="str" cm="1">
        <f t="array" ref="AL881">_xlfn.IFS(
HR_Data[[#This Row],[YearsAtCompany]]&lt;2,"&lt;2 Years",
HR_Data[[#This Row],[YearsAtCompany]]&lt;5,"2-4 Years",
HR_Data[[#This Row],[YearsAtCompany]]&lt;10,"5-9 Years",
TRUE,"10+ Years"
)</f>
        <v>10+ Years</v>
      </c>
      <c r="AM881" s="1">
        <f>IF(HR_Data[[#This Row],[Attrition]]="Yes",1,0)</f>
        <v>0</v>
      </c>
    </row>
    <row r="882" spans="1:39" x14ac:dyDescent="0.3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 cm="1">
        <f t="array" ref="AJ882">_xlfn.IFS(
HR_Data[[#This Row],[Age]]&lt;25,"Under 25",
HR_Data[[#This Row],[Age]]&lt;35,"25-34",
HR_Data[[#This Row],[Age]]&lt;45,"35-44",
HR_Data[[#This Row],[Age]]&lt;55,"45-54",
TRUE,"55+"
)</f>
        <v>25-34</v>
      </c>
      <c r="AK882" t="str" cm="1">
        <f t="array" ref="AK882">_xlfn.IFS(
HR_Data[[#This Row],[MonthlyIncome]]&lt;3000,"&lt;3K",
HR_Data[[#This Row],[MonthlyIncome]]&lt;6000,"3K-6K",
HR_Data[[#This Row],[MonthlyIncome]]&lt;10000,"6K-10K",
TRUE,"10K+"
)</f>
        <v>&lt;3K</v>
      </c>
      <c r="AL882" t="str" cm="1">
        <f t="array" ref="AL882">_xlfn.IFS(
HR_Data[[#This Row],[YearsAtCompany]]&lt;2,"&lt;2 Years",
HR_Data[[#This Row],[YearsAtCompany]]&lt;5,"2-4 Years",
HR_Data[[#This Row],[YearsAtCompany]]&lt;10,"5-9 Years",
TRUE,"10+ Years"
)</f>
        <v>2-4 Years</v>
      </c>
      <c r="AM882" s="1">
        <f>IF(HR_Data[[#This Row],[Attrition]]="Yes",1,0)</f>
        <v>0</v>
      </c>
    </row>
    <row r="883" spans="1:39" x14ac:dyDescent="0.3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 cm="1">
        <f t="array" ref="AJ883">_xlfn.IFS(
HR_Data[[#This Row],[Age]]&lt;25,"Under 25",
HR_Data[[#This Row],[Age]]&lt;35,"25-34",
HR_Data[[#This Row],[Age]]&lt;45,"35-44",
HR_Data[[#This Row],[Age]]&lt;55,"45-54",
TRUE,"55+"
)</f>
        <v>25-34</v>
      </c>
      <c r="AK883" t="str" cm="1">
        <f t="array" ref="AK883">_xlfn.IFS(
HR_Data[[#This Row],[MonthlyIncome]]&lt;3000,"&lt;3K",
HR_Data[[#This Row],[MonthlyIncome]]&lt;6000,"3K-6K",
HR_Data[[#This Row],[MonthlyIncome]]&lt;10000,"6K-10K",
TRUE,"10K+"
)</f>
        <v>3K-6K</v>
      </c>
      <c r="AL883" t="str" cm="1">
        <f t="array" ref="AL883">_xlfn.IFS(
HR_Data[[#This Row],[YearsAtCompany]]&lt;2,"&lt;2 Years",
HR_Data[[#This Row],[YearsAtCompany]]&lt;5,"2-4 Years",
HR_Data[[#This Row],[YearsAtCompany]]&lt;10,"5-9 Years",
TRUE,"10+ Years"
)</f>
        <v>5-9 Years</v>
      </c>
      <c r="AM883" s="1">
        <f>IF(HR_Data[[#This Row],[Attrition]]="Yes",1,0)</f>
        <v>0</v>
      </c>
    </row>
    <row r="884" spans="1:39" x14ac:dyDescent="0.3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 cm="1">
        <f t="array" ref="AJ884">_xlfn.IFS(
HR_Data[[#This Row],[Age]]&lt;25,"Under 25",
HR_Data[[#This Row],[Age]]&lt;35,"25-34",
HR_Data[[#This Row],[Age]]&lt;45,"35-44",
HR_Data[[#This Row],[Age]]&lt;55,"45-54",
TRUE,"55+"
)</f>
        <v>35-44</v>
      </c>
      <c r="AK884" t="str" cm="1">
        <f t="array" ref="AK884">_xlfn.IFS(
HR_Data[[#This Row],[MonthlyIncome]]&lt;3000,"&lt;3K",
HR_Data[[#This Row],[MonthlyIncome]]&lt;6000,"3K-6K",
HR_Data[[#This Row],[MonthlyIncome]]&lt;10000,"6K-10K",
TRUE,"10K+"
)</f>
        <v>10K+</v>
      </c>
      <c r="AL884" t="str" cm="1">
        <f t="array" ref="AL884">_xlfn.IFS(
HR_Data[[#This Row],[YearsAtCompany]]&lt;2,"&lt;2 Years",
HR_Data[[#This Row],[YearsAtCompany]]&lt;5,"2-4 Years",
HR_Data[[#This Row],[YearsAtCompany]]&lt;10,"5-9 Years",
TRUE,"10+ Years"
)</f>
        <v>5-9 Years</v>
      </c>
      <c r="AM884" s="1">
        <f>IF(HR_Data[[#This Row],[Attrition]]="Yes",1,0)</f>
        <v>0</v>
      </c>
    </row>
    <row r="885" spans="1:39" x14ac:dyDescent="0.3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 cm="1">
        <f t="array" ref="AJ885">_xlfn.IFS(
HR_Data[[#This Row],[Age]]&lt;25,"Under 25",
HR_Data[[#This Row],[Age]]&lt;35,"25-34",
HR_Data[[#This Row],[Age]]&lt;45,"35-44",
HR_Data[[#This Row],[Age]]&lt;55,"45-54",
TRUE,"55+"
)</f>
        <v>25-34</v>
      </c>
      <c r="AK885" t="str" cm="1">
        <f t="array" ref="AK885">_xlfn.IFS(
HR_Data[[#This Row],[MonthlyIncome]]&lt;3000,"&lt;3K",
HR_Data[[#This Row],[MonthlyIncome]]&lt;6000,"3K-6K",
HR_Data[[#This Row],[MonthlyIncome]]&lt;10000,"6K-10K",
TRUE,"10K+"
)</f>
        <v>&lt;3K</v>
      </c>
      <c r="AL885" t="str" cm="1">
        <f t="array" ref="AL885">_xlfn.IFS(
HR_Data[[#This Row],[YearsAtCompany]]&lt;2,"&lt;2 Years",
HR_Data[[#This Row],[YearsAtCompany]]&lt;5,"2-4 Years",
HR_Data[[#This Row],[YearsAtCompany]]&lt;10,"5-9 Years",
TRUE,"10+ Years"
)</f>
        <v>10+ Years</v>
      </c>
      <c r="AM885" s="1">
        <f>IF(HR_Data[[#This Row],[Attrition]]="Yes",1,0)</f>
        <v>0</v>
      </c>
    </row>
    <row r="886" spans="1:39" x14ac:dyDescent="0.3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 cm="1">
        <f t="array" ref="AJ886">_xlfn.IFS(
HR_Data[[#This Row],[Age]]&lt;25,"Under 25",
HR_Data[[#This Row],[Age]]&lt;35,"25-34",
HR_Data[[#This Row],[Age]]&lt;45,"35-44",
HR_Data[[#This Row],[Age]]&lt;55,"45-54",
TRUE,"55+"
)</f>
        <v>35-44</v>
      </c>
      <c r="AK886" t="str" cm="1">
        <f t="array" ref="AK886">_xlfn.IFS(
HR_Data[[#This Row],[MonthlyIncome]]&lt;3000,"&lt;3K",
HR_Data[[#This Row],[MonthlyIncome]]&lt;6000,"3K-6K",
HR_Data[[#This Row],[MonthlyIncome]]&lt;10000,"6K-10K",
TRUE,"10K+"
)</f>
        <v>6K-10K</v>
      </c>
      <c r="AL886" t="str" cm="1">
        <f t="array" ref="AL886">_xlfn.IFS(
HR_Data[[#This Row],[YearsAtCompany]]&lt;2,"&lt;2 Years",
HR_Data[[#This Row],[YearsAtCompany]]&lt;5,"2-4 Years",
HR_Data[[#This Row],[YearsAtCompany]]&lt;10,"5-9 Years",
TRUE,"10+ Years"
)</f>
        <v>5-9 Years</v>
      </c>
      <c r="AM886" s="1">
        <f>IF(HR_Data[[#This Row],[Attrition]]="Yes",1,0)</f>
        <v>0</v>
      </c>
    </row>
    <row r="887" spans="1:39" x14ac:dyDescent="0.3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 cm="1">
        <f t="array" ref="AJ887">_xlfn.IFS(
HR_Data[[#This Row],[Age]]&lt;25,"Under 25",
HR_Data[[#This Row],[Age]]&lt;35,"25-34",
HR_Data[[#This Row],[Age]]&lt;45,"35-44",
HR_Data[[#This Row],[Age]]&lt;55,"45-54",
TRUE,"55+"
)</f>
        <v>25-34</v>
      </c>
      <c r="AK887" t="str" cm="1">
        <f t="array" ref="AK887">_xlfn.IFS(
HR_Data[[#This Row],[MonthlyIncome]]&lt;3000,"&lt;3K",
HR_Data[[#This Row],[MonthlyIncome]]&lt;6000,"3K-6K",
HR_Data[[#This Row],[MonthlyIncome]]&lt;10000,"6K-10K",
TRUE,"10K+"
)</f>
        <v>3K-6K</v>
      </c>
      <c r="AL887" t="str" cm="1">
        <f t="array" ref="AL887">_xlfn.IFS(
HR_Data[[#This Row],[YearsAtCompany]]&lt;2,"&lt;2 Years",
HR_Data[[#This Row],[YearsAtCompany]]&lt;5,"2-4 Years",
HR_Data[[#This Row],[YearsAtCompany]]&lt;10,"5-9 Years",
TRUE,"10+ Years"
)</f>
        <v>2-4 Years</v>
      </c>
      <c r="AM887" s="1">
        <f>IF(HR_Data[[#This Row],[Attrition]]="Yes",1,0)</f>
        <v>0</v>
      </c>
    </row>
    <row r="888" spans="1:39" x14ac:dyDescent="0.3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 cm="1">
        <f t="array" ref="AJ888">_xlfn.IFS(
HR_Data[[#This Row],[Age]]&lt;25,"Under 25",
HR_Data[[#This Row],[Age]]&lt;35,"25-34",
HR_Data[[#This Row],[Age]]&lt;45,"35-44",
HR_Data[[#This Row],[Age]]&lt;55,"45-54",
TRUE,"55+"
)</f>
        <v>25-34</v>
      </c>
      <c r="AK888" t="str" cm="1">
        <f t="array" ref="AK888">_xlfn.IFS(
HR_Data[[#This Row],[MonthlyIncome]]&lt;3000,"&lt;3K",
HR_Data[[#This Row],[MonthlyIncome]]&lt;6000,"3K-6K",
HR_Data[[#This Row],[MonthlyIncome]]&lt;10000,"6K-10K",
TRUE,"10K+"
)</f>
        <v>3K-6K</v>
      </c>
      <c r="AL888" t="str" cm="1">
        <f t="array" ref="AL888">_xlfn.IFS(
HR_Data[[#This Row],[YearsAtCompany]]&lt;2,"&lt;2 Years",
HR_Data[[#This Row],[YearsAtCompany]]&lt;5,"2-4 Years",
HR_Data[[#This Row],[YearsAtCompany]]&lt;10,"5-9 Years",
TRUE,"10+ Years"
)</f>
        <v>10+ Years</v>
      </c>
      <c r="AM888" s="1">
        <f>IF(HR_Data[[#This Row],[Attrition]]="Yes",1,0)</f>
        <v>0</v>
      </c>
    </row>
    <row r="889" spans="1:39" x14ac:dyDescent="0.3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 cm="1">
        <f t="array" ref="AJ889">_xlfn.IFS(
HR_Data[[#This Row],[Age]]&lt;25,"Under 25",
HR_Data[[#This Row],[Age]]&lt;35,"25-34",
HR_Data[[#This Row],[Age]]&lt;45,"35-44",
HR_Data[[#This Row],[Age]]&lt;55,"45-54",
TRUE,"55+"
)</f>
        <v>35-44</v>
      </c>
      <c r="AK889" t="str" cm="1">
        <f t="array" ref="AK889">_xlfn.IFS(
HR_Data[[#This Row],[MonthlyIncome]]&lt;3000,"&lt;3K",
HR_Data[[#This Row],[MonthlyIncome]]&lt;6000,"3K-6K",
HR_Data[[#This Row],[MonthlyIncome]]&lt;10000,"6K-10K",
TRUE,"10K+"
)</f>
        <v>10K+</v>
      </c>
      <c r="AL889" t="str" cm="1">
        <f t="array" ref="AL889">_xlfn.IFS(
HR_Data[[#This Row],[YearsAtCompany]]&lt;2,"&lt;2 Years",
HR_Data[[#This Row],[YearsAtCompany]]&lt;5,"2-4 Years",
HR_Data[[#This Row],[YearsAtCompany]]&lt;10,"5-9 Years",
TRUE,"10+ Years"
)</f>
        <v>&lt;2 Years</v>
      </c>
      <c r="AM889" s="1">
        <f>IF(HR_Data[[#This Row],[Attrition]]="Yes",1,0)</f>
        <v>0</v>
      </c>
    </row>
    <row r="890" spans="1:39" x14ac:dyDescent="0.3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 cm="1">
        <f t="array" ref="AJ890">_xlfn.IFS(
HR_Data[[#This Row],[Age]]&lt;25,"Under 25",
HR_Data[[#This Row],[Age]]&lt;35,"25-34",
HR_Data[[#This Row],[Age]]&lt;45,"35-44",
HR_Data[[#This Row],[Age]]&lt;55,"45-54",
TRUE,"55+"
)</f>
        <v>35-44</v>
      </c>
      <c r="AK890" t="str" cm="1">
        <f t="array" ref="AK890">_xlfn.IFS(
HR_Data[[#This Row],[MonthlyIncome]]&lt;3000,"&lt;3K",
HR_Data[[#This Row],[MonthlyIncome]]&lt;6000,"3K-6K",
HR_Data[[#This Row],[MonthlyIncome]]&lt;10000,"6K-10K",
TRUE,"10K+"
)</f>
        <v>10K+</v>
      </c>
      <c r="AL890" t="str" cm="1">
        <f t="array" ref="AL890">_xlfn.IFS(
HR_Data[[#This Row],[YearsAtCompany]]&lt;2,"&lt;2 Years",
HR_Data[[#This Row],[YearsAtCompany]]&lt;5,"2-4 Years",
HR_Data[[#This Row],[YearsAtCompany]]&lt;10,"5-9 Years",
TRUE,"10+ Years"
)</f>
        <v>10+ Years</v>
      </c>
      <c r="AM890" s="1">
        <f>IF(HR_Data[[#This Row],[Attrition]]="Yes",1,0)</f>
        <v>0</v>
      </c>
    </row>
    <row r="891" spans="1:39" x14ac:dyDescent="0.3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 cm="1">
        <f t="array" ref="AJ891">_xlfn.IFS(
HR_Data[[#This Row],[Age]]&lt;25,"Under 25",
HR_Data[[#This Row],[Age]]&lt;35,"25-34",
HR_Data[[#This Row],[Age]]&lt;45,"35-44",
HR_Data[[#This Row],[Age]]&lt;55,"45-54",
TRUE,"55+"
)</f>
        <v>25-34</v>
      </c>
      <c r="AK891" t="str" cm="1">
        <f t="array" ref="AK891">_xlfn.IFS(
HR_Data[[#This Row],[MonthlyIncome]]&lt;3000,"&lt;3K",
HR_Data[[#This Row],[MonthlyIncome]]&lt;6000,"3K-6K",
HR_Data[[#This Row],[MonthlyIncome]]&lt;10000,"6K-10K",
TRUE,"10K+"
)</f>
        <v>&lt;3K</v>
      </c>
      <c r="AL891" t="str" cm="1">
        <f t="array" ref="AL891">_xlfn.IFS(
HR_Data[[#This Row],[YearsAtCompany]]&lt;2,"&lt;2 Years",
HR_Data[[#This Row],[YearsAtCompany]]&lt;5,"2-4 Years",
HR_Data[[#This Row],[YearsAtCompany]]&lt;10,"5-9 Years",
TRUE,"10+ Years"
)</f>
        <v>5-9 Years</v>
      </c>
      <c r="AM891" s="1">
        <f>IF(HR_Data[[#This Row],[Attrition]]="Yes",1,0)</f>
        <v>0</v>
      </c>
    </row>
    <row r="892" spans="1:39" x14ac:dyDescent="0.3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 cm="1">
        <f t="array" ref="AJ892">_xlfn.IFS(
HR_Data[[#This Row],[Age]]&lt;25,"Under 25",
HR_Data[[#This Row],[Age]]&lt;35,"25-34",
HR_Data[[#This Row],[Age]]&lt;45,"35-44",
HR_Data[[#This Row],[Age]]&lt;55,"45-54",
TRUE,"55+"
)</f>
        <v>45-54</v>
      </c>
      <c r="AK892" t="str" cm="1">
        <f t="array" ref="AK892">_xlfn.IFS(
HR_Data[[#This Row],[MonthlyIncome]]&lt;3000,"&lt;3K",
HR_Data[[#This Row],[MonthlyIncome]]&lt;6000,"3K-6K",
HR_Data[[#This Row],[MonthlyIncome]]&lt;10000,"6K-10K",
TRUE,"10K+"
)</f>
        <v>10K+</v>
      </c>
      <c r="AL892" t="str" cm="1">
        <f t="array" ref="AL892">_xlfn.IFS(
HR_Data[[#This Row],[YearsAtCompany]]&lt;2,"&lt;2 Years",
HR_Data[[#This Row],[YearsAtCompany]]&lt;5,"2-4 Years",
HR_Data[[#This Row],[YearsAtCompany]]&lt;10,"5-9 Years",
TRUE,"10+ Years"
)</f>
        <v>5-9 Years</v>
      </c>
      <c r="AM892" s="1">
        <f>IF(HR_Data[[#This Row],[Attrition]]="Yes",1,0)</f>
        <v>0</v>
      </c>
    </row>
    <row r="893" spans="1:39" x14ac:dyDescent="0.3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 cm="1">
        <f t="array" ref="AJ893">_xlfn.IFS(
HR_Data[[#This Row],[Age]]&lt;25,"Under 25",
HR_Data[[#This Row],[Age]]&lt;35,"25-34",
HR_Data[[#This Row],[Age]]&lt;45,"35-44",
HR_Data[[#This Row],[Age]]&lt;55,"45-54",
TRUE,"55+"
)</f>
        <v>35-44</v>
      </c>
      <c r="AK893" t="str" cm="1">
        <f t="array" ref="AK893">_xlfn.IFS(
HR_Data[[#This Row],[MonthlyIncome]]&lt;3000,"&lt;3K",
HR_Data[[#This Row],[MonthlyIncome]]&lt;6000,"3K-6K",
HR_Data[[#This Row],[MonthlyIncome]]&lt;10000,"6K-10K",
TRUE,"10K+"
)</f>
        <v>&lt;3K</v>
      </c>
      <c r="AL893" t="str" cm="1">
        <f t="array" ref="AL893">_xlfn.IFS(
HR_Data[[#This Row],[YearsAtCompany]]&lt;2,"&lt;2 Years",
HR_Data[[#This Row],[YearsAtCompany]]&lt;5,"2-4 Years",
HR_Data[[#This Row],[YearsAtCompany]]&lt;10,"5-9 Years",
TRUE,"10+ Years"
)</f>
        <v>10+ Years</v>
      </c>
      <c r="AM893" s="1">
        <f>IF(HR_Data[[#This Row],[Attrition]]="Yes",1,0)</f>
        <v>0</v>
      </c>
    </row>
    <row r="894" spans="1:39" x14ac:dyDescent="0.3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 cm="1">
        <f t="array" ref="AJ894">_xlfn.IFS(
HR_Data[[#This Row],[Age]]&lt;25,"Under 25",
HR_Data[[#This Row],[Age]]&lt;35,"25-34",
HR_Data[[#This Row],[Age]]&lt;45,"35-44",
HR_Data[[#This Row],[Age]]&lt;55,"45-54",
TRUE,"55+"
)</f>
        <v>Under 25</v>
      </c>
      <c r="AK894" t="str" cm="1">
        <f t="array" ref="AK894">_xlfn.IFS(
HR_Data[[#This Row],[MonthlyIncome]]&lt;3000,"&lt;3K",
HR_Data[[#This Row],[MonthlyIncome]]&lt;6000,"3K-6K",
HR_Data[[#This Row],[MonthlyIncome]]&lt;10000,"6K-10K",
TRUE,"10K+"
)</f>
        <v>&lt;3K</v>
      </c>
      <c r="AL894" t="str" cm="1">
        <f t="array" ref="AL894">_xlfn.IFS(
HR_Data[[#This Row],[YearsAtCompany]]&lt;2,"&lt;2 Years",
HR_Data[[#This Row],[YearsAtCompany]]&lt;5,"2-4 Years",
HR_Data[[#This Row],[YearsAtCompany]]&lt;10,"5-9 Years",
TRUE,"10+ Years"
)</f>
        <v>&lt;2 Years</v>
      </c>
      <c r="AM894" s="1">
        <f>IF(HR_Data[[#This Row],[Attrition]]="Yes",1,0)</f>
        <v>1</v>
      </c>
    </row>
    <row r="895" spans="1:39" x14ac:dyDescent="0.3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 cm="1">
        <f t="array" ref="AJ895">_xlfn.IFS(
HR_Data[[#This Row],[Age]]&lt;25,"Under 25",
HR_Data[[#This Row],[Age]]&lt;35,"25-34",
HR_Data[[#This Row],[Age]]&lt;45,"35-44",
HR_Data[[#This Row],[Age]]&lt;55,"45-54",
TRUE,"55+"
)</f>
        <v>25-34</v>
      </c>
      <c r="AK895" t="str" cm="1">
        <f t="array" ref="AK895">_xlfn.IFS(
HR_Data[[#This Row],[MonthlyIncome]]&lt;3000,"&lt;3K",
HR_Data[[#This Row],[MonthlyIncome]]&lt;6000,"3K-6K",
HR_Data[[#This Row],[MonthlyIncome]]&lt;10000,"6K-10K",
TRUE,"10K+"
)</f>
        <v>3K-6K</v>
      </c>
      <c r="AL895" t="str" cm="1">
        <f t="array" ref="AL895">_xlfn.IFS(
HR_Data[[#This Row],[YearsAtCompany]]&lt;2,"&lt;2 Years",
HR_Data[[#This Row],[YearsAtCompany]]&lt;5,"2-4 Years",
HR_Data[[#This Row],[YearsAtCompany]]&lt;10,"5-9 Years",
TRUE,"10+ Years"
)</f>
        <v>2-4 Years</v>
      </c>
      <c r="AM895" s="1">
        <f>IF(HR_Data[[#This Row],[Attrition]]="Yes",1,0)</f>
        <v>0</v>
      </c>
    </row>
    <row r="896" spans="1:39" x14ac:dyDescent="0.3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 cm="1">
        <f t="array" ref="AJ896">_xlfn.IFS(
HR_Data[[#This Row],[Age]]&lt;25,"Under 25",
HR_Data[[#This Row],[Age]]&lt;35,"25-34",
HR_Data[[#This Row],[Age]]&lt;45,"35-44",
HR_Data[[#This Row],[Age]]&lt;55,"45-54",
TRUE,"55+"
)</f>
        <v>45-54</v>
      </c>
      <c r="AK896" t="str" cm="1">
        <f t="array" ref="AK896">_xlfn.IFS(
HR_Data[[#This Row],[MonthlyIncome]]&lt;3000,"&lt;3K",
HR_Data[[#This Row],[MonthlyIncome]]&lt;6000,"3K-6K",
HR_Data[[#This Row],[MonthlyIncome]]&lt;10000,"6K-10K",
TRUE,"10K+"
)</f>
        <v>10K+</v>
      </c>
      <c r="AL896" t="str" cm="1">
        <f t="array" ref="AL896">_xlfn.IFS(
HR_Data[[#This Row],[YearsAtCompany]]&lt;2,"&lt;2 Years",
HR_Data[[#This Row],[YearsAtCompany]]&lt;5,"2-4 Years",
HR_Data[[#This Row],[YearsAtCompany]]&lt;10,"5-9 Years",
TRUE,"10+ Years"
)</f>
        <v>10+ Years</v>
      </c>
      <c r="AM896" s="1">
        <f>IF(HR_Data[[#This Row],[Attrition]]="Yes",1,0)</f>
        <v>0</v>
      </c>
    </row>
    <row r="897" spans="1:39" x14ac:dyDescent="0.3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 cm="1">
        <f t="array" ref="AJ897">_xlfn.IFS(
HR_Data[[#This Row],[Age]]&lt;25,"Under 25",
HR_Data[[#This Row],[Age]]&lt;35,"25-34",
HR_Data[[#This Row],[Age]]&lt;45,"35-44",
HR_Data[[#This Row],[Age]]&lt;55,"45-54",
TRUE,"55+"
)</f>
        <v>25-34</v>
      </c>
      <c r="AK897" t="str" cm="1">
        <f t="array" ref="AK897">_xlfn.IFS(
HR_Data[[#This Row],[MonthlyIncome]]&lt;3000,"&lt;3K",
HR_Data[[#This Row],[MonthlyIncome]]&lt;6000,"3K-6K",
HR_Data[[#This Row],[MonthlyIncome]]&lt;10000,"6K-10K",
TRUE,"10K+"
)</f>
        <v>6K-10K</v>
      </c>
      <c r="AL897" t="str" cm="1">
        <f t="array" ref="AL897">_xlfn.IFS(
HR_Data[[#This Row],[YearsAtCompany]]&lt;2,"&lt;2 Years",
HR_Data[[#This Row],[YearsAtCompany]]&lt;5,"2-4 Years",
HR_Data[[#This Row],[YearsAtCompany]]&lt;10,"5-9 Years",
TRUE,"10+ Years"
)</f>
        <v>5-9 Years</v>
      </c>
      <c r="AM897" s="1">
        <f>IF(HR_Data[[#This Row],[Attrition]]="Yes",1,0)</f>
        <v>0</v>
      </c>
    </row>
    <row r="898" spans="1:39" x14ac:dyDescent="0.3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 cm="1">
        <f t="array" ref="AJ898">_xlfn.IFS(
HR_Data[[#This Row],[Age]]&lt;25,"Under 25",
HR_Data[[#This Row],[Age]]&lt;35,"25-34",
HR_Data[[#This Row],[Age]]&lt;45,"35-44",
HR_Data[[#This Row],[Age]]&lt;55,"45-54",
TRUE,"55+"
)</f>
        <v>25-34</v>
      </c>
      <c r="AK898" t="str" cm="1">
        <f t="array" ref="AK898">_xlfn.IFS(
HR_Data[[#This Row],[MonthlyIncome]]&lt;3000,"&lt;3K",
HR_Data[[#This Row],[MonthlyIncome]]&lt;6000,"3K-6K",
HR_Data[[#This Row],[MonthlyIncome]]&lt;10000,"6K-10K",
TRUE,"10K+"
)</f>
        <v>6K-10K</v>
      </c>
      <c r="AL898" t="str" cm="1">
        <f t="array" ref="AL898">_xlfn.IFS(
HR_Data[[#This Row],[YearsAtCompany]]&lt;2,"&lt;2 Years",
HR_Data[[#This Row],[YearsAtCompany]]&lt;5,"2-4 Years",
HR_Data[[#This Row],[YearsAtCompany]]&lt;10,"5-9 Years",
TRUE,"10+ Years"
)</f>
        <v>10+ Years</v>
      </c>
      <c r="AM898" s="1">
        <f>IF(HR_Data[[#This Row],[Attrition]]="Yes",1,0)</f>
        <v>0</v>
      </c>
    </row>
    <row r="899" spans="1:39" x14ac:dyDescent="0.3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 cm="1">
        <f t="array" ref="AJ899">_xlfn.IFS(
HR_Data[[#This Row],[Age]]&lt;25,"Under 25",
HR_Data[[#This Row],[Age]]&lt;35,"25-34",
HR_Data[[#This Row],[Age]]&lt;45,"35-44",
HR_Data[[#This Row],[Age]]&lt;55,"45-54",
TRUE,"55+"
)</f>
        <v>55+</v>
      </c>
      <c r="AK899" t="str" cm="1">
        <f t="array" ref="AK899">_xlfn.IFS(
HR_Data[[#This Row],[MonthlyIncome]]&lt;3000,"&lt;3K",
HR_Data[[#This Row],[MonthlyIncome]]&lt;6000,"3K-6K",
HR_Data[[#This Row],[MonthlyIncome]]&lt;10000,"6K-10K",
TRUE,"10K+"
)</f>
        <v>3K-6K</v>
      </c>
      <c r="AL899" t="str" cm="1">
        <f t="array" ref="AL899">_xlfn.IFS(
HR_Data[[#This Row],[YearsAtCompany]]&lt;2,"&lt;2 Years",
HR_Data[[#This Row],[YearsAtCompany]]&lt;5,"2-4 Years",
HR_Data[[#This Row],[YearsAtCompany]]&lt;10,"5-9 Years",
TRUE,"10+ Years"
)</f>
        <v>5-9 Years</v>
      </c>
      <c r="AM899" s="1">
        <f>IF(HR_Data[[#This Row],[Attrition]]="Yes",1,0)</f>
        <v>0</v>
      </c>
    </row>
    <row r="900" spans="1:39" x14ac:dyDescent="0.3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 cm="1">
        <f t="array" ref="AJ900">_xlfn.IFS(
HR_Data[[#This Row],[Age]]&lt;25,"Under 25",
HR_Data[[#This Row],[Age]]&lt;35,"25-34",
HR_Data[[#This Row],[Age]]&lt;45,"35-44",
HR_Data[[#This Row],[Age]]&lt;55,"45-54",
TRUE,"55+"
)</f>
        <v>35-44</v>
      </c>
      <c r="AK900" t="str" cm="1">
        <f t="array" ref="AK900">_xlfn.IFS(
HR_Data[[#This Row],[MonthlyIncome]]&lt;3000,"&lt;3K",
HR_Data[[#This Row],[MonthlyIncome]]&lt;6000,"3K-6K",
HR_Data[[#This Row],[MonthlyIncome]]&lt;10000,"6K-10K",
TRUE,"10K+"
)</f>
        <v>10K+</v>
      </c>
      <c r="AL900" t="str" cm="1">
        <f t="array" ref="AL900">_xlfn.IFS(
HR_Data[[#This Row],[YearsAtCompany]]&lt;2,"&lt;2 Years",
HR_Data[[#This Row],[YearsAtCompany]]&lt;5,"2-4 Years",
HR_Data[[#This Row],[YearsAtCompany]]&lt;10,"5-9 Years",
TRUE,"10+ Years"
)</f>
        <v>5-9 Years</v>
      </c>
      <c r="AM900" s="1">
        <f>IF(HR_Data[[#This Row],[Attrition]]="Yes",1,0)</f>
        <v>0</v>
      </c>
    </row>
    <row r="901" spans="1:39" x14ac:dyDescent="0.3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 cm="1">
        <f t="array" ref="AJ901">_xlfn.IFS(
HR_Data[[#This Row],[Age]]&lt;25,"Under 25",
HR_Data[[#This Row],[Age]]&lt;35,"25-34",
HR_Data[[#This Row],[Age]]&lt;45,"35-44",
HR_Data[[#This Row],[Age]]&lt;55,"45-54",
TRUE,"55+"
)</f>
        <v>45-54</v>
      </c>
      <c r="AK901" t="str" cm="1">
        <f t="array" ref="AK901">_xlfn.IFS(
HR_Data[[#This Row],[MonthlyIncome]]&lt;3000,"&lt;3K",
HR_Data[[#This Row],[MonthlyIncome]]&lt;6000,"3K-6K",
HR_Data[[#This Row],[MonthlyIncome]]&lt;10000,"6K-10K",
TRUE,"10K+"
)</f>
        <v>10K+</v>
      </c>
      <c r="AL901" t="str" cm="1">
        <f t="array" ref="AL901">_xlfn.IFS(
HR_Data[[#This Row],[YearsAtCompany]]&lt;2,"&lt;2 Years",
HR_Data[[#This Row],[YearsAtCompany]]&lt;5,"2-4 Years",
HR_Data[[#This Row],[YearsAtCompany]]&lt;10,"5-9 Years",
TRUE,"10+ Years"
)</f>
        <v>&lt;2 Years</v>
      </c>
      <c r="AM901" s="1">
        <f>IF(HR_Data[[#This Row],[Attrition]]="Yes",1,0)</f>
        <v>0</v>
      </c>
    </row>
    <row r="902" spans="1:39" x14ac:dyDescent="0.3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 cm="1">
        <f t="array" ref="AJ902">_xlfn.IFS(
HR_Data[[#This Row],[Age]]&lt;25,"Under 25",
HR_Data[[#This Row],[Age]]&lt;35,"25-34",
HR_Data[[#This Row],[Age]]&lt;45,"35-44",
HR_Data[[#This Row],[Age]]&lt;55,"45-54",
TRUE,"55+"
)</f>
        <v>35-44</v>
      </c>
      <c r="AK902" t="str" cm="1">
        <f t="array" ref="AK902">_xlfn.IFS(
HR_Data[[#This Row],[MonthlyIncome]]&lt;3000,"&lt;3K",
HR_Data[[#This Row],[MonthlyIncome]]&lt;6000,"3K-6K",
HR_Data[[#This Row],[MonthlyIncome]]&lt;10000,"6K-10K",
TRUE,"10K+"
)</f>
        <v>3K-6K</v>
      </c>
      <c r="AL902" t="str" cm="1">
        <f t="array" ref="AL902">_xlfn.IFS(
HR_Data[[#This Row],[YearsAtCompany]]&lt;2,"&lt;2 Years",
HR_Data[[#This Row],[YearsAtCompany]]&lt;5,"2-4 Years",
HR_Data[[#This Row],[YearsAtCompany]]&lt;10,"5-9 Years",
TRUE,"10+ Years"
)</f>
        <v>10+ Years</v>
      </c>
      <c r="AM902" s="1">
        <f>IF(HR_Data[[#This Row],[Attrition]]="Yes",1,0)</f>
        <v>0</v>
      </c>
    </row>
    <row r="903" spans="1:39" x14ac:dyDescent="0.3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 cm="1">
        <f t="array" ref="AJ903">_xlfn.IFS(
HR_Data[[#This Row],[Age]]&lt;25,"Under 25",
HR_Data[[#This Row],[Age]]&lt;35,"25-34",
HR_Data[[#This Row],[Age]]&lt;45,"35-44",
HR_Data[[#This Row],[Age]]&lt;55,"45-54",
TRUE,"55+"
)</f>
        <v>45-54</v>
      </c>
      <c r="AK903" t="str" cm="1">
        <f t="array" ref="AK903">_xlfn.IFS(
HR_Data[[#This Row],[MonthlyIncome]]&lt;3000,"&lt;3K",
HR_Data[[#This Row],[MonthlyIncome]]&lt;6000,"3K-6K",
HR_Data[[#This Row],[MonthlyIncome]]&lt;10000,"6K-10K",
TRUE,"10K+"
)</f>
        <v>&lt;3K</v>
      </c>
      <c r="AL903" t="str" cm="1">
        <f t="array" ref="AL903">_xlfn.IFS(
HR_Data[[#This Row],[YearsAtCompany]]&lt;2,"&lt;2 Years",
HR_Data[[#This Row],[YearsAtCompany]]&lt;5,"2-4 Years",
HR_Data[[#This Row],[YearsAtCompany]]&lt;10,"5-9 Years",
TRUE,"10+ Years"
)</f>
        <v>&lt;2 Years</v>
      </c>
      <c r="AM903" s="1">
        <f>IF(HR_Data[[#This Row],[Attrition]]="Yes",1,0)</f>
        <v>0</v>
      </c>
    </row>
    <row r="904" spans="1:39" x14ac:dyDescent="0.3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 cm="1">
        <f t="array" ref="AJ904">_xlfn.IFS(
HR_Data[[#This Row],[Age]]&lt;25,"Under 25",
HR_Data[[#This Row],[Age]]&lt;35,"25-34",
HR_Data[[#This Row],[Age]]&lt;45,"35-44",
HR_Data[[#This Row],[Age]]&lt;55,"45-54",
TRUE,"55+"
)</f>
        <v>25-34</v>
      </c>
      <c r="AK904" t="str" cm="1">
        <f t="array" ref="AK904">_xlfn.IFS(
HR_Data[[#This Row],[MonthlyIncome]]&lt;3000,"&lt;3K",
HR_Data[[#This Row],[MonthlyIncome]]&lt;6000,"3K-6K",
HR_Data[[#This Row],[MonthlyIncome]]&lt;10000,"6K-10K",
TRUE,"10K+"
)</f>
        <v>&lt;3K</v>
      </c>
      <c r="AL904" t="str" cm="1">
        <f t="array" ref="AL904">_xlfn.IFS(
HR_Data[[#This Row],[YearsAtCompany]]&lt;2,"&lt;2 Years",
HR_Data[[#This Row],[YearsAtCompany]]&lt;5,"2-4 Years",
HR_Data[[#This Row],[YearsAtCompany]]&lt;10,"5-9 Years",
TRUE,"10+ Years"
)</f>
        <v>5-9 Years</v>
      </c>
      <c r="AM904" s="1">
        <f>IF(HR_Data[[#This Row],[Attrition]]="Yes",1,0)</f>
        <v>0</v>
      </c>
    </row>
    <row r="905" spans="1:39" x14ac:dyDescent="0.3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 cm="1">
        <f t="array" ref="AJ905">_xlfn.IFS(
HR_Data[[#This Row],[Age]]&lt;25,"Under 25",
HR_Data[[#This Row],[Age]]&lt;35,"25-34",
HR_Data[[#This Row],[Age]]&lt;45,"35-44",
HR_Data[[#This Row],[Age]]&lt;55,"45-54",
TRUE,"55+"
)</f>
        <v>25-34</v>
      </c>
      <c r="AK905" t="str" cm="1">
        <f t="array" ref="AK905">_xlfn.IFS(
HR_Data[[#This Row],[MonthlyIncome]]&lt;3000,"&lt;3K",
HR_Data[[#This Row],[MonthlyIncome]]&lt;6000,"3K-6K",
HR_Data[[#This Row],[MonthlyIncome]]&lt;10000,"6K-10K",
TRUE,"10K+"
)</f>
        <v>6K-10K</v>
      </c>
      <c r="AL905" t="str" cm="1">
        <f t="array" ref="AL905">_xlfn.IFS(
HR_Data[[#This Row],[YearsAtCompany]]&lt;2,"&lt;2 Years",
HR_Data[[#This Row],[YearsAtCompany]]&lt;5,"2-4 Years",
HR_Data[[#This Row],[YearsAtCompany]]&lt;10,"5-9 Years",
TRUE,"10+ Years"
)</f>
        <v>5-9 Years</v>
      </c>
      <c r="AM905" s="1">
        <f>IF(HR_Data[[#This Row],[Attrition]]="Yes",1,0)</f>
        <v>0</v>
      </c>
    </row>
    <row r="906" spans="1:39" x14ac:dyDescent="0.3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 cm="1">
        <f t="array" ref="AJ906">_xlfn.IFS(
HR_Data[[#This Row],[Age]]&lt;25,"Under 25",
HR_Data[[#This Row],[Age]]&lt;35,"25-34",
HR_Data[[#This Row],[Age]]&lt;45,"35-44",
HR_Data[[#This Row],[Age]]&lt;55,"45-54",
TRUE,"55+"
)</f>
        <v>45-54</v>
      </c>
      <c r="AK906" t="str" cm="1">
        <f t="array" ref="AK906">_xlfn.IFS(
HR_Data[[#This Row],[MonthlyIncome]]&lt;3000,"&lt;3K",
HR_Data[[#This Row],[MonthlyIncome]]&lt;6000,"3K-6K",
HR_Data[[#This Row],[MonthlyIncome]]&lt;10000,"6K-10K",
TRUE,"10K+"
)</f>
        <v>10K+</v>
      </c>
      <c r="AL906" t="str" cm="1">
        <f t="array" ref="AL906">_xlfn.IFS(
HR_Data[[#This Row],[YearsAtCompany]]&lt;2,"&lt;2 Years",
HR_Data[[#This Row],[YearsAtCompany]]&lt;5,"2-4 Years",
HR_Data[[#This Row],[YearsAtCompany]]&lt;10,"5-9 Years",
TRUE,"10+ Years"
)</f>
        <v>&lt;2 Years</v>
      </c>
      <c r="AM906" s="1">
        <f>IF(HR_Data[[#This Row],[Attrition]]="Yes",1,0)</f>
        <v>0</v>
      </c>
    </row>
    <row r="907" spans="1:39" x14ac:dyDescent="0.3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 cm="1">
        <f t="array" ref="AJ907">_xlfn.IFS(
HR_Data[[#This Row],[Age]]&lt;25,"Under 25",
HR_Data[[#This Row],[Age]]&lt;35,"25-34",
HR_Data[[#This Row],[Age]]&lt;45,"35-44",
HR_Data[[#This Row],[Age]]&lt;55,"45-54",
TRUE,"55+"
)</f>
        <v>25-34</v>
      </c>
      <c r="AK907" t="str" cm="1">
        <f t="array" ref="AK907">_xlfn.IFS(
HR_Data[[#This Row],[MonthlyIncome]]&lt;3000,"&lt;3K",
HR_Data[[#This Row],[MonthlyIncome]]&lt;6000,"3K-6K",
HR_Data[[#This Row],[MonthlyIncome]]&lt;10000,"6K-10K",
TRUE,"10K+"
)</f>
        <v>10K+</v>
      </c>
      <c r="AL907" t="str" cm="1">
        <f t="array" ref="AL907">_xlfn.IFS(
HR_Data[[#This Row],[YearsAtCompany]]&lt;2,"&lt;2 Years",
HR_Data[[#This Row],[YearsAtCompany]]&lt;5,"2-4 Years",
HR_Data[[#This Row],[YearsAtCompany]]&lt;10,"5-9 Years",
TRUE,"10+ Years"
)</f>
        <v>5-9 Years</v>
      </c>
      <c r="AM907" s="1">
        <f>IF(HR_Data[[#This Row],[Attrition]]="Yes",1,0)</f>
        <v>0</v>
      </c>
    </row>
    <row r="908" spans="1:39" x14ac:dyDescent="0.3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 cm="1">
        <f t="array" ref="AJ908">_xlfn.IFS(
HR_Data[[#This Row],[Age]]&lt;25,"Under 25",
HR_Data[[#This Row],[Age]]&lt;35,"25-34",
HR_Data[[#This Row],[Age]]&lt;45,"35-44",
HR_Data[[#This Row],[Age]]&lt;55,"45-54",
TRUE,"55+"
)</f>
        <v>25-34</v>
      </c>
      <c r="AK908" t="str" cm="1">
        <f t="array" ref="AK908">_xlfn.IFS(
HR_Data[[#This Row],[MonthlyIncome]]&lt;3000,"&lt;3K",
HR_Data[[#This Row],[MonthlyIncome]]&lt;6000,"3K-6K",
HR_Data[[#This Row],[MonthlyIncome]]&lt;10000,"6K-10K",
TRUE,"10K+"
)</f>
        <v>&lt;3K</v>
      </c>
      <c r="AL908" t="str" cm="1">
        <f t="array" ref="AL908">_xlfn.IFS(
HR_Data[[#This Row],[YearsAtCompany]]&lt;2,"&lt;2 Years",
HR_Data[[#This Row],[YearsAtCompany]]&lt;5,"2-4 Years",
HR_Data[[#This Row],[YearsAtCompany]]&lt;10,"5-9 Years",
TRUE,"10+ Years"
)</f>
        <v>&lt;2 Years</v>
      </c>
      <c r="AM908" s="1">
        <f>IF(HR_Data[[#This Row],[Attrition]]="Yes",1,0)</f>
        <v>0</v>
      </c>
    </row>
    <row r="909" spans="1:39" x14ac:dyDescent="0.3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 cm="1">
        <f t="array" ref="AJ909">_xlfn.IFS(
HR_Data[[#This Row],[Age]]&lt;25,"Under 25",
HR_Data[[#This Row],[Age]]&lt;35,"25-34",
HR_Data[[#This Row],[Age]]&lt;45,"35-44",
HR_Data[[#This Row],[Age]]&lt;55,"45-54",
TRUE,"55+"
)</f>
        <v>35-44</v>
      </c>
      <c r="AK909" t="str" cm="1">
        <f t="array" ref="AK909">_xlfn.IFS(
HR_Data[[#This Row],[MonthlyIncome]]&lt;3000,"&lt;3K",
HR_Data[[#This Row],[MonthlyIncome]]&lt;6000,"3K-6K",
HR_Data[[#This Row],[MonthlyIncome]]&lt;10000,"6K-10K",
TRUE,"10K+"
)</f>
        <v>10K+</v>
      </c>
      <c r="AL909" t="str" cm="1">
        <f t="array" ref="AL909">_xlfn.IFS(
HR_Data[[#This Row],[YearsAtCompany]]&lt;2,"&lt;2 Years",
HR_Data[[#This Row],[YearsAtCompany]]&lt;5,"2-4 Years",
HR_Data[[#This Row],[YearsAtCompany]]&lt;10,"5-9 Years",
TRUE,"10+ Years"
)</f>
        <v>10+ Years</v>
      </c>
      <c r="AM909" s="1">
        <f>IF(HR_Data[[#This Row],[Attrition]]="Yes",1,0)</f>
        <v>0</v>
      </c>
    </row>
    <row r="910" spans="1:39" x14ac:dyDescent="0.3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 cm="1">
        <f t="array" ref="AJ910">_xlfn.IFS(
HR_Data[[#This Row],[Age]]&lt;25,"Under 25",
HR_Data[[#This Row],[Age]]&lt;35,"25-34",
HR_Data[[#This Row],[Age]]&lt;45,"35-44",
HR_Data[[#This Row],[Age]]&lt;55,"45-54",
TRUE,"55+"
)</f>
        <v>25-34</v>
      </c>
      <c r="AK910" t="str" cm="1">
        <f t="array" ref="AK910">_xlfn.IFS(
HR_Data[[#This Row],[MonthlyIncome]]&lt;3000,"&lt;3K",
HR_Data[[#This Row],[MonthlyIncome]]&lt;6000,"3K-6K",
HR_Data[[#This Row],[MonthlyIncome]]&lt;10000,"6K-10K",
TRUE,"10K+"
)</f>
        <v>6K-10K</v>
      </c>
      <c r="AL910" t="str" cm="1">
        <f t="array" ref="AL910">_xlfn.IFS(
HR_Data[[#This Row],[YearsAtCompany]]&lt;2,"&lt;2 Years",
HR_Data[[#This Row],[YearsAtCompany]]&lt;5,"2-4 Years",
HR_Data[[#This Row],[YearsAtCompany]]&lt;10,"5-9 Years",
TRUE,"10+ Years"
)</f>
        <v>5-9 Years</v>
      </c>
      <c r="AM910" s="1">
        <f>IF(HR_Data[[#This Row],[Attrition]]="Yes",1,0)</f>
        <v>0</v>
      </c>
    </row>
    <row r="911" spans="1:39" x14ac:dyDescent="0.3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 cm="1">
        <f t="array" ref="AJ911">_xlfn.IFS(
HR_Data[[#This Row],[Age]]&lt;25,"Under 25",
HR_Data[[#This Row],[Age]]&lt;35,"25-34",
HR_Data[[#This Row],[Age]]&lt;45,"35-44",
HR_Data[[#This Row],[Age]]&lt;55,"45-54",
TRUE,"55+"
)</f>
        <v>Under 25</v>
      </c>
      <c r="AK911" t="str" cm="1">
        <f t="array" ref="AK911">_xlfn.IFS(
HR_Data[[#This Row],[MonthlyIncome]]&lt;3000,"&lt;3K",
HR_Data[[#This Row],[MonthlyIncome]]&lt;6000,"3K-6K",
HR_Data[[#This Row],[MonthlyIncome]]&lt;10000,"6K-10K",
TRUE,"10K+"
)</f>
        <v>&lt;3K</v>
      </c>
      <c r="AL911" t="str" cm="1">
        <f t="array" ref="AL911">_xlfn.IFS(
HR_Data[[#This Row],[YearsAtCompany]]&lt;2,"&lt;2 Years",
HR_Data[[#This Row],[YearsAtCompany]]&lt;5,"2-4 Years",
HR_Data[[#This Row],[YearsAtCompany]]&lt;10,"5-9 Years",
TRUE,"10+ Years"
)</f>
        <v>&lt;2 Years</v>
      </c>
      <c r="AM911" s="1">
        <f>IF(HR_Data[[#This Row],[Attrition]]="Yes",1,0)</f>
        <v>0</v>
      </c>
    </row>
    <row r="912" spans="1:39" x14ac:dyDescent="0.3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 cm="1">
        <f t="array" ref="AJ912">_xlfn.IFS(
HR_Data[[#This Row],[Age]]&lt;25,"Under 25",
HR_Data[[#This Row],[Age]]&lt;35,"25-34",
HR_Data[[#This Row],[Age]]&lt;45,"35-44",
HR_Data[[#This Row],[Age]]&lt;55,"45-54",
TRUE,"55+"
)</f>
        <v>Under 25</v>
      </c>
      <c r="AK912" t="str" cm="1">
        <f t="array" ref="AK912">_xlfn.IFS(
HR_Data[[#This Row],[MonthlyIncome]]&lt;3000,"&lt;3K",
HR_Data[[#This Row],[MonthlyIncome]]&lt;6000,"3K-6K",
HR_Data[[#This Row],[MonthlyIncome]]&lt;10000,"6K-10K",
TRUE,"10K+"
)</f>
        <v>&lt;3K</v>
      </c>
      <c r="AL912" t="str" cm="1">
        <f t="array" ref="AL912">_xlfn.IFS(
HR_Data[[#This Row],[YearsAtCompany]]&lt;2,"&lt;2 Years",
HR_Data[[#This Row],[YearsAtCompany]]&lt;5,"2-4 Years",
HR_Data[[#This Row],[YearsAtCompany]]&lt;10,"5-9 Years",
TRUE,"10+ Years"
)</f>
        <v>&lt;2 Years</v>
      </c>
      <c r="AM912" s="1">
        <f>IF(HR_Data[[#This Row],[Attrition]]="Yes",1,0)</f>
        <v>0</v>
      </c>
    </row>
    <row r="913" spans="1:39" x14ac:dyDescent="0.3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 cm="1">
        <f t="array" ref="AJ913">_xlfn.IFS(
HR_Data[[#This Row],[Age]]&lt;25,"Under 25",
HR_Data[[#This Row],[Age]]&lt;35,"25-34",
HR_Data[[#This Row],[Age]]&lt;45,"35-44",
HR_Data[[#This Row],[Age]]&lt;55,"45-54",
TRUE,"55+"
)</f>
        <v>25-34</v>
      </c>
      <c r="AK913" t="str" cm="1">
        <f t="array" ref="AK913">_xlfn.IFS(
HR_Data[[#This Row],[MonthlyIncome]]&lt;3000,"&lt;3K",
HR_Data[[#This Row],[MonthlyIncome]]&lt;6000,"3K-6K",
HR_Data[[#This Row],[MonthlyIncome]]&lt;10000,"6K-10K",
TRUE,"10K+"
)</f>
        <v>&lt;3K</v>
      </c>
      <c r="AL913" t="str" cm="1">
        <f t="array" ref="AL913">_xlfn.IFS(
HR_Data[[#This Row],[YearsAtCompany]]&lt;2,"&lt;2 Years",
HR_Data[[#This Row],[YearsAtCompany]]&lt;5,"2-4 Years",
HR_Data[[#This Row],[YearsAtCompany]]&lt;10,"5-9 Years",
TRUE,"10+ Years"
)</f>
        <v>&lt;2 Years</v>
      </c>
      <c r="AM913" s="1">
        <f>IF(HR_Data[[#This Row],[Attrition]]="Yes",1,0)</f>
        <v>1</v>
      </c>
    </row>
    <row r="914" spans="1:39" x14ac:dyDescent="0.3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 cm="1">
        <f t="array" ref="AJ914">_xlfn.IFS(
HR_Data[[#This Row],[Age]]&lt;25,"Under 25",
HR_Data[[#This Row],[Age]]&lt;35,"25-34",
HR_Data[[#This Row],[Age]]&lt;45,"35-44",
HR_Data[[#This Row],[Age]]&lt;55,"45-54",
TRUE,"55+"
)</f>
        <v>25-34</v>
      </c>
      <c r="AK914" t="str" cm="1">
        <f t="array" ref="AK914">_xlfn.IFS(
HR_Data[[#This Row],[MonthlyIncome]]&lt;3000,"&lt;3K",
HR_Data[[#This Row],[MonthlyIncome]]&lt;6000,"3K-6K",
HR_Data[[#This Row],[MonthlyIncome]]&lt;10000,"6K-10K",
TRUE,"10K+"
)</f>
        <v>&lt;3K</v>
      </c>
      <c r="AL914" t="str" cm="1">
        <f t="array" ref="AL914">_xlfn.IFS(
HR_Data[[#This Row],[YearsAtCompany]]&lt;2,"&lt;2 Years",
HR_Data[[#This Row],[YearsAtCompany]]&lt;5,"2-4 Years",
HR_Data[[#This Row],[YearsAtCompany]]&lt;10,"5-9 Years",
TRUE,"10+ Years"
)</f>
        <v>5-9 Years</v>
      </c>
      <c r="AM914" s="1">
        <f>IF(HR_Data[[#This Row],[Attrition]]="Yes",1,0)</f>
        <v>0</v>
      </c>
    </row>
    <row r="915" spans="1:39" x14ac:dyDescent="0.3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 cm="1">
        <f t="array" ref="AJ915">_xlfn.IFS(
HR_Data[[#This Row],[Age]]&lt;25,"Under 25",
HR_Data[[#This Row],[Age]]&lt;35,"25-34",
HR_Data[[#This Row],[Age]]&lt;45,"35-44",
HR_Data[[#This Row],[Age]]&lt;55,"45-54",
TRUE,"55+"
)</f>
        <v>45-54</v>
      </c>
      <c r="AK915" t="str" cm="1">
        <f t="array" ref="AK915">_xlfn.IFS(
HR_Data[[#This Row],[MonthlyIncome]]&lt;3000,"&lt;3K",
HR_Data[[#This Row],[MonthlyIncome]]&lt;6000,"3K-6K",
HR_Data[[#This Row],[MonthlyIncome]]&lt;10000,"6K-10K",
TRUE,"10K+"
)</f>
        <v>10K+</v>
      </c>
      <c r="AL915" t="str" cm="1">
        <f t="array" ref="AL915">_xlfn.IFS(
HR_Data[[#This Row],[YearsAtCompany]]&lt;2,"&lt;2 Years",
HR_Data[[#This Row],[YearsAtCompany]]&lt;5,"2-4 Years",
HR_Data[[#This Row],[YearsAtCompany]]&lt;10,"5-9 Years",
TRUE,"10+ Years"
)</f>
        <v>10+ Years</v>
      </c>
      <c r="AM915" s="1">
        <f>IF(HR_Data[[#This Row],[Attrition]]="Yes",1,0)</f>
        <v>1</v>
      </c>
    </row>
    <row r="916" spans="1:39" x14ac:dyDescent="0.3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 cm="1">
        <f t="array" ref="AJ916">_xlfn.IFS(
HR_Data[[#This Row],[Age]]&lt;25,"Under 25",
HR_Data[[#This Row],[Age]]&lt;35,"25-34",
HR_Data[[#This Row],[Age]]&lt;45,"35-44",
HR_Data[[#This Row],[Age]]&lt;55,"45-54",
TRUE,"55+"
)</f>
        <v>55+</v>
      </c>
      <c r="AK916" t="str" cm="1">
        <f t="array" ref="AK916">_xlfn.IFS(
HR_Data[[#This Row],[MonthlyIncome]]&lt;3000,"&lt;3K",
HR_Data[[#This Row],[MonthlyIncome]]&lt;6000,"3K-6K",
HR_Data[[#This Row],[MonthlyIncome]]&lt;10000,"6K-10K",
TRUE,"10K+"
)</f>
        <v>10K+</v>
      </c>
      <c r="AL916" t="str" cm="1">
        <f t="array" ref="AL916">_xlfn.IFS(
HR_Data[[#This Row],[YearsAtCompany]]&lt;2,"&lt;2 Years",
HR_Data[[#This Row],[YearsAtCompany]]&lt;5,"2-4 Years",
HR_Data[[#This Row],[YearsAtCompany]]&lt;10,"5-9 Years",
TRUE,"10+ Years"
)</f>
        <v>10+ Years</v>
      </c>
      <c r="AM916" s="1">
        <f>IF(HR_Data[[#This Row],[Attrition]]="Yes",1,0)</f>
        <v>0</v>
      </c>
    </row>
    <row r="917" spans="1:39" x14ac:dyDescent="0.3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 cm="1">
        <f t="array" ref="AJ917">_xlfn.IFS(
HR_Data[[#This Row],[Age]]&lt;25,"Under 25",
HR_Data[[#This Row],[Age]]&lt;35,"25-34",
HR_Data[[#This Row],[Age]]&lt;45,"35-44",
HR_Data[[#This Row],[Age]]&lt;55,"45-54",
TRUE,"55+"
)</f>
        <v>Under 25</v>
      </c>
      <c r="AK917" t="str" cm="1">
        <f t="array" ref="AK917">_xlfn.IFS(
HR_Data[[#This Row],[MonthlyIncome]]&lt;3000,"&lt;3K",
HR_Data[[#This Row],[MonthlyIncome]]&lt;6000,"3K-6K",
HR_Data[[#This Row],[MonthlyIncome]]&lt;10000,"6K-10K",
TRUE,"10K+"
)</f>
        <v>&lt;3K</v>
      </c>
      <c r="AL917" t="str" cm="1">
        <f t="array" ref="AL917">_xlfn.IFS(
HR_Data[[#This Row],[YearsAtCompany]]&lt;2,"&lt;2 Years",
HR_Data[[#This Row],[YearsAtCompany]]&lt;5,"2-4 Years",
HR_Data[[#This Row],[YearsAtCompany]]&lt;10,"5-9 Years",
TRUE,"10+ Years"
)</f>
        <v>2-4 Years</v>
      </c>
      <c r="AM917" s="1">
        <f>IF(HR_Data[[#This Row],[Attrition]]="Yes",1,0)</f>
        <v>1</v>
      </c>
    </row>
    <row r="918" spans="1:39" x14ac:dyDescent="0.3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 cm="1">
        <f t="array" ref="AJ918">_xlfn.IFS(
HR_Data[[#This Row],[Age]]&lt;25,"Under 25",
HR_Data[[#This Row],[Age]]&lt;35,"25-34",
HR_Data[[#This Row],[Age]]&lt;45,"35-44",
HR_Data[[#This Row],[Age]]&lt;55,"45-54",
TRUE,"55+"
)</f>
        <v>45-54</v>
      </c>
      <c r="AK918" t="str" cm="1">
        <f t="array" ref="AK918">_xlfn.IFS(
HR_Data[[#This Row],[MonthlyIncome]]&lt;3000,"&lt;3K",
HR_Data[[#This Row],[MonthlyIncome]]&lt;6000,"3K-6K",
HR_Data[[#This Row],[MonthlyIncome]]&lt;10000,"6K-10K",
TRUE,"10K+"
)</f>
        <v>10K+</v>
      </c>
      <c r="AL918" t="str" cm="1">
        <f t="array" ref="AL918">_xlfn.IFS(
HR_Data[[#This Row],[YearsAtCompany]]&lt;2,"&lt;2 Years",
HR_Data[[#This Row],[YearsAtCompany]]&lt;5,"2-4 Years",
HR_Data[[#This Row],[YearsAtCompany]]&lt;10,"5-9 Years",
TRUE,"10+ Years"
)</f>
        <v>10+ Years</v>
      </c>
      <c r="AM918" s="1">
        <f>IF(HR_Data[[#This Row],[Attrition]]="Yes",1,0)</f>
        <v>0</v>
      </c>
    </row>
    <row r="919" spans="1:39" x14ac:dyDescent="0.3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 cm="1">
        <f t="array" ref="AJ919">_xlfn.IFS(
HR_Data[[#This Row],[Age]]&lt;25,"Under 25",
HR_Data[[#This Row],[Age]]&lt;35,"25-34",
HR_Data[[#This Row],[Age]]&lt;45,"35-44",
HR_Data[[#This Row],[Age]]&lt;55,"45-54",
TRUE,"55+"
)</f>
        <v>25-34</v>
      </c>
      <c r="AK919" t="str" cm="1">
        <f t="array" ref="AK919">_xlfn.IFS(
HR_Data[[#This Row],[MonthlyIncome]]&lt;3000,"&lt;3K",
HR_Data[[#This Row],[MonthlyIncome]]&lt;6000,"3K-6K",
HR_Data[[#This Row],[MonthlyIncome]]&lt;10000,"6K-10K",
TRUE,"10K+"
)</f>
        <v>3K-6K</v>
      </c>
      <c r="AL919" t="str" cm="1">
        <f t="array" ref="AL919">_xlfn.IFS(
HR_Data[[#This Row],[YearsAtCompany]]&lt;2,"&lt;2 Years",
HR_Data[[#This Row],[YearsAtCompany]]&lt;5,"2-4 Years",
HR_Data[[#This Row],[YearsAtCompany]]&lt;10,"5-9 Years",
TRUE,"10+ Years"
)</f>
        <v>2-4 Years</v>
      </c>
      <c r="AM919" s="1">
        <f>IF(HR_Data[[#This Row],[Attrition]]="Yes",1,0)</f>
        <v>0</v>
      </c>
    </row>
    <row r="920" spans="1:39" x14ac:dyDescent="0.3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 cm="1">
        <f t="array" ref="AJ920">_xlfn.IFS(
HR_Data[[#This Row],[Age]]&lt;25,"Under 25",
HR_Data[[#This Row],[Age]]&lt;35,"25-34",
HR_Data[[#This Row],[Age]]&lt;45,"35-44",
HR_Data[[#This Row],[Age]]&lt;55,"45-54",
TRUE,"55+"
)</f>
        <v>45-54</v>
      </c>
      <c r="AK920" t="str" cm="1">
        <f t="array" ref="AK920">_xlfn.IFS(
HR_Data[[#This Row],[MonthlyIncome]]&lt;3000,"&lt;3K",
HR_Data[[#This Row],[MonthlyIncome]]&lt;6000,"3K-6K",
HR_Data[[#This Row],[MonthlyIncome]]&lt;10000,"6K-10K",
TRUE,"10K+"
)</f>
        <v>10K+</v>
      </c>
      <c r="AL920" t="str" cm="1">
        <f t="array" ref="AL920">_xlfn.IFS(
HR_Data[[#This Row],[YearsAtCompany]]&lt;2,"&lt;2 Years",
HR_Data[[#This Row],[YearsAtCompany]]&lt;5,"2-4 Years",
HR_Data[[#This Row],[YearsAtCompany]]&lt;10,"5-9 Years",
TRUE,"10+ Years"
)</f>
        <v>10+ Years</v>
      </c>
      <c r="AM920" s="1">
        <f>IF(HR_Data[[#This Row],[Attrition]]="Yes",1,0)</f>
        <v>0</v>
      </c>
    </row>
    <row r="921" spans="1:39" x14ac:dyDescent="0.3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 cm="1">
        <f t="array" ref="AJ921">_xlfn.IFS(
HR_Data[[#This Row],[Age]]&lt;25,"Under 25",
HR_Data[[#This Row],[Age]]&lt;35,"25-34",
HR_Data[[#This Row],[Age]]&lt;45,"35-44",
HR_Data[[#This Row],[Age]]&lt;55,"45-54",
TRUE,"55+"
)</f>
        <v>55+</v>
      </c>
      <c r="AK921" t="str" cm="1">
        <f t="array" ref="AK921">_xlfn.IFS(
HR_Data[[#This Row],[MonthlyIncome]]&lt;3000,"&lt;3K",
HR_Data[[#This Row],[MonthlyIncome]]&lt;6000,"3K-6K",
HR_Data[[#This Row],[MonthlyIncome]]&lt;10000,"6K-10K",
TRUE,"10K+"
)</f>
        <v>10K+</v>
      </c>
      <c r="AL921" t="str" cm="1">
        <f t="array" ref="AL921">_xlfn.IFS(
HR_Data[[#This Row],[YearsAtCompany]]&lt;2,"&lt;2 Years",
HR_Data[[#This Row],[YearsAtCompany]]&lt;5,"2-4 Years",
HR_Data[[#This Row],[YearsAtCompany]]&lt;10,"5-9 Years",
TRUE,"10+ Years"
)</f>
        <v>5-9 Years</v>
      </c>
      <c r="AM921" s="1">
        <f>IF(HR_Data[[#This Row],[Attrition]]="Yes",1,0)</f>
        <v>0</v>
      </c>
    </row>
    <row r="922" spans="1:39" x14ac:dyDescent="0.3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 cm="1">
        <f t="array" ref="AJ922">_xlfn.IFS(
HR_Data[[#This Row],[Age]]&lt;25,"Under 25",
HR_Data[[#This Row],[Age]]&lt;35,"25-34",
HR_Data[[#This Row],[Age]]&lt;45,"35-44",
HR_Data[[#This Row],[Age]]&lt;55,"45-54",
TRUE,"55+"
)</f>
        <v>25-34</v>
      </c>
      <c r="AK922" t="str" cm="1">
        <f t="array" ref="AK922">_xlfn.IFS(
HR_Data[[#This Row],[MonthlyIncome]]&lt;3000,"&lt;3K",
HR_Data[[#This Row],[MonthlyIncome]]&lt;6000,"3K-6K",
HR_Data[[#This Row],[MonthlyIncome]]&lt;10000,"6K-10K",
TRUE,"10K+"
)</f>
        <v>3K-6K</v>
      </c>
      <c r="AL922" t="str" cm="1">
        <f t="array" ref="AL922">_xlfn.IFS(
HR_Data[[#This Row],[YearsAtCompany]]&lt;2,"&lt;2 Years",
HR_Data[[#This Row],[YearsAtCompany]]&lt;5,"2-4 Years",
HR_Data[[#This Row],[YearsAtCompany]]&lt;10,"5-9 Years",
TRUE,"10+ Years"
)</f>
        <v>10+ Years</v>
      </c>
      <c r="AM922" s="1">
        <f>IF(HR_Data[[#This Row],[Attrition]]="Yes",1,0)</f>
        <v>0</v>
      </c>
    </row>
    <row r="923" spans="1:39" x14ac:dyDescent="0.3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 cm="1">
        <f t="array" ref="AJ923">_xlfn.IFS(
HR_Data[[#This Row],[Age]]&lt;25,"Under 25",
HR_Data[[#This Row],[Age]]&lt;35,"25-34",
HR_Data[[#This Row],[Age]]&lt;45,"35-44",
HR_Data[[#This Row],[Age]]&lt;55,"45-54",
TRUE,"55+"
)</f>
        <v>25-34</v>
      </c>
      <c r="AK923" t="str" cm="1">
        <f t="array" ref="AK923">_xlfn.IFS(
HR_Data[[#This Row],[MonthlyIncome]]&lt;3000,"&lt;3K",
HR_Data[[#This Row],[MonthlyIncome]]&lt;6000,"3K-6K",
HR_Data[[#This Row],[MonthlyIncome]]&lt;10000,"6K-10K",
TRUE,"10K+"
)</f>
        <v>&lt;3K</v>
      </c>
      <c r="AL923" t="str" cm="1">
        <f t="array" ref="AL923">_xlfn.IFS(
HR_Data[[#This Row],[YearsAtCompany]]&lt;2,"&lt;2 Years",
HR_Data[[#This Row],[YearsAtCompany]]&lt;5,"2-4 Years",
HR_Data[[#This Row],[YearsAtCompany]]&lt;10,"5-9 Years",
TRUE,"10+ Years"
)</f>
        <v>2-4 Years</v>
      </c>
      <c r="AM923" s="1">
        <f>IF(HR_Data[[#This Row],[Attrition]]="Yes",1,0)</f>
        <v>0</v>
      </c>
    </row>
    <row r="924" spans="1:39" x14ac:dyDescent="0.3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 cm="1">
        <f t="array" ref="AJ924">_xlfn.IFS(
HR_Data[[#This Row],[Age]]&lt;25,"Under 25",
HR_Data[[#This Row],[Age]]&lt;35,"25-34",
HR_Data[[#This Row],[Age]]&lt;45,"35-44",
HR_Data[[#This Row],[Age]]&lt;55,"45-54",
TRUE,"55+"
)</f>
        <v>35-44</v>
      </c>
      <c r="AK924" t="str" cm="1">
        <f t="array" ref="AK924">_xlfn.IFS(
HR_Data[[#This Row],[MonthlyIncome]]&lt;3000,"&lt;3K",
HR_Data[[#This Row],[MonthlyIncome]]&lt;6000,"3K-6K",
HR_Data[[#This Row],[MonthlyIncome]]&lt;10000,"6K-10K",
TRUE,"10K+"
)</f>
        <v>10K+</v>
      </c>
      <c r="AL924" t="str" cm="1">
        <f t="array" ref="AL924">_xlfn.IFS(
HR_Data[[#This Row],[YearsAtCompany]]&lt;2,"&lt;2 Years",
HR_Data[[#This Row],[YearsAtCompany]]&lt;5,"2-4 Years",
HR_Data[[#This Row],[YearsAtCompany]]&lt;10,"5-9 Years",
TRUE,"10+ Years"
)</f>
        <v>10+ Years</v>
      </c>
      <c r="AM924" s="1">
        <f>IF(HR_Data[[#This Row],[Attrition]]="Yes",1,0)</f>
        <v>0</v>
      </c>
    </row>
    <row r="925" spans="1:39" x14ac:dyDescent="0.3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 cm="1">
        <f t="array" ref="AJ925">_xlfn.IFS(
HR_Data[[#This Row],[Age]]&lt;25,"Under 25",
HR_Data[[#This Row],[Age]]&lt;35,"25-34",
HR_Data[[#This Row],[Age]]&lt;45,"35-44",
HR_Data[[#This Row],[Age]]&lt;55,"45-54",
TRUE,"55+"
)</f>
        <v>25-34</v>
      </c>
      <c r="AK925" t="str" cm="1">
        <f t="array" ref="AK925">_xlfn.IFS(
HR_Data[[#This Row],[MonthlyIncome]]&lt;3000,"&lt;3K",
HR_Data[[#This Row],[MonthlyIncome]]&lt;6000,"3K-6K",
HR_Data[[#This Row],[MonthlyIncome]]&lt;10000,"6K-10K",
TRUE,"10K+"
)</f>
        <v>3K-6K</v>
      </c>
      <c r="AL925" t="str" cm="1">
        <f t="array" ref="AL925">_xlfn.IFS(
HR_Data[[#This Row],[YearsAtCompany]]&lt;2,"&lt;2 Years",
HR_Data[[#This Row],[YearsAtCompany]]&lt;5,"2-4 Years",
HR_Data[[#This Row],[YearsAtCompany]]&lt;10,"5-9 Years",
TRUE,"10+ Years"
)</f>
        <v>10+ Years</v>
      </c>
      <c r="AM925" s="1">
        <f>IF(HR_Data[[#This Row],[Attrition]]="Yes",1,0)</f>
        <v>0</v>
      </c>
    </row>
    <row r="926" spans="1:39" x14ac:dyDescent="0.3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 cm="1">
        <f t="array" ref="AJ926">_xlfn.IFS(
HR_Data[[#This Row],[Age]]&lt;25,"Under 25",
HR_Data[[#This Row],[Age]]&lt;35,"25-34",
HR_Data[[#This Row],[Age]]&lt;45,"35-44",
HR_Data[[#This Row],[Age]]&lt;55,"45-54",
TRUE,"55+"
)</f>
        <v>35-44</v>
      </c>
      <c r="AK926" t="str" cm="1">
        <f t="array" ref="AK926">_xlfn.IFS(
HR_Data[[#This Row],[MonthlyIncome]]&lt;3000,"&lt;3K",
HR_Data[[#This Row],[MonthlyIncome]]&lt;6000,"3K-6K",
HR_Data[[#This Row],[MonthlyIncome]]&lt;10000,"6K-10K",
TRUE,"10K+"
)</f>
        <v>3K-6K</v>
      </c>
      <c r="AL926" t="str" cm="1">
        <f t="array" ref="AL926">_xlfn.IFS(
HR_Data[[#This Row],[YearsAtCompany]]&lt;2,"&lt;2 Years",
HR_Data[[#This Row],[YearsAtCompany]]&lt;5,"2-4 Years",
HR_Data[[#This Row],[YearsAtCompany]]&lt;10,"5-9 Years",
TRUE,"10+ Years"
)</f>
        <v>2-4 Years</v>
      </c>
      <c r="AM926" s="1">
        <f>IF(HR_Data[[#This Row],[Attrition]]="Yes",1,0)</f>
        <v>0</v>
      </c>
    </row>
    <row r="927" spans="1:39" x14ac:dyDescent="0.3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 cm="1">
        <f t="array" ref="AJ927">_xlfn.IFS(
HR_Data[[#This Row],[Age]]&lt;25,"Under 25",
HR_Data[[#This Row],[Age]]&lt;35,"25-34",
HR_Data[[#This Row],[Age]]&lt;45,"35-44",
HR_Data[[#This Row],[Age]]&lt;55,"45-54",
TRUE,"55+"
)</f>
        <v>35-44</v>
      </c>
      <c r="AK927" t="str" cm="1">
        <f t="array" ref="AK927">_xlfn.IFS(
HR_Data[[#This Row],[MonthlyIncome]]&lt;3000,"&lt;3K",
HR_Data[[#This Row],[MonthlyIncome]]&lt;6000,"3K-6K",
HR_Data[[#This Row],[MonthlyIncome]]&lt;10000,"6K-10K",
TRUE,"10K+"
)</f>
        <v>&lt;3K</v>
      </c>
      <c r="AL927" t="str" cm="1">
        <f t="array" ref="AL927">_xlfn.IFS(
HR_Data[[#This Row],[YearsAtCompany]]&lt;2,"&lt;2 Years",
HR_Data[[#This Row],[YearsAtCompany]]&lt;5,"2-4 Years",
HR_Data[[#This Row],[YearsAtCompany]]&lt;10,"5-9 Years",
TRUE,"10+ Years"
)</f>
        <v>&lt;2 Years</v>
      </c>
      <c r="AM927" s="1">
        <f>IF(HR_Data[[#This Row],[Attrition]]="Yes",1,0)</f>
        <v>0</v>
      </c>
    </row>
    <row r="928" spans="1:39" x14ac:dyDescent="0.3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 cm="1">
        <f t="array" ref="AJ928">_xlfn.IFS(
HR_Data[[#This Row],[Age]]&lt;25,"Under 25",
HR_Data[[#This Row],[Age]]&lt;35,"25-34",
HR_Data[[#This Row],[Age]]&lt;45,"35-44",
HR_Data[[#This Row],[Age]]&lt;55,"45-54",
TRUE,"55+"
)</f>
        <v>35-44</v>
      </c>
      <c r="AK928" t="str" cm="1">
        <f t="array" ref="AK928">_xlfn.IFS(
HR_Data[[#This Row],[MonthlyIncome]]&lt;3000,"&lt;3K",
HR_Data[[#This Row],[MonthlyIncome]]&lt;6000,"3K-6K",
HR_Data[[#This Row],[MonthlyIncome]]&lt;10000,"6K-10K",
TRUE,"10K+"
)</f>
        <v>10K+</v>
      </c>
      <c r="AL928" t="str" cm="1">
        <f t="array" ref="AL928">_xlfn.IFS(
HR_Data[[#This Row],[YearsAtCompany]]&lt;2,"&lt;2 Years",
HR_Data[[#This Row],[YearsAtCompany]]&lt;5,"2-4 Years",
HR_Data[[#This Row],[YearsAtCompany]]&lt;10,"5-9 Years",
TRUE,"10+ Years"
)</f>
        <v>10+ Years</v>
      </c>
      <c r="AM928" s="1">
        <f>IF(HR_Data[[#This Row],[Attrition]]="Yes",1,0)</f>
        <v>0</v>
      </c>
    </row>
    <row r="929" spans="1:39" x14ac:dyDescent="0.3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 cm="1">
        <f t="array" ref="AJ929">_xlfn.IFS(
HR_Data[[#This Row],[Age]]&lt;25,"Under 25",
HR_Data[[#This Row],[Age]]&lt;35,"25-34",
HR_Data[[#This Row],[Age]]&lt;45,"35-44",
HR_Data[[#This Row],[Age]]&lt;55,"45-54",
TRUE,"55+"
)</f>
        <v>35-44</v>
      </c>
      <c r="AK929" t="str" cm="1">
        <f t="array" ref="AK929">_xlfn.IFS(
HR_Data[[#This Row],[MonthlyIncome]]&lt;3000,"&lt;3K",
HR_Data[[#This Row],[MonthlyIncome]]&lt;6000,"3K-6K",
HR_Data[[#This Row],[MonthlyIncome]]&lt;10000,"6K-10K",
TRUE,"10K+"
)</f>
        <v>3K-6K</v>
      </c>
      <c r="AL929" t="str" cm="1">
        <f t="array" ref="AL929">_xlfn.IFS(
HR_Data[[#This Row],[YearsAtCompany]]&lt;2,"&lt;2 Years",
HR_Data[[#This Row],[YearsAtCompany]]&lt;5,"2-4 Years",
HR_Data[[#This Row],[YearsAtCompany]]&lt;10,"5-9 Years",
TRUE,"10+ Years"
)</f>
        <v>10+ Years</v>
      </c>
      <c r="AM929" s="1">
        <f>IF(HR_Data[[#This Row],[Attrition]]="Yes",1,0)</f>
        <v>0</v>
      </c>
    </row>
    <row r="930" spans="1:39" x14ac:dyDescent="0.3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 cm="1">
        <f t="array" ref="AJ930">_xlfn.IFS(
HR_Data[[#This Row],[Age]]&lt;25,"Under 25",
HR_Data[[#This Row],[Age]]&lt;35,"25-34",
HR_Data[[#This Row],[Age]]&lt;45,"35-44",
HR_Data[[#This Row],[Age]]&lt;55,"45-54",
TRUE,"55+"
)</f>
        <v>35-44</v>
      </c>
      <c r="AK930" t="str" cm="1">
        <f t="array" ref="AK930">_xlfn.IFS(
HR_Data[[#This Row],[MonthlyIncome]]&lt;3000,"&lt;3K",
HR_Data[[#This Row],[MonthlyIncome]]&lt;6000,"3K-6K",
HR_Data[[#This Row],[MonthlyIncome]]&lt;10000,"6K-10K",
TRUE,"10K+"
)</f>
        <v>6K-10K</v>
      </c>
      <c r="AL930" t="str" cm="1">
        <f t="array" ref="AL930">_xlfn.IFS(
HR_Data[[#This Row],[YearsAtCompany]]&lt;2,"&lt;2 Years",
HR_Data[[#This Row],[YearsAtCompany]]&lt;5,"2-4 Years",
HR_Data[[#This Row],[YearsAtCompany]]&lt;10,"5-9 Years",
TRUE,"10+ Years"
)</f>
        <v>10+ Years</v>
      </c>
      <c r="AM930" s="1">
        <f>IF(HR_Data[[#This Row],[Attrition]]="Yes",1,0)</f>
        <v>1</v>
      </c>
    </row>
    <row r="931" spans="1:39" x14ac:dyDescent="0.3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 cm="1">
        <f t="array" ref="AJ931">_xlfn.IFS(
HR_Data[[#This Row],[Age]]&lt;25,"Under 25",
HR_Data[[#This Row],[Age]]&lt;35,"25-34",
HR_Data[[#This Row],[Age]]&lt;45,"35-44",
HR_Data[[#This Row],[Age]]&lt;55,"45-54",
TRUE,"55+"
)</f>
        <v>25-34</v>
      </c>
      <c r="AK931" t="str" cm="1">
        <f t="array" ref="AK931">_xlfn.IFS(
HR_Data[[#This Row],[MonthlyIncome]]&lt;3000,"&lt;3K",
HR_Data[[#This Row],[MonthlyIncome]]&lt;6000,"3K-6K",
HR_Data[[#This Row],[MonthlyIncome]]&lt;10000,"6K-10K",
TRUE,"10K+"
)</f>
        <v>3K-6K</v>
      </c>
      <c r="AL931" t="str" cm="1">
        <f t="array" ref="AL931">_xlfn.IFS(
HR_Data[[#This Row],[YearsAtCompany]]&lt;2,"&lt;2 Years",
HR_Data[[#This Row],[YearsAtCompany]]&lt;5,"2-4 Years",
HR_Data[[#This Row],[YearsAtCompany]]&lt;10,"5-9 Years",
TRUE,"10+ Years"
)</f>
        <v>2-4 Years</v>
      </c>
      <c r="AM931" s="1">
        <f>IF(HR_Data[[#This Row],[Attrition]]="Yes",1,0)</f>
        <v>0</v>
      </c>
    </row>
    <row r="932" spans="1:39" x14ac:dyDescent="0.3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 cm="1">
        <f t="array" ref="AJ932">_xlfn.IFS(
HR_Data[[#This Row],[Age]]&lt;25,"Under 25",
HR_Data[[#This Row],[Age]]&lt;35,"25-34",
HR_Data[[#This Row],[Age]]&lt;45,"35-44",
HR_Data[[#This Row],[Age]]&lt;55,"45-54",
TRUE,"55+"
)</f>
        <v>45-54</v>
      </c>
      <c r="AK932" t="str" cm="1">
        <f t="array" ref="AK932">_xlfn.IFS(
HR_Data[[#This Row],[MonthlyIncome]]&lt;3000,"&lt;3K",
HR_Data[[#This Row],[MonthlyIncome]]&lt;6000,"3K-6K",
HR_Data[[#This Row],[MonthlyIncome]]&lt;10000,"6K-10K",
TRUE,"10K+"
)</f>
        <v>&lt;3K</v>
      </c>
      <c r="AL932" t="str" cm="1">
        <f t="array" ref="AL932">_xlfn.IFS(
HR_Data[[#This Row],[YearsAtCompany]]&lt;2,"&lt;2 Years",
HR_Data[[#This Row],[YearsAtCompany]]&lt;5,"2-4 Years",
HR_Data[[#This Row],[YearsAtCompany]]&lt;10,"5-9 Years",
TRUE,"10+ Years"
)</f>
        <v>5-9 Years</v>
      </c>
      <c r="AM932" s="1">
        <f>IF(HR_Data[[#This Row],[Attrition]]="Yes",1,0)</f>
        <v>0</v>
      </c>
    </row>
    <row r="933" spans="1:39" x14ac:dyDescent="0.3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 cm="1">
        <f t="array" ref="AJ933">_xlfn.IFS(
HR_Data[[#This Row],[Age]]&lt;25,"Under 25",
HR_Data[[#This Row],[Age]]&lt;35,"25-34",
HR_Data[[#This Row],[Age]]&lt;45,"35-44",
HR_Data[[#This Row],[Age]]&lt;55,"45-54",
TRUE,"55+"
)</f>
        <v>25-34</v>
      </c>
      <c r="AK933" t="str" cm="1">
        <f t="array" ref="AK933">_xlfn.IFS(
HR_Data[[#This Row],[MonthlyIncome]]&lt;3000,"&lt;3K",
HR_Data[[#This Row],[MonthlyIncome]]&lt;6000,"3K-6K",
HR_Data[[#This Row],[MonthlyIncome]]&lt;10000,"6K-10K",
TRUE,"10K+"
)</f>
        <v>3K-6K</v>
      </c>
      <c r="AL933" t="str" cm="1">
        <f t="array" ref="AL933">_xlfn.IFS(
HR_Data[[#This Row],[YearsAtCompany]]&lt;2,"&lt;2 Years",
HR_Data[[#This Row],[YearsAtCompany]]&lt;5,"2-4 Years",
HR_Data[[#This Row],[YearsAtCompany]]&lt;10,"5-9 Years",
TRUE,"10+ Years"
)</f>
        <v>5-9 Years</v>
      </c>
      <c r="AM933" s="1">
        <f>IF(HR_Data[[#This Row],[Attrition]]="Yes",1,0)</f>
        <v>0</v>
      </c>
    </row>
    <row r="934" spans="1:39" x14ac:dyDescent="0.3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 cm="1">
        <f t="array" ref="AJ934">_xlfn.IFS(
HR_Data[[#This Row],[Age]]&lt;25,"Under 25",
HR_Data[[#This Row],[Age]]&lt;35,"25-34",
HR_Data[[#This Row],[Age]]&lt;45,"35-44",
HR_Data[[#This Row],[Age]]&lt;55,"45-54",
TRUE,"55+"
)</f>
        <v>25-34</v>
      </c>
      <c r="AK934" t="str" cm="1">
        <f t="array" ref="AK934">_xlfn.IFS(
HR_Data[[#This Row],[MonthlyIncome]]&lt;3000,"&lt;3K",
HR_Data[[#This Row],[MonthlyIncome]]&lt;6000,"3K-6K",
HR_Data[[#This Row],[MonthlyIncome]]&lt;10000,"6K-10K",
TRUE,"10K+"
)</f>
        <v>3K-6K</v>
      </c>
      <c r="AL934" t="str" cm="1">
        <f t="array" ref="AL934">_xlfn.IFS(
HR_Data[[#This Row],[YearsAtCompany]]&lt;2,"&lt;2 Years",
HR_Data[[#This Row],[YearsAtCompany]]&lt;5,"2-4 Years",
HR_Data[[#This Row],[YearsAtCompany]]&lt;10,"5-9 Years",
TRUE,"10+ Years"
)</f>
        <v>5-9 Years</v>
      </c>
      <c r="AM934" s="1">
        <f>IF(HR_Data[[#This Row],[Attrition]]="Yes",1,0)</f>
        <v>1</v>
      </c>
    </row>
    <row r="935" spans="1:39" x14ac:dyDescent="0.3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 cm="1">
        <f t="array" ref="AJ935">_xlfn.IFS(
HR_Data[[#This Row],[Age]]&lt;25,"Under 25",
HR_Data[[#This Row],[Age]]&lt;35,"25-34",
HR_Data[[#This Row],[Age]]&lt;45,"35-44",
HR_Data[[#This Row],[Age]]&lt;55,"45-54",
TRUE,"55+"
)</f>
        <v>25-34</v>
      </c>
      <c r="AK935" t="str" cm="1">
        <f t="array" ref="AK935">_xlfn.IFS(
HR_Data[[#This Row],[MonthlyIncome]]&lt;3000,"&lt;3K",
HR_Data[[#This Row],[MonthlyIncome]]&lt;6000,"3K-6K",
HR_Data[[#This Row],[MonthlyIncome]]&lt;10000,"6K-10K",
TRUE,"10K+"
)</f>
        <v>&lt;3K</v>
      </c>
      <c r="AL935" t="str" cm="1">
        <f t="array" ref="AL935">_xlfn.IFS(
HR_Data[[#This Row],[YearsAtCompany]]&lt;2,"&lt;2 Years",
HR_Data[[#This Row],[YearsAtCompany]]&lt;5,"2-4 Years",
HR_Data[[#This Row],[YearsAtCompany]]&lt;10,"5-9 Years",
TRUE,"10+ Years"
)</f>
        <v>2-4 Years</v>
      </c>
      <c r="AM935" s="1">
        <f>IF(HR_Data[[#This Row],[Attrition]]="Yes",1,0)</f>
        <v>0</v>
      </c>
    </row>
    <row r="936" spans="1:39" x14ac:dyDescent="0.3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 cm="1">
        <f t="array" ref="AJ936">_xlfn.IFS(
HR_Data[[#This Row],[Age]]&lt;25,"Under 25",
HR_Data[[#This Row],[Age]]&lt;35,"25-34",
HR_Data[[#This Row],[Age]]&lt;45,"35-44",
HR_Data[[#This Row],[Age]]&lt;55,"45-54",
TRUE,"55+"
)</f>
        <v>25-34</v>
      </c>
      <c r="AK936" t="str" cm="1">
        <f t="array" ref="AK936">_xlfn.IFS(
HR_Data[[#This Row],[MonthlyIncome]]&lt;3000,"&lt;3K",
HR_Data[[#This Row],[MonthlyIncome]]&lt;6000,"3K-6K",
HR_Data[[#This Row],[MonthlyIncome]]&lt;10000,"6K-10K",
TRUE,"10K+"
)</f>
        <v>&lt;3K</v>
      </c>
      <c r="AL936" t="str" cm="1">
        <f t="array" ref="AL936">_xlfn.IFS(
HR_Data[[#This Row],[YearsAtCompany]]&lt;2,"&lt;2 Years",
HR_Data[[#This Row],[YearsAtCompany]]&lt;5,"2-4 Years",
HR_Data[[#This Row],[YearsAtCompany]]&lt;10,"5-9 Years",
TRUE,"10+ Years"
)</f>
        <v>2-4 Years</v>
      </c>
      <c r="AM936" s="1">
        <f>IF(HR_Data[[#This Row],[Attrition]]="Yes",1,0)</f>
        <v>0</v>
      </c>
    </row>
    <row r="937" spans="1:39" x14ac:dyDescent="0.3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 cm="1">
        <f t="array" ref="AJ937">_xlfn.IFS(
HR_Data[[#This Row],[Age]]&lt;25,"Under 25",
HR_Data[[#This Row],[Age]]&lt;35,"25-34",
HR_Data[[#This Row],[Age]]&lt;45,"35-44",
HR_Data[[#This Row],[Age]]&lt;55,"45-54",
TRUE,"55+"
)</f>
        <v>25-34</v>
      </c>
      <c r="AK937" t="str" cm="1">
        <f t="array" ref="AK937">_xlfn.IFS(
HR_Data[[#This Row],[MonthlyIncome]]&lt;3000,"&lt;3K",
HR_Data[[#This Row],[MonthlyIncome]]&lt;6000,"3K-6K",
HR_Data[[#This Row],[MonthlyIncome]]&lt;10000,"6K-10K",
TRUE,"10K+"
)</f>
        <v>6K-10K</v>
      </c>
      <c r="AL937" t="str" cm="1">
        <f t="array" ref="AL937">_xlfn.IFS(
HR_Data[[#This Row],[YearsAtCompany]]&lt;2,"&lt;2 Years",
HR_Data[[#This Row],[YearsAtCompany]]&lt;5,"2-4 Years",
HR_Data[[#This Row],[YearsAtCompany]]&lt;10,"5-9 Years",
TRUE,"10+ Years"
)</f>
        <v>10+ Years</v>
      </c>
      <c r="AM937" s="1">
        <f>IF(HR_Data[[#This Row],[Attrition]]="Yes",1,0)</f>
        <v>0</v>
      </c>
    </row>
    <row r="938" spans="1:39" x14ac:dyDescent="0.3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 cm="1">
        <f t="array" ref="AJ938">_xlfn.IFS(
HR_Data[[#This Row],[Age]]&lt;25,"Under 25",
HR_Data[[#This Row],[Age]]&lt;35,"25-34",
HR_Data[[#This Row],[Age]]&lt;45,"35-44",
HR_Data[[#This Row],[Age]]&lt;55,"45-54",
TRUE,"55+"
)</f>
        <v>45-54</v>
      </c>
      <c r="AK938" t="str" cm="1">
        <f t="array" ref="AK938">_xlfn.IFS(
HR_Data[[#This Row],[MonthlyIncome]]&lt;3000,"&lt;3K",
HR_Data[[#This Row],[MonthlyIncome]]&lt;6000,"3K-6K",
HR_Data[[#This Row],[MonthlyIncome]]&lt;10000,"6K-10K",
TRUE,"10K+"
)</f>
        <v>10K+</v>
      </c>
      <c r="AL938" t="str" cm="1">
        <f t="array" ref="AL938">_xlfn.IFS(
HR_Data[[#This Row],[YearsAtCompany]]&lt;2,"&lt;2 Years",
HR_Data[[#This Row],[YearsAtCompany]]&lt;5,"2-4 Years",
HR_Data[[#This Row],[YearsAtCompany]]&lt;10,"5-9 Years",
TRUE,"10+ Years"
)</f>
        <v>&lt;2 Years</v>
      </c>
      <c r="AM938" s="1">
        <f>IF(HR_Data[[#This Row],[Attrition]]="Yes",1,0)</f>
        <v>0</v>
      </c>
    </row>
    <row r="939" spans="1:39" x14ac:dyDescent="0.3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 cm="1">
        <f t="array" ref="AJ939">_xlfn.IFS(
HR_Data[[#This Row],[Age]]&lt;25,"Under 25",
HR_Data[[#This Row],[Age]]&lt;35,"25-34",
HR_Data[[#This Row],[Age]]&lt;45,"35-44",
HR_Data[[#This Row],[Age]]&lt;55,"45-54",
TRUE,"55+"
)</f>
        <v>35-44</v>
      </c>
      <c r="AK939" t="str" cm="1">
        <f t="array" ref="AK939">_xlfn.IFS(
HR_Data[[#This Row],[MonthlyIncome]]&lt;3000,"&lt;3K",
HR_Data[[#This Row],[MonthlyIncome]]&lt;6000,"3K-6K",
HR_Data[[#This Row],[MonthlyIncome]]&lt;10000,"6K-10K",
TRUE,"10K+"
)</f>
        <v>10K+</v>
      </c>
      <c r="AL939" t="str" cm="1">
        <f t="array" ref="AL939">_xlfn.IFS(
HR_Data[[#This Row],[YearsAtCompany]]&lt;2,"&lt;2 Years",
HR_Data[[#This Row],[YearsAtCompany]]&lt;5,"2-4 Years",
HR_Data[[#This Row],[YearsAtCompany]]&lt;10,"5-9 Years",
TRUE,"10+ Years"
)</f>
        <v>10+ Years</v>
      </c>
      <c r="AM939" s="1">
        <f>IF(HR_Data[[#This Row],[Attrition]]="Yes",1,0)</f>
        <v>0</v>
      </c>
    </row>
    <row r="940" spans="1:39" x14ac:dyDescent="0.3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 cm="1">
        <f t="array" ref="AJ940">_xlfn.IFS(
HR_Data[[#This Row],[Age]]&lt;25,"Under 25",
HR_Data[[#This Row],[Age]]&lt;35,"25-34",
HR_Data[[#This Row],[Age]]&lt;45,"35-44",
HR_Data[[#This Row],[Age]]&lt;55,"45-54",
TRUE,"55+"
)</f>
        <v>55+</v>
      </c>
      <c r="AK940" t="str" cm="1">
        <f t="array" ref="AK940">_xlfn.IFS(
HR_Data[[#This Row],[MonthlyIncome]]&lt;3000,"&lt;3K",
HR_Data[[#This Row],[MonthlyIncome]]&lt;6000,"3K-6K",
HR_Data[[#This Row],[MonthlyIncome]]&lt;10000,"6K-10K",
TRUE,"10K+"
)</f>
        <v>&lt;3K</v>
      </c>
      <c r="AL940" t="str" cm="1">
        <f t="array" ref="AL940">_xlfn.IFS(
HR_Data[[#This Row],[YearsAtCompany]]&lt;2,"&lt;2 Years",
HR_Data[[#This Row],[YearsAtCompany]]&lt;5,"2-4 Years",
HR_Data[[#This Row],[YearsAtCompany]]&lt;10,"5-9 Years",
TRUE,"10+ Years"
)</f>
        <v>2-4 Years</v>
      </c>
      <c r="AM940" s="1">
        <f>IF(HR_Data[[#This Row],[Attrition]]="Yes",1,0)</f>
        <v>0</v>
      </c>
    </row>
    <row r="941" spans="1:39" x14ac:dyDescent="0.3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 cm="1">
        <f t="array" ref="AJ941">_xlfn.IFS(
HR_Data[[#This Row],[Age]]&lt;25,"Under 25",
HR_Data[[#This Row],[Age]]&lt;35,"25-34",
HR_Data[[#This Row],[Age]]&lt;45,"35-44",
HR_Data[[#This Row],[Age]]&lt;55,"45-54",
TRUE,"55+"
)</f>
        <v>25-34</v>
      </c>
      <c r="AK941" t="str" cm="1">
        <f t="array" ref="AK941">_xlfn.IFS(
HR_Data[[#This Row],[MonthlyIncome]]&lt;3000,"&lt;3K",
HR_Data[[#This Row],[MonthlyIncome]]&lt;6000,"3K-6K",
HR_Data[[#This Row],[MonthlyIncome]]&lt;10000,"6K-10K",
TRUE,"10K+"
)</f>
        <v>3K-6K</v>
      </c>
      <c r="AL941" t="str" cm="1">
        <f t="array" ref="AL941">_xlfn.IFS(
HR_Data[[#This Row],[YearsAtCompany]]&lt;2,"&lt;2 Years",
HR_Data[[#This Row],[YearsAtCompany]]&lt;5,"2-4 Years",
HR_Data[[#This Row],[YearsAtCompany]]&lt;10,"5-9 Years",
TRUE,"10+ Years"
)</f>
        <v>10+ Years</v>
      </c>
      <c r="AM941" s="1">
        <f>IF(HR_Data[[#This Row],[Attrition]]="Yes",1,0)</f>
        <v>1</v>
      </c>
    </row>
    <row r="942" spans="1:39" x14ac:dyDescent="0.3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 cm="1">
        <f t="array" ref="AJ942">_xlfn.IFS(
HR_Data[[#This Row],[Age]]&lt;25,"Under 25",
HR_Data[[#This Row],[Age]]&lt;35,"25-34",
HR_Data[[#This Row],[Age]]&lt;45,"35-44",
HR_Data[[#This Row],[Age]]&lt;55,"45-54",
TRUE,"55+"
)</f>
        <v>35-44</v>
      </c>
      <c r="AK942" t="str" cm="1">
        <f t="array" ref="AK942">_xlfn.IFS(
HR_Data[[#This Row],[MonthlyIncome]]&lt;3000,"&lt;3K",
HR_Data[[#This Row],[MonthlyIncome]]&lt;6000,"3K-6K",
HR_Data[[#This Row],[MonthlyIncome]]&lt;10000,"6K-10K",
TRUE,"10K+"
)</f>
        <v>3K-6K</v>
      </c>
      <c r="AL942" t="str" cm="1">
        <f t="array" ref="AL942">_xlfn.IFS(
HR_Data[[#This Row],[YearsAtCompany]]&lt;2,"&lt;2 Years",
HR_Data[[#This Row],[YearsAtCompany]]&lt;5,"2-4 Years",
HR_Data[[#This Row],[YearsAtCompany]]&lt;10,"5-9 Years",
TRUE,"10+ Years"
)</f>
        <v>5-9 Years</v>
      </c>
      <c r="AM942" s="1">
        <f>IF(HR_Data[[#This Row],[Attrition]]="Yes",1,0)</f>
        <v>1</v>
      </c>
    </row>
    <row r="943" spans="1:39" x14ac:dyDescent="0.3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 cm="1">
        <f t="array" ref="AJ943">_xlfn.IFS(
HR_Data[[#This Row],[Age]]&lt;25,"Under 25",
HR_Data[[#This Row],[Age]]&lt;35,"25-34",
HR_Data[[#This Row],[Age]]&lt;45,"35-44",
HR_Data[[#This Row],[Age]]&lt;55,"45-54",
TRUE,"55+"
)</f>
        <v>25-34</v>
      </c>
      <c r="AK943" t="str" cm="1">
        <f t="array" ref="AK943">_xlfn.IFS(
HR_Data[[#This Row],[MonthlyIncome]]&lt;3000,"&lt;3K",
HR_Data[[#This Row],[MonthlyIncome]]&lt;6000,"3K-6K",
HR_Data[[#This Row],[MonthlyIncome]]&lt;10000,"6K-10K",
TRUE,"10K+"
)</f>
        <v>3K-6K</v>
      </c>
      <c r="AL943" t="str" cm="1">
        <f t="array" ref="AL943">_xlfn.IFS(
HR_Data[[#This Row],[YearsAtCompany]]&lt;2,"&lt;2 Years",
HR_Data[[#This Row],[YearsAtCompany]]&lt;5,"2-4 Years",
HR_Data[[#This Row],[YearsAtCompany]]&lt;10,"5-9 Years",
TRUE,"10+ Years"
)</f>
        <v>5-9 Years</v>
      </c>
      <c r="AM943" s="1">
        <f>IF(HR_Data[[#This Row],[Attrition]]="Yes",1,0)</f>
        <v>0</v>
      </c>
    </row>
    <row r="944" spans="1:39" x14ac:dyDescent="0.3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 cm="1">
        <f t="array" ref="AJ944">_xlfn.IFS(
HR_Data[[#This Row],[Age]]&lt;25,"Under 25",
HR_Data[[#This Row],[Age]]&lt;35,"25-34",
HR_Data[[#This Row],[Age]]&lt;45,"35-44",
HR_Data[[#This Row],[Age]]&lt;55,"45-54",
TRUE,"55+"
)</f>
        <v>35-44</v>
      </c>
      <c r="AK944" t="str" cm="1">
        <f t="array" ref="AK944">_xlfn.IFS(
HR_Data[[#This Row],[MonthlyIncome]]&lt;3000,"&lt;3K",
HR_Data[[#This Row],[MonthlyIncome]]&lt;6000,"3K-6K",
HR_Data[[#This Row],[MonthlyIncome]]&lt;10000,"6K-10K",
TRUE,"10K+"
)</f>
        <v>6K-10K</v>
      </c>
      <c r="AL944" t="str" cm="1">
        <f t="array" ref="AL944">_xlfn.IFS(
HR_Data[[#This Row],[YearsAtCompany]]&lt;2,"&lt;2 Years",
HR_Data[[#This Row],[YearsAtCompany]]&lt;5,"2-4 Years",
HR_Data[[#This Row],[YearsAtCompany]]&lt;10,"5-9 Years",
TRUE,"10+ Years"
)</f>
        <v>5-9 Years</v>
      </c>
      <c r="AM944" s="1">
        <f>IF(HR_Data[[#This Row],[Attrition]]="Yes",1,0)</f>
        <v>0</v>
      </c>
    </row>
    <row r="945" spans="1:39" x14ac:dyDescent="0.3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 cm="1">
        <f t="array" ref="AJ945">_xlfn.IFS(
HR_Data[[#This Row],[Age]]&lt;25,"Under 25",
HR_Data[[#This Row],[Age]]&lt;35,"25-34",
HR_Data[[#This Row],[Age]]&lt;45,"35-44",
HR_Data[[#This Row],[Age]]&lt;55,"45-54",
TRUE,"55+"
)</f>
        <v>45-54</v>
      </c>
      <c r="AK945" t="str" cm="1">
        <f t="array" ref="AK945">_xlfn.IFS(
HR_Data[[#This Row],[MonthlyIncome]]&lt;3000,"&lt;3K",
HR_Data[[#This Row],[MonthlyIncome]]&lt;6000,"3K-6K",
HR_Data[[#This Row],[MonthlyIncome]]&lt;10000,"6K-10K",
TRUE,"10K+"
)</f>
        <v>3K-6K</v>
      </c>
      <c r="AL945" t="str" cm="1">
        <f t="array" ref="AL945">_xlfn.IFS(
HR_Data[[#This Row],[YearsAtCompany]]&lt;2,"&lt;2 Years",
HR_Data[[#This Row],[YearsAtCompany]]&lt;5,"2-4 Years",
HR_Data[[#This Row],[YearsAtCompany]]&lt;10,"5-9 Years",
TRUE,"10+ Years"
)</f>
        <v>5-9 Years</v>
      </c>
      <c r="AM945" s="1">
        <f>IF(HR_Data[[#This Row],[Attrition]]="Yes",1,0)</f>
        <v>0</v>
      </c>
    </row>
    <row r="946" spans="1:39" x14ac:dyDescent="0.3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 cm="1">
        <f t="array" ref="AJ946">_xlfn.IFS(
HR_Data[[#This Row],[Age]]&lt;25,"Under 25",
HR_Data[[#This Row],[Age]]&lt;35,"25-34",
HR_Data[[#This Row],[Age]]&lt;45,"35-44",
HR_Data[[#This Row],[Age]]&lt;55,"45-54",
TRUE,"55+"
)</f>
        <v>25-34</v>
      </c>
      <c r="AK946" t="str" cm="1">
        <f t="array" ref="AK946">_xlfn.IFS(
HR_Data[[#This Row],[MonthlyIncome]]&lt;3000,"&lt;3K",
HR_Data[[#This Row],[MonthlyIncome]]&lt;6000,"3K-6K",
HR_Data[[#This Row],[MonthlyIncome]]&lt;10000,"6K-10K",
TRUE,"10K+"
)</f>
        <v>6K-10K</v>
      </c>
      <c r="AL946" t="str" cm="1">
        <f t="array" ref="AL946">_xlfn.IFS(
HR_Data[[#This Row],[YearsAtCompany]]&lt;2,"&lt;2 Years",
HR_Data[[#This Row],[YearsAtCompany]]&lt;5,"2-4 Years",
HR_Data[[#This Row],[YearsAtCompany]]&lt;10,"5-9 Years",
TRUE,"10+ Years"
)</f>
        <v>5-9 Years</v>
      </c>
      <c r="AM946" s="1">
        <f>IF(HR_Data[[#This Row],[Attrition]]="Yes",1,0)</f>
        <v>0</v>
      </c>
    </row>
    <row r="947" spans="1:39" x14ac:dyDescent="0.3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 cm="1">
        <f t="array" ref="AJ947">_xlfn.IFS(
HR_Data[[#This Row],[Age]]&lt;25,"Under 25",
HR_Data[[#This Row],[Age]]&lt;35,"25-34",
HR_Data[[#This Row],[Age]]&lt;45,"35-44",
HR_Data[[#This Row],[Age]]&lt;55,"45-54",
TRUE,"55+"
)</f>
        <v>45-54</v>
      </c>
      <c r="AK947" t="str" cm="1">
        <f t="array" ref="AK947">_xlfn.IFS(
HR_Data[[#This Row],[MonthlyIncome]]&lt;3000,"&lt;3K",
HR_Data[[#This Row],[MonthlyIncome]]&lt;6000,"3K-6K",
HR_Data[[#This Row],[MonthlyIncome]]&lt;10000,"6K-10K",
TRUE,"10K+"
)</f>
        <v>10K+</v>
      </c>
      <c r="AL947" t="str" cm="1">
        <f t="array" ref="AL947">_xlfn.IFS(
HR_Data[[#This Row],[YearsAtCompany]]&lt;2,"&lt;2 Years",
HR_Data[[#This Row],[YearsAtCompany]]&lt;5,"2-4 Years",
HR_Data[[#This Row],[YearsAtCompany]]&lt;10,"5-9 Years",
TRUE,"10+ Years"
)</f>
        <v>2-4 Years</v>
      </c>
      <c r="AM947" s="1">
        <f>IF(HR_Data[[#This Row],[Attrition]]="Yes",1,0)</f>
        <v>0</v>
      </c>
    </row>
    <row r="948" spans="1:39" x14ac:dyDescent="0.3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 cm="1">
        <f t="array" ref="AJ948">_xlfn.IFS(
HR_Data[[#This Row],[Age]]&lt;25,"Under 25",
HR_Data[[#This Row],[Age]]&lt;35,"25-34",
HR_Data[[#This Row],[Age]]&lt;45,"35-44",
HR_Data[[#This Row],[Age]]&lt;55,"45-54",
TRUE,"55+"
)</f>
        <v>35-44</v>
      </c>
      <c r="AK948" t="str" cm="1">
        <f t="array" ref="AK948">_xlfn.IFS(
HR_Data[[#This Row],[MonthlyIncome]]&lt;3000,"&lt;3K",
HR_Data[[#This Row],[MonthlyIncome]]&lt;6000,"3K-6K",
HR_Data[[#This Row],[MonthlyIncome]]&lt;10000,"6K-10K",
TRUE,"10K+"
)</f>
        <v>6K-10K</v>
      </c>
      <c r="AL948" t="str" cm="1">
        <f t="array" ref="AL948">_xlfn.IFS(
HR_Data[[#This Row],[YearsAtCompany]]&lt;2,"&lt;2 Years",
HR_Data[[#This Row],[YearsAtCompany]]&lt;5,"2-4 Years",
HR_Data[[#This Row],[YearsAtCompany]]&lt;10,"5-9 Years",
TRUE,"10+ Years"
)</f>
        <v>5-9 Years</v>
      </c>
      <c r="AM948" s="1">
        <f>IF(HR_Data[[#This Row],[Attrition]]="Yes",1,0)</f>
        <v>1</v>
      </c>
    </row>
    <row r="949" spans="1:39" x14ac:dyDescent="0.3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 cm="1">
        <f t="array" ref="AJ949">_xlfn.IFS(
HR_Data[[#This Row],[Age]]&lt;25,"Under 25",
HR_Data[[#This Row],[Age]]&lt;35,"25-34",
HR_Data[[#This Row],[Age]]&lt;45,"35-44",
HR_Data[[#This Row],[Age]]&lt;55,"45-54",
TRUE,"55+"
)</f>
        <v>45-54</v>
      </c>
      <c r="AK949" t="str" cm="1">
        <f t="array" ref="AK949">_xlfn.IFS(
HR_Data[[#This Row],[MonthlyIncome]]&lt;3000,"&lt;3K",
HR_Data[[#This Row],[MonthlyIncome]]&lt;6000,"3K-6K",
HR_Data[[#This Row],[MonthlyIncome]]&lt;10000,"6K-10K",
TRUE,"10K+"
)</f>
        <v>6K-10K</v>
      </c>
      <c r="AL949" t="str" cm="1">
        <f t="array" ref="AL949">_xlfn.IFS(
HR_Data[[#This Row],[YearsAtCompany]]&lt;2,"&lt;2 Years",
HR_Data[[#This Row],[YearsAtCompany]]&lt;5,"2-4 Years",
HR_Data[[#This Row],[YearsAtCompany]]&lt;10,"5-9 Years",
TRUE,"10+ Years"
)</f>
        <v>5-9 Years</v>
      </c>
      <c r="AM949" s="1">
        <f>IF(HR_Data[[#This Row],[Attrition]]="Yes",1,0)</f>
        <v>1</v>
      </c>
    </row>
    <row r="950" spans="1:39" x14ac:dyDescent="0.3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 cm="1">
        <f t="array" ref="AJ950">_xlfn.IFS(
HR_Data[[#This Row],[Age]]&lt;25,"Under 25",
HR_Data[[#This Row],[Age]]&lt;35,"25-34",
HR_Data[[#This Row],[Age]]&lt;45,"35-44",
HR_Data[[#This Row],[Age]]&lt;55,"45-54",
TRUE,"55+"
)</f>
        <v>25-34</v>
      </c>
      <c r="AK950" t="str" cm="1">
        <f t="array" ref="AK950">_xlfn.IFS(
HR_Data[[#This Row],[MonthlyIncome]]&lt;3000,"&lt;3K",
HR_Data[[#This Row],[MonthlyIncome]]&lt;6000,"3K-6K",
HR_Data[[#This Row],[MonthlyIncome]]&lt;10000,"6K-10K",
TRUE,"10K+"
)</f>
        <v>10K+</v>
      </c>
      <c r="AL950" t="str" cm="1">
        <f t="array" ref="AL950">_xlfn.IFS(
HR_Data[[#This Row],[YearsAtCompany]]&lt;2,"&lt;2 Years",
HR_Data[[#This Row],[YearsAtCompany]]&lt;5,"2-4 Years",
HR_Data[[#This Row],[YearsAtCompany]]&lt;10,"5-9 Years",
TRUE,"10+ Years"
)</f>
        <v>5-9 Years</v>
      </c>
      <c r="AM950" s="1">
        <f>IF(HR_Data[[#This Row],[Attrition]]="Yes",1,0)</f>
        <v>0</v>
      </c>
    </row>
    <row r="951" spans="1:39" x14ac:dyDescent="0.3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 cm="1">
        <f t="array" ref="AJ951">_xlfn.IFS(
HR_Data[[#This Row],[Age]]&lt;25,"Under 25",
HR_Data[[#This Row],[Age]]&lt;35,"25-34",
HR_Data[[#This Row],[Age]]&lt;45,"35-44",
HR_Data[[#This Row],[Age]]&lt;55,"45-54",
TRUE,"55+"
)</f>
        <v>35-44</v>
      </c>
      <c r="AK951" t="str" cm="1">
        <f t="array" ref="AK951">_xlfn.IFS(
HR_Data[[#This Row],[MonthlyIncome]]&lt;3000,"&lt;3K",
HR_Data[[#This Row],[MonthlyIncome]]&lt;6000,"3K-6K",
HR_Data[[#This Row],[MonthlyIncome]]&lt;10000,"6K-10K",
TRUE,"10K+"
)</f>
        <v>3K-6K</v>
      </c>
      <c r="AL951" t="str" cm="1">
        <f t="array" ref="AL951">_xlfn.IFS(
HR_Data[[#This Row],[YearsAtCompany]]&lt;2,"&lt;2 Years",
HR_Data[[#This Row],[YearsAtCompany]]&lt;5,"2-4 Years",
HR_Data[[#This Row],[YearsAtCompany]]&lt;10,"5-9 Years",
TRUE,"10+ Years"
)</f>
        <v>5-9 Years</v>
      </c>
      <c r="AM951" s="1">
        <f>IF(HR_Data[[#This Row],[Attrition]]="Yes",1,0)</f>
        <v>0</v>
      </c>
    </row>
    <row r="952" spans="1:39" x14ac:dyDescent="0.3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 cm="1">
        <f t="array" ref="AJ952">_xlfn.IFS(
HR_Data[[#This Row],[Age]]&lt;25,"Under 25",
HR_Data[[#This Row],[Age]]&lt;35,"25-34",
HR_Data[[#This Row],[Age]]&lt;45,"35-44",
HR_Data[[#This Row],[Age]]&lt;55,"45-54",
TRUE,"55+"
)</f>
        <v>25-34</v>
      </c>
      <c r="AK952" t="str" cm="1">
        <f t="array" ref="AK952">_xlfn.IFS(
HR_Data[[#This Row],[MonthlyIncome]]&lt;3000,"&lt;3K",
HR_Data[[#This Row],[MonthlyIncome]]&lt;6000,"3K-6K",
HR_Data[[#This Row],[MonthlyIncome]]&lt;10000,"6K-10K",
TRUE,"10K+"
)</f>
        <v>6K-10K</v>
      </c>
      <c r="AL952" t="str" cm="1">
        <f t="array" ref="AL952">_xlfn.IFS(
HR_Data[[#This Row],[YearsAtCompany]]&lt;2,"&lt;2 Years",
HR_Data[[#This Row],[YearsAtCompany]]&lt;5,"2-4 Years",
HR_Data[[#This Row],[YearsAtCompany]]&lt;10,"5-9 Years",
TRUE,"10+ Years"
)</f>
        <v>10+ Years</v>
      </c>
      <c r="AM952" s="1">
        <f>IF(HR_Data[[#This Row],[Attrition]]="Yes",1,0)</f>
        <v>0</v>
      </c>
    </row>
    <row r="953" spans="1:39" x14ac:dyDescent="0.3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 cm="1">
        <f t="array" ref="AJ953">_xlfn.IFS(
HR_Data[[#This Row],[Age]]&lt;25,"Under 25",
HR_Data[[#This Row],[Age]]&lt;35,"25-34",
HR_Data[[#This Row],[Age]]&lt;45,"35-44",
HR_Data[[#This Row],[Age]]&lt;55,"45-54",
TRUE,"55+"
)</f>
        <v>35-44</v>
      </c>
      <c r="AK953" t="str" cm="1">
        <f t="array" ref="AK953">_xlfn.IFS(
HR_Data[[#This Row],[MonthlyIncome]]&lt;3000,"&lt;3K",
HR_Data[[#This Row],[MonthlyIncome]]&lt;6000,"3K-6K",
HR_Data[[#This Row],[MonthlyIncome]]&lt;10000,"6K-10K",
TRUE,"10K+"
)</f>
        <v>6K-10K</v>
      </c>
      <c r="AL953" t="str" cm="1">
        <f t="array" ref="AL953">_xlfn.IFS(
HR_Data[[#This Row],[YearsAtCompany]]&lt;2,"&lt;2 Years",
HR_Data[[#This Row],[YearsAtCompany]]&lt;5,"2-4 Years",
HR_Data[[#This Row],[YearsAtCompany]]&lt;10,"5-9 Years",
TRUE,"10+ Years"
)</f>
        <v>10+ Years</v>
      </c>
      <c r="AM953" s="1">
        <f>IF(HR_Data[[#This Row],[Attrition]]="Yes",1,0)</f>
        <v>0</v>
      </c>
    </row>
    <row r="954" spans="1:39" x14ac:dyDescent="0.3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 cm="1">
        <f t="array" ref="AJ954">_xlfn.IFS(
HR_Data[[#This Row],[Age]]&lt;25,"Under 25",
HR_Data[[#This Row],[Age]]&lt;35,"25-34",
HR_Data[[#This Row],[Age]]&lt;45,"35-44",
HR_Data[[#This Row],[Age]]&lt;55,"45-54",
TRUE,"55+"
)</f>
        <v>25-34</v>
      </c>
      <c r="AK954" t="str" cm="1">
        <f t="array" ref="AK954">_xlfn.IFS(
HR_Data[[#This Row],[MonthlyIncome]]&lt;3000,"&lt;3K",
HR_Data[[#This Row],[MonthlyIncome]]&lt;6000,"3K-6K",
HR_Data[[#This Row],[MonthlyIncome]]&lt;10000,"6K-10K",
TRUE,"10K+"
)</f>
        <v>&lt;3K</v>
      </c>
      <c r="AL954" t="str" cm="1">
        <f t="array" ref="AL954">_xlfn.IFS(
HR_Data[[#This Row],[YearsAtCompany]]&lt;2,"&lt;2 Years",
HR_Data[[#This Row],[YearsAtCompany]]&lt;5,"2-4 Years",
HR_Data[[#This Row],[YearsAtCompany]]&lt;10,"5-9 Years",
TRUE,"10+ Years"
)</f>
        <v>2-4 Years</v>
      </c>
      <c r="AM954" s="1">
        <f>IF(HR_Data[[#This Row],[Attrition]]="Yes",1,0)</f>
        <v>1</v>
      </c>
    </row>
    <row r="955" spans="1:39" x14ac:dyDescent="0.3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 cm="1">
        <f t="array" ref="AJ955">_xlfn.IFS(
HR_Data[[#This Row],[Age]]&lt;25,"Under 25",
HR_Data[[#This Row],[Age]]&lt;35,"25-34",
HR_Data[[#This Row],[Age]]&lt;45,"35-44",
HR_Data[[#This Row],[Age]]&lt;55,"45-54",
TRUE,"55+"
)</f>
        <v>35-44</v>
      </c>
      <c r="AK955" t="str" cm="1">
        <f t="array" ref="AK955">_xlfn.IFS(
HR_Data[[#This Row],[MonthlyIncome]]&lt;3000,"&lt;3K",
HR_Data[[#This Row],[MonthlyIncome]]&lt;6000,"3K-6K",
HR_Data[[#This Row],[MonthlyIncome]]&lt;10000,"6K-10K",
TRUE,"10K+"
)</f>
        <v>&lt;3K</v>
      </c>
      <c r="AL955" t="str" cm="1">
        <f t="array" ref="AL955">_xlfn.IFS(
HR_Data[[#This Row],[YearsAtCompany]]&lt;2,"&lt;2 Years",
HR_Data[[#This Row],[YearsAtCompany]]&lt;5,"2-4 Years",
HR_Data[[#This Row],[YearsAtCompany]]&lt;10,"5-9 Years",
TRUE,"10+ Years"
)</f>
        <v>2-4 Years</v>
      </c>
      <c r="AM955" s="1">
        <f>IF(HR_Data[[#This Row],[Attrition]]="Yes",1,0)</f>
        <v>1</v>
      </c>
    </row>
    <row r="956" spans="1:39" x14ac:dyDescent="0.3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 cm="1">
        <f t="array" ref="AJ956">_xlfn.IFS(
HR_Data[[#This Row],[Age]]&lt;25,"Under 25",
HR_Data[[#This Row],[Age]]&lt;35,"25-34",
HR_Data[[#This Row],[Age]]&lt;45,"35-44",
HR_Data[[#This Row],[Age]]&lt;55,"45-54",
TRUE,"55+"
)</f>
        <v>35-44</v>
      </c>
      <c r="AK956" t="str" cm="1">
        <f t="array" ref="AK956">_xlfn.IFS(
HR_Data[[#This Row],[MonthlyIncome]]&lt;3000,"&lt;3K",
HR_Data[[#This Row],[MonthlyIncome]]&lt;6000,"3K-6K",
HR_Data[[#This Row],[MonthlyIncome]]&lt;10000,"6K-10K",
TRUE,"10K+"
)</f>
        <v>10K+</v>
      </c>
      <c r="AL956" t="str" cm="1">
        <f t="array" ref="AL956">_xlfn.IFS(
HR_Data[[#This Row],[YearsAtCompany]]&lt;2,"&lt;2 Years",
HR_Data[[#This Row],[YearsAtCompany]]&lt;5,"2-4 Years",
HR_Data[[#This Row],[YearsAtCompany]]&lt;10,"5-9 Years",
TRUE,"10+ Years"
)</f>
        <v>10+ Years</v>
      </c>
      <c r="AM956" s="1">
        <f>IF(HR_Data[[#This Row],[Attrition]]="Yes",1,0)</f>
        <v>0</v>
      </c>
    </row>
    <row r="957" spans="1:39" x14ac:dyDescent="0.3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 cm="1">
        <f t="array" ref="AJ957">_xlfn.IFS(
HR_Data[[#This Row],[Age]]&lt;25,"Under 25",
HR_Data[[#This Row],[Age]]&lt;35,"25-34",
HR_Data[[#This Row],[Age]]&lt;45,"35-44",
HR_Data[[#This Row],[Age]]&lt;55,"45-54",
TRUE,"55+"
)</f>
        <v>55+</v>
      </c>
      <c r="AK957" t="str" cm="1">
        <f t="array" ref="AK957">_xlfn.IFS(
HR_Data[[#This Row],[MonthlyIncome]]&lt;3000,"&lt;3K",
HR_Data[[#This Row],[MonthlyIncome]]&lt;6000,"3K-6K",
HR_Data[[#This Row],[MonthlyIncome]]&lt;10000,"6K-10K",
TRUE,"10K+"
)</f>
        <v>10K+</v>
      </c>
      <c r="AL957" t="str" cm="1">
        <f t="array" ref="AL957">_xlfn.IFS(
HR_Data[[#This Row],[YearsAtCompany]]&lt;2,"&lt;2 Years",
HR_Data[[#This Row],[YearsAtCompany]]&lt;5,"2-4 Years",
HR_Data[[#This Row],[YearsAtCompany]]&lt;10,"5-9 Years",
TRUE,"10+ Years"
)</f>
        <v>10+ Years</v>
      </c>
      <c r="AM957" s="1">
        <f>IF(HR_Data[[#This Row],[Attrition]]="Yes",1,0)</f>
        <v>0</v>
      </c>
    </row>
    <row r="958" spans="1:39" x14ac:dyDescent="0.3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 cm="1">
        <f t="array" ref="AJ958">_xlfn.IFS(
HR_Data[[#This Row],[Age]]&lt;25,"Under 25",
HR_Data[[#This Row],[Age]]&lt;35,"25-34",
HR_Data[[#This Row],[Age]]&lt;45,"35-44",
HR_Data[[#This Row],[Age]]&lt;55,"45-54",
TRUE,"55+"
)</f>
        <v>55+</v>
      </c>
      <c r="AK958" t="str" cm="1">
        <f t="array" ref="AK958">_xlfn.IFS(
HR_Data[[#This Row],[MonthlyIncome]]&lt;3000,"&lt;3K",
HR_Data[[#This Row],[MonthlyIncome]]&lt;6000,"3K-6K",
HR_Data[[#This Row],[MonthlyIncome]]&lt;10000,"6K-10K",
TRUE,"10K+"
)</f>
        <v>10K+</v>
      </c>
      <c r="AL958" t="str" cm="1">
        <f t="array" ref="AL958">_xlfn.IFS(
HR_Data[[#This Row],[YearsAtCompany]]&lt;2,"&lt;2 Years",
HR_Data[[#This Row],[YearsAtCompany]]&lt;5,"2-4 Years",
HR_Data[[#This Row],[YearsAtCompany]]&lt;10,"5-9 Years",
TRUE,"10+ Years"
)</f>
        <v>5-9 Years</v>
      </c>
      <c r="AM958" s="1">
        <f>IF(HR_Data[[#This Row],[Attrition]]="Yes",1,0)</f>
        <v>0</v>
      </c>
    </row>
    <row r="959" spans="1:39" x14ac:dyDescent="0.3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 cm="1">
        <f t="array" ref="AJ959">_xlfn.IFS(
HR_Data[[#This Row],[Age]]&lt;25,"Under 25",
HR_Data[[#This Row],[Age]]&lt;35,"25-34",
HR_Data[[#This Row],[Age]]&lt;45,"35-44",
HR_Data[[#This Row],[Age]]&lt;55,"45-54",
TRUE,"55+"
)</f>
        <v>35-44</v>
      </c>
      <c r="AK959" t="str" cm="1">
        <f t="array" ref="AK959">_xlfn.IFS(
HR_Data[[#This Row],[MonthlyIncome]]&lt;3000,"&lt;3K",
HR_Data[[#This Row],[MonthlyIncome]]&lt;6000,"3K-6K",
HR_Data[[#This Row],[MonthlyIncome]]&lt;10000,"6K-10K",
TRUE,"10K+"
)</f>
        <v>3K-6K</v>
      </c>
      <c r="AL959" t="str" cm="1">
        <f t="array" ref="AL959">_xlfn.IFS(
HR_Data[[#This Row],[YearsAtCompany]]&lt;2,"&lt;2 Years",
HR_Data[[#This Row],[YearsAtCompany]]&lt;5,"2-4 Years",
HR_Data[[#This Row],[YearsAtCompany]]&lt;10,"5-9 Years",
TRUE,"10+ Years"
)</f>
        <v>2-4 Years</v>
      </c>
      <c r="AM959" s="1">
        <f>IF(HR_Data[[#This Row],[Attrition]]="Yes",1,0)</f>
        <v>0</v>
      </c>
    </row>
    <row r="960" spans="1:39" x14ac:dyDescent="0.3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 cm="1">
        <f t="array" ref="AJ960">_xlfn.IFS(
HR_Data[[#This Row],[Age]]&lt;25,"Under 25",
HR_Data[[#This Row],[Age]]&lt;35,"25-34",
HR_Data[[#This Row],[Age]]&lt;45,"35-44",
HR_Data[[#This Row],[Age]]&lt;55,"45-54",
TRUE,"55+"
)</f>
        <v>25-34</v>
      </c>
      <c r="AK960" t="str" cm="1">
        <f t="array" ref="AK960">_xlfn.IFS(
HR_Data[[#This Row],[MonthlyIncome]]&lt;3000,"&lt;3K",
HR_Data[[#This Row],[MonthlyIncome]]&lt;6000,"3K-6K",
HR_Data[[#This Row],[MonthlyIncome]]&lt;10000,"6K-10K",
TRUE,"10K+"
)</f>
        <v>6K-10K</v>
      </c>
      <c r="AL960" t="str" cm="1">
        <f t="array" ref="AL960">_xlfn.IFS(
HR_Data[[#This Row],[YearsAtCompany]]&lt;2,"&lt;2 Years",
HR_Data[[#This Row],[YearsAtCompany]]&lt;5,"2-4 Years",
HR_Data[[#This Row],[YearsAtCompany]]&lt;10,"5-9 Years",
TRUE,"10+ Years"
)</f>
        <v>5-9 Years</v>
      </c>
      <c r="AM960" s="1">
        <f>IF(HR_Data[[#This Row],[Attrition]]="Yes",1,0)</f>
        <v>0</v>
      </c>
    </row>
    <row r="961" spans="1:39" x14ac:dyDescent="0.3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 cm="1">
        <f t="array" ref="AJ961">_xlfn.IFS(
HR_Data[[#This Row],[Age]]&lt;25,"Under 25",
HR_Data[[#This Row],[Age]]&lt;35,"25-34",
HR_Data[[#This Row],[Age]]&lt;45,"35-44",
HR_Data[[#This Row],[Age]]&lt;55,"45-54",
TRUE,"55+"
)</f>
        <v>35-44</v>
      </c>
      <c r="AK961" t="str" cm="1">
        <f t="array" ref="AK961">_xlfn.IFS(
HR_Data[[#This Row],[MonthlyIncome]]&lt;3000,"&lt;3K",
HR_Data[[#This Row],[MonthlyIncome]]&lt;6000,"3K-6K",
HR_Data[[#This Row],[MonthlyIncome]]&lt;10000,"6K-10K",
TRUE,"10K+"
)</f>
        <v>3K-6K</v>
      </c>
      <c r="AL961" t="str" cm="1">
        <f t="array" ref="AL961">_xlfn.IFS(
HR_Data[[#This Row],[YearsAtCompany]]&lt;2,"&lt;2 Years",
HR_Data[[#This Row],[YearsAtCompany]]&lt;5,"2-4 Years",
HR_Data[[#This Row],[YearsAtCompany]]&lt;10,"5-9 Years",
TRUE,"10+ Years"
)</f>
        <v>5-9 Years</v>
      </c>
      <c r="AM961" s="1">
        <f>IF(HR_Data[[#This Row],[Attrition]]="Yes",1,0)</f>
        <v>0</v>
      </c>
    </row>
    <row r="962" spans="1:39" x14ac:dyDescent="0.3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 cm="1">
        <f t="array" ref="AJ962">_xlfn.IFS(
HR_Data[[#This Row],[Age]]&lt;25,"Under 25",
HR_Data[[#This Row],[Age]]&lt;35,"25-34",
HR_Data[[#This Row],[Age]]&lt;45,"35-44",
HR_Data[[#This Row],[Age]]&lt;55,"45-54",
TRUE,"55+"
)</f>
        <v>35-44</v>
      </c>
      <c r="AK962" t="str" cm="1">
        <f t="array" ref="AK962">_xlfn.IFS(
HR_Data[[#This Row],[MonthlyIncome]]&lt;3000,"&lt;3K",
HR_Data[[#This Row],[MonthlyIncome]]&lt;6000,"3K-6K",
HR_Data[[#This Row],[MonthlyIncome]]&lt;10000,"6K-10K",
TRUE,"10K+"
)</f>
        <v>3K-6K</v>
      </c>
      <c r="AL962" t="str" cm="1">
        <f t="array" ref="AL962">_xlfn.IFS(
HR_Data[[#This Row],[YearsAtCompany]]&lt;2,"&lt;2 Years",
HR_Data[[#This Row],[YearsAtCompany]]&lt;5,"2-4 Years",
HR_Data[[#This Row],[YearsAtCompany]]&lt;10,"5-9 Years",
TRUE,"10+ Years"
)</f>
        <v>5-9 Years</v>
      </c>
      <c r="AM962" s="1">
        <f>IF(HR_Data[[#This Row],[Attrition]]="Yes",1,0)</f>
        <v>0</v>
      </c>
    </row>
    <row r="963" spans="1:39" x14ac:dyDescent="0.3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 cm="1">
        <f t="array" ref="AJ963">_xlfn.IFS(
HR_Data[[#This Row],[Age]]&lt;25,"Under 25",
HR_Data[[#This Row],[Age]]&lt;35,"25-34",
HR_Data[[#This Row],[Age]]&lt;45,"35-44",
HR_Data[[#This Row],[Age]]&lt;55,"45-54",
TRUE,"55+"
)</f>
        <v>35-44</v>
      </c>
      <c r="AK963" t="str" cm="1">
        <f t="array" ref="AK963">_xlfn.IFS(
HR_Data[[#This Row],[MonthlyIncome]]&lt;3000,"&lt;3K",
HR_Data[[#This Row],[MonthlyIncome]]&lt;6000,"3K-6K",
HR_Data[[#This Row],[MonthlyIncome]]&lt;10000,"6K-10K",
TRUE,"10K+"
)</f>
        <v>3K-6K</v>
      </c>
      <c r="AL963" t="str" cm="1">
        <f t="array" ref="AL963">_xlfn.IFS(
HR_Data[[#This Row],[YearsAtCompany]]&lt;2,"&lt;2 Years",
HR_Data[[#This Row],[YearsAtCompany]]&lt;5,"2-4 Years",
HR_Data[[#This Row],[YearsAtCompany]]&lt;10,"5-9 Years",
TRUE,"10+ Years"
)</f>
        <v>5-9 Years</v>
      </c>
      <c r="AM963" s="1">
        <f>IF(HR_Data[[#This Row],[Attrition]]="Yes",1,0)</f>
        <v>0</v>
      </c>
    </row>
    <row r="964" spans="1:39" x14ac:dyDescent="0.3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 cm="1">
        <f t="array" ref="AJ964">_xlfn.IFS(
HR_Data[[#This Row],[Age]]&lt;25,"Under 25",
HR_Data[[#This Row],[Age]]&lt;35,"25-34",
HR_Data[[#This Row],[Age]]&lt;45,"35-44",
HR_Data[[#This Row],[Age]]&lt;55,"45-54",
TRUE,"55+"
)</f>
        <v>45-54</v>
      </c>
      <c r="AK964" t="str" cm="1">
        <f t="array" ref="AK964">_xlfn.IFS(
HR_Data[[#This Row],[MonthlyIncome]]&lt;3000,"&lt;3K",
HR_Data[[#This Row],[MonthlyIncome]]&lt;6000,"3K-6K",
HR_Data[[#This Row],[MonthlyIncome]]&lt;10000,"6K-10K",
TRUE,"10K+"
)</f>
        <v>10K+</v>
      </c>
      <c r="AL964" t="str" cm="1">
        <f t="array" ref="AL964">_xlfn.IFS(
HR_Data[[#This Row],[YearsAtCompany]]&lt;2,"&lt;2 Years",
HR_Data[[#This Row],[YearsAtCompany]]&lt;5,"2-4 Years",
HR_Data[[#This Row],[YearsAtCompany]]&lt;10,"5-9 Years",
TRUE,"10+ Years"
)</f>
        <v>10+ Years</v>
      </c>
      <c r="AM964" s="1">
        <f>IF(HR_Data[[#This Row],[Attrition]]="Yes",1,0)</f>
        <v>0</v>
      </c>
    </row>
    <row r="965" spans="1:39" x14ac:dyDescent="0.3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 cm="1">
        <f t="array" ref="AJ965">_xlfn.IFS(
HR_Data[[#This Row],[Age]]&lt;25,"Under 25",
HR_Data[[#This Row],[Age]]&lt;35,"25-34",
HR_Data[[#This Row],[Age]]&lt;45,"35-44",
HR_Data[[#This Row],[Age]]&lt;55,"45-54",
TRUE,"55+"
)</f>
        <v>35-44</v>
      </c>
      <c r="AK965" t="str" cm="1">
        <f t="array" ref="AK965">_xlfn.IFS(
HR_Data[[#This Row],[MonthlyIncome]]&lt;3000,"&lt;3K",
HR_Data[[#This Row],[MonthlyIncome]]&lt;6000,"3K-6K",
HR_Data[[#This Row],[MonthlyIncome]]&lt;10000,"6K-10K",
TRUE,"10K+"
)</f>
        <v>6K-10K</v>
      </c>
      <c r="AL965" t="str" cm="1">
        <f t="array" ref="AL965">_xlfn.IFS(
HR_Data[[#This Row],[YearsAtCompany]]&lt;2,"&lt;2 Years",
HR_Data[[#This Row],[YearsAtCompany]]&lt;5,"2-4 Years",
HR_Data[[#This Row],[YearsAtCompany]]&lt;10,"5-9 Years",
TRUE,"10+ Years"
)</f>
        <v>5-9 Years</v>
      </c>
      <c r="AM965" s="1">
        <f>IF(HR_Data[[#This Row],[Attrition]]="Yes",1,0)</f>
        <v>0</v>
      </c>
    </row>
    <row r="966" spans="1:39" x14ac:dyDescent="0.3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 cm="1">
        <f t="array" ref="AJ966">_xlfn.IFS(
HR_Data[[#This Row],[Age]]&lt;25,"Under 25",
HR_Data[[#This Row],[Age]]&lt;35,"25-34",
HR_Data[[#This Row],[Age]]&lt;45,"35-44",
HR_Data[[#This Row],[Age]]&lt;55,"45-54",
TRUE,"55+"
)</f>
        <v>25-34</v>
      </c>
      <c r="AK966" t="str" cm="1">
        <f t="array" ref="AK966">_xlfn.IFS(
HR_Data[[#This Row],[MonthlyIncome]]&lt;3000,"&lt;3K",
HR_Data[[#This Row],[MonthlyIncome]]&lt;6000,"3K-6K",
HR_Data[[#This Row],[MonthlyIncome]]&lt;10000,"6K-10K",
TRUE,"10K+"
)</f>
        <v>6K-10K</v>
      </c>
      <c r="AL966" t="str" cm="1">
        <f t="array" ref="AL966">_xlfn.IFS(
HR_Data[[#This Row],[YearsAtCompany]]&lt;2,"&lt;2 Years",
HR_Data[[#This Row],[YearsAtCompany]]&lt;5,"2-4 Years",
HR_Data[[#This Row],[YearsAtCompany]]&lt;10,"5-9 Years",
TRUE,"10+ Years"
)</f>
        <v>10+ Years</v>
      </c>
      <c r="AM966" s="1">
        <f>IF(HR_Data[[#This Row],[Attrition]]="Yes",1,0)</f>
        <v>0</v>
      </c>
    </row>
    <row r="967" spans="1:39" x14ac:dyDescent="0.3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 cm="1">
        <f t="array" ref="AJ967">_xlfn.IFS(
HR_Data[[#This Row],[Age]]&lt;25,"Under 25",
HR_Data[[#This Row],[Age]]&lt;35,"25-34",
HR_Data[[#This Row],[Age]]&lt;45,"35-44",
HR_Data[[#This Row],[Age]]&lt;55,"45-54",
TRUE,"55+"
)</f>
        <v>25-34</v>
      </c>
      <c r="AK967" t="str" cm="1">
        <f t="array" ref="AK967">_xlfn.IFS(
HR_Data[[#This Row],[MonthlyIncome]]&lt;3000,"&lt;3K",
HR_Data[[#This Row],[MonthlyIncome]]&lt;6000,"3K-6K",
HR_Data[[#This Row],[MonthlyIncome]]&lt;10000,"6K-10K",
TRUE,"10K+"
)</f>
        <v>3K-6K</v>
      </c>
      <c r="AL967" t="str" cm="1">
        <f t="array" ref="AL967">_xlfn.IFS(
HR_Data[[#This Row],[YearsAtCompany]]&lt;2,"&lt;2 Years",
HR_Data[[#This Row],[YearsAtCompany]]&lt;5,"2-4 Years",
HR_Data[[#This Row],[YearsAtCompany]]&lt;10,"5-9 Years",
TRUE,"10+ Years"
)</f>
        <v>2-4 Years</v>
      </c>
      <c r="AM967" s="1">
        <f>IF(HR_Data[[#This Row],[Attrition]]="Yes",1,0)</f>
        <v>0</v>
      </c>
    </row>
    <row r="968" spans="1:39" x14ac:dyDescent="0.3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 cm="1">
        <f t="array" ref="AJ968">_xlfn.IFS(
HR_Data[[#This Row],[Age]]&lt;25,"Under 25",
HR_Data[[#This Row],[Age]]&lt;35,"25-34",
HR_Data[[#This Row],[Age]]&lt;45,"35-44",
HR_Data[[#This Row],[Age]]&lt;55,"45-54",
TRUE,"55+"
)</f>
        <v>55+</v>
      </c>
      <c r="AK968" t="str" cm="1">
        <f t="array" ref="AK968">_xlfn.IFS(
HR_Data[[#This Row],[MonthlyIncome]]&lt;3000,"&lt;3K",
HR_Data[[#This Row],[MonthlyIncome]]&lt;6000,"3K-6K",
HR_Data[[#This Row],[MonthlyIncome]]&lt;10000,"6K-10K",
TRUE,"10K+"
)</f>
        <v>10K+</v>
      </c>
      <c r="AL968" t="str" cm="1">
        <f t="array" ref="AL968">_xlfn.IFS(
HR_Data[[#This Row],[YearsAtCompany]]&lt;2,"&lt;2 Years",
HR_Data[[#This Row],[YearsAtCompany]]&lt;5,"2-4 Years",
HR_Data[[#This Row],[YearsAtCompany]]&lt;10,"5-9 Years",
TRUE,"10+ Years"
)</f>
        <v>10+ Years</v>
      </c>
      <c r="AM968" s="1">
        <f>IF(HR_Data[[#This Row],[Attrition]]="Yes",1,0)</f>
        <v>1</v>
      </c>
    </row>
    <row r="969" spans="1:39" x14ac:dyDescent="0.3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 cm="1">
        <f t="array" ref="AJ969">_xlfn.IFS(
HR_Data[[#This Row],[Age]]&lt;25,"Under 25",
HR_Data[[#This Row],[Age]]&lt;35,"25-34",
HR_Data[[#This Row],[Age]]&lt;45,"35-44",
HR_Data[[#This Row],[Age]]&lt;55,"45-54",
TRUE,"55+"
)</f>
        <v>35-44</v>
      </c>
      <c r="AK969" t="str" cm="1">
        <f t="array" ref="AK969">_xlfn.IFS(
HR_Data[[#This Row],[MonthlyIncome]]&lt;3000,"&lt;3K",
HR_Data[[#This Row],[MonthlyIncome]]&lt;6000,"3K-6K",
HR_Data[[#This Row],[MonthlyIncome]]&lt;10000,"6K-10K",
TRUE,"10K+"
)</f>
        <v>&lt;3K</v>
      </c>
      <c r="AL969" t="str" cm="1">
        <f t="array" ref="AL969">_xlfn.IFS(
HR_Data[[#This Row],[YearsAtCompany]]&lt;2,"&lt;2 Years",
HR_Data[[#This Row],[YearsAtCompany]]&lt;5,"2-4 Years",
HR_Data[[#This Row],[YearsAtCompany]]&lt;10,"5-9 Years",
TRUE,"10+ Years"
)</f>
        <v>2-4 Years</v>
      </c>
      <c r="AM969" s="1">
        <f>IF(HR_Data[[#This Row],[Attrition]]="Yes",1,0)</f>
        <v>0</v>
      </c>
    </row>
    <row r="970" spans="1:39" x14ac:dyDescent="0.3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 cm="1">
        <f t="array" ref="AJ970">_xlfn.IFS(
HR_Data[[#This Row],[Age]]&lt;25,"Under 25",
HR_Data[[#This Row],[Age]]&lt;35,"25-34",
HR_Data[[#This Row],[Age]]&lt;45,"35-44",
HR_Data[[#This Row],[Age]]&lt;55,"45-54",
TRUE,"55+"
)</f>
        <v>35-44</v>
      </c>
      <c r="AK970" t="str" cm="1">
        <f t="array" ref="AK970">_xlfn.IFS(
HR_Data[[#This Row],[MonthlyIncome]]&lt;3000,"&lt;3K",
HR_Data[[#This Row],[MonthlyIncome]]&lt;6000,"3K-6K",
HR_Data[[#This Row],[MonthlyIncome]]&lt;10000,"6K-10K",
TRUE,"10K+"
)</f>
        <v>3K-6K</v>
      </c>
      <c r="AL970" t="str" cm="1">
        <f t="array" ref="AL970">_xlfn.IFS(
HR_Data[[#This Row],[YearsAtCompany]]&lt;2,"&lt;2 Years",
HR_Data[[#This Row],[YearsAtCompany]]&lt;5,"2-4 Years",
HR_Data[[#This Row],[YearsAtCompany]]&lt;10,"5-9 Years",
TRUE,"10+ Years"
)</f>
        <v>10+ Years</v>
      </c>
      <c r="AM970" s="1">
        <f>IF(HR_Data[[#This Row],[Attrition]]="Yes",1,0)</f>
        <v>0</v>
      </c>
    </row>
    <row r="971" spans="1:39" x14ac:dyDescent="0.3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 cm="1">
        <f t="array" ref="AJ971">_xlfn.IFS(
HR_Data[[#This Row],[Age]]&lt;25,"Under 25",
HR_Data[[#This Row],[Age]]&lt;35,"25-34",
HR_Data[[#This Row],[Age]]&lt;45,"35-44",
HR_Data[[#This Row],[Age]]&lt;55,"45-54",
TRUE,"55+"
)</f>
        <v>45-54</v>
      </c>
      <c r="AK971" t="str" cm="1">
        <f t="array" ref="AK971">_xlfn.IFS(
HR_Data[[#This Row],[MonthlyIncome]]&lt;3000,"&lt;3K",
HR_Data[[#This Row],[MonthlyIncome]]&lt;6000,"3K-6K",
HR_Data[[#This Row],[MonthlyIncome]]&lt;10000,"6K-10K",
TRUE,"10K+"
)</f>
        <v>6K-10K</v>
      </c>
      <c r="AL971" t="str" cm="1">
        <f t="array" ref="AL971">_xlfn.IFS(
HR_Data[[#This Row],[YearsAtCompany]]&lt;2,"&lt;2 Years",
HR_Data[[#This Row],[YearsAtCompany]]&lt;5,"2-4 Years",
HR_Data[[#This Row],[YearsAtCompany]]&lt;10,"5-9 Years",
TRUE,"10+ Years"
)</f>
        <v>10+ Years</v>
      </c>
      <c r="AM971" s="1">
        <f>IF(HR_Data[[#This Row],[Attrition]]="Yes",1,0)</f>
        <v>0</v>
      </c>
    </row>
    <row r="972" spans="1:39" x14ac:dyDescent="0.3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 cm="1">
        <f t="array" ref="AJ972">_xlfn.IFS(
HR_Data[[#This Row],[Age]]&lt;25,"Under 25",
HR_Data[[#This Row],[Age]]&lt;35,"25-34",
HR_Data[[#This Row],[Age]]&lt;45,"35-44",
HR_Data[[#This Row],[Age]]&lt;55,"45-54",
TRUE,"55+"
)</f>
        <v>25-34</v>
      </c>
      <c r="AK972" t="str" cm="1">
        <f t="array" ref="AK972">_xlfn.IFS(
HR_Data[[#This Row],[MonthlyIncome]]&lt;3000,"&lt;3K",
HR_Data[[#This Row],[MonthlyIncome]]&lt;6000,"3K-6K",
HR_Data[[#This Row],[MonthlyIncome]]&lt;10000,"6K-10K",
TRUE,"10K+"
)</f>
        <v>&lt;3K</v>
      </c>
      <c r="AL972" t="str" cm="1">
        <f t="array" ref="AL972">_xlfn.IFS(
HR_Data[[#This Row],[YearsAtCompany]]&lt;2,"&lt;2 Years",
HR_Data[[#This Row],[YearsAtCompany]]&lt;5,"2-4 Years",
HR_Data[[#This Row],[YearsAtCompany]]&lt;10,"5-9 Years",
TRUE,"10+ Years"
)</f>
        <v>&lt;2 Years</v>
      </c>
      <c r="AM972" s="1">
        <f>IF(HR_Data[[#This Row],[Attrition]]="Yes",1,0)</f>
        <v>0</v>
      </c>
    </row>
    <row r="973" spans="1:39" x14ac:dyDescent="0.3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 cm="1">
        <f t="array" ref="AJ973">_xlfn.IFS(
HR_Data[[#This Row],[Age]]&lt;25,"Under 25",
HR_Data[[#This Row],[Age]]&lt;35,"25-34",
HR_Data[[#This Row],[Age]]&lt;45,"35-44",
HR_Data[[#This Row],[Age]]&lt;55,"45-54",
TRUE,"55+"
)</f>
        <v>45-54</v>
      </c>
      <c r="AK973" t="str" cm="1">
        <f t="array" ref="AK973">_xlfn.IFS(
HR_Data[[#This Row],[MonthlyIncome]]&lt;3000,"&lt;3K",
HR_Data[[#This Row],[MonthlyIncome]]&lt;6000,"3K-6K",
HR_Data[[#This Row],[MonthlyIncome]]&lt;10000,"6K-10K",
TRUE,"10K+"
)</f>
        <v>10K+</v>
      </c>
      <c r="AL973" t="str" cm="1">
        <f t="array" ref="AL973">_xlfn.IFS(
HR_Data[[#This Row],[YearsAtCompany]]&lt;2,"&lt;2 Years",
HR_Data[[#This Row],[YearsAtCompany]]&lt;5,"2-4 Years",
HR_Data[[#This Row],[YearsAtCompany]]&lt;10,"5-9 Years",
TRUE,"10+ Years"
)</f>
        <v>5-9 Years</v>
      </c>
      <c r="AM973" s="1">
        <f>IF(HR_Data[[#This Row],[Attrition]]="Yes",1,0)</f>
        <v>0</v>
      </c>
    </row>
    <row r="974" spans="1:39" x14ac:dyDescent="0.3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 cm="1">
        <f t="array" ref="AJ974">_xlfn.IFS(
HR_Data[[#This Row],[Age]]&lt;25,"Under 25",
HR_Data[[#This Row],[Age]]&lt;35,"25-34",
HR_Data[[#This Row],[Age]]&lt;45,"35-44",
HR_Data[[#This Row],[Age]]&lt;55,"45-54",
TRUE,"55+"
)</f>
        <v>Under 25</v>
      </c>
      <c r="AK974" t="str" cm="1">
        <f t="array" ref="AK974">_xlfn.IFS(
HR_Data[[#This Row],[MonthlyIncome]]&lt;3000,"&lt;3K",
HR_Data[[#This Row],[MonthlyIncome]]&lt;6000,"3K-6K",
HR_Data[[#This Row],[MonthlyIncome]]&lt;10000,"6K-10K",
TRUE,"10K+"
)</f>
        <v>&lt;3K</v>
      </c>
      <c r="AL974" t="str" cm="1">
        <f t="array" ref="AL974">_xlfn.IFS(
HR_Data[[#This Row],[YearsAtCompany]]&lt;2,"&lt;2 Years",
HR_Data[[#This Row],[YearsAtCompany]]&lt;5,"2-4 Years",
HR_Data[[#This Row],[YearsAtCompany]]&lt;10,"5-9 Years",
TRUE,"10+ Years"
)</f>
        <v>&lt;2 Years</v>
      </c>
      <c r="AM974" s="1">
        <f>IF(HR_Data[[#This Row],[Attrition]]="Yes",1,0)</f>
        <v>0</v>
      </c>
    </row>
    <row r="975" spans="1:39" x14ac:dyDescent="0.3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 cm="1">
        <f t="array" ref="AJ975">_xlfn.IFS(
HR_Data[[#This Row],[Age]]&lt;25,"Under 25",
HR_Data[[#This Row],[Age]]&lt;35,"25-34",
HR_Data[[#This Row],[Age]]&lt;45,"35-44",
HR_Data[[#This Row],[Age]]&lt;55,"45-54",
TRUE,"55+"
)</f>
        <v>35-44</v>
      </c>
      <c r="AK975" t="str" cm="1">
        <f t="array" ref="AK975">_xlfn.IFS(
HR_Data[[#This Row],[MonthlyIncome]]&lt;3000,"&lt;3K",
HR_Data[[#This Row],[MonthlyIncome]]&lt;6000,"3K-6K",
HR_Data[[#This Row],[MonthlyIncome]]&lt;10000,"6K-10K",
TRUE,"10K+"
)</f>
        <v>3K-6K</v>
      </c>
      <c r="AL975" t="str" cm="1">
        <f t="array" ref="AL975">_xlfn.IFS(
HR_Data[[#This Row],[YearsAtCompany]]&lt;2,"&lt;2 Years",
HR_Data[[#This Row],[YearsAtCompany]]&lt;5,"2-4 Years",
HR_Data[[#This Row],[YearsAtCompany]]&lt;10,"5-9 Years",
TRUE,"10+ Years"
)</f>
        <v>5-9 Years</v>
      </c>
      <c r="AM975" s="1">
        <f>IF(HR_Data[[#This Row],[Attrition]]="Yes",1,0)</f>
        <v>0</v>
      </c>
    </row>
    <row r="976" spans="1:39" x14ac:dyDescent="0.3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 cm="1">
        <f t="array" ref="AJ976">_xlfn.IFS(
HR_Data[[#This Row],[Age]]&lt;25,"Under 25",
HR_Data[[#This Row],[Age]]&lt;35,"25-34",
HR_Data[[#This Row],[Age]]&lt;45,"35-44",
HR_Data[[#This Row],[Age]]&lt;55,"45-54",
TRUE,"55+"
)</f>
        <v>25-34</v>
      </c>
      <c r="AK976" t="str" cm="1">
        <f t="array" ref="AK976">_xlfn.IFS(
HR_Data[[#This Row],[MonthlyIncome]]&lt;3000,"&lt;3K",
HR_Data[[#This Row],[MonthlyIncome]]&lt;6000,"3K-6K",
HR_Data[[#This Row],[MonthlyIncome]]&lt;10000,"6K-10K",
TRUE,"10K+"
)</f>
        <v>3K-6K</v>
      </c>
      <c r="AL976" t="str" cm="1">
        <f t="array" ref="AL976">_xlfn.IFS(
HR_Data[[#This Row],[YearsAtCompany]]&lt;2,"&lt;2 Years",
HR_Data[[#This Row],[YearsAtCompany]]&lt;5,"2-4 Years",
HR_Data[[#This Row],[YearsAtCompany]]&lt;10,"5-9 Years",
TRUE,"10+ Years"
)</f>
        <v>5-9 Years</v>
      </c>
      <c r="AM976" s="1">
        <f>IF(HR_Data[[#This Row],[Attrition]]="Yes",1,0)</f>
        <v>0</v>
      </c>
    </row>
    <row r="977" spans="1:39" x14ac:dyDescent="0.3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 cm="1">
        <f t="array" ref="AJ977">_xlfn.IFS(
HR_Data[[#This Row],[Age]]&lt;25,"Under 25",
HR_Data[[#This Row],[Age]]&lt;35,"25-34",
HR_Data[[#This Row],[Age]]&lt;45,"35-44",
HR_Data[[#This Row],[Age]]&lt;55,"45-54",
TRUE,"55+"
)</f>
        <v>55+</v>
      </c>
      <c r="AK977" t="str" cm="1">
        <f t="array" ref="AK977">_xlfn.IFS(
HR_Data[[#This Row],[MonthlyIncome]]&lt;3000,"&lt;3K",
HR_Data[[#This Row],[MonthlyIncome]]&lt;6000,"3K-6K",
HR_Data[[#This Row],[MonthlyIncome]]&lt;10000,"6K-10K",
TRUE,"10K+"
)</f>
        <v>10K+</v>
      </c>
      <c r="AL977" t="str" cm="1">
        <f t="array" ref="AL977">_xlfn.IFS(
HR_Data[[#This Row],[YearsAtCompany]]&lt;2,"&lt;2 Years",
HR_Data[[#This Row],[YearsAtCompany]]&lt;5,"2-4 Years",
HR_Data[[#This Row],[YearsAtCompany]]&lt;10,"5-9 Years",
TRUE,"10+ Years"
)</f>
        <v>10+ Years</v>
      </c>
      <c r="AM977" s="1">
        <f>IF(HR_Data[[#This Row],[Attrition]]="Yes",1,0)</f>
        <v>1</v>
      </c>
    </row>
    <row r="978" spans="1:39" x14ac:dyDescent="0.3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 cm="1">
        <f t="array" ref="AJ978">_xlfn.IFS(
HR_Data[[#This Row],[Age]]&lt;25,"Under 25",
HR_Data[[#This Row],[Age]]&lt;35,"25-34",
HR_Data[[#This Row],[Age]]&lt;45,"35-44",
HR_Data[[#This Row],[Age]]&lt;55,"45-54",
TRUE,"55+"
)</f>
        <v>55+</v>
      </c>
      <c r="AK978" t="str" cm="1">
        <f t="array" ref="AK978">_xlfn.IFS(
HR_Data[[#This Row],[MonthlyIncome]]&lt;3000,"&lt;3K",
HR_Data[[#This Row],[MonthlyIncome]]&lt;6000,"3K-6K",
HR_Data[[#This Row],[MonthlyIncome]]&lt;10000,"6K-10K",
TRUE,"10K+"
)</f>
        <v>10K+</v>
      </c>
      <c r="AL978" t="str" cm="1">
        <f t="array" ref="AL978">_xlfn.IFS(
HR_Data[[#This Row],[YearsAtCompany]]&lt;2,"&lt;2 Years",
HR_Data[[#This Row],[YearsAtCompany]]&lt;5,"2-4 Years",
HR_Data[[#This Row],[YearsAtCompany]]&lt;10,"5-9 Years",
TRUE,"10+ Years"
)</f>
        <v>10+ Years</v>
      </c>
      <c r="AM978" s="1">
        <f>IF(HR_Data[[#This Row],[Attrition]]="Yes",1,0)</f>
        <v>0</v>
      </c>
    </row>
    <row r="979" spans="1:39" x14ac:dyDescent="0.3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 cm="1">
        <f t="array" ref="AJ979">_xlfn.IFS(
HR_Data[[#This Row],[Age]]&lt;25,"Under 25",
HR_Data[[#This Row],[Age]]&lt;35,"25-34",
HR_Data[[#This Row],[Age]]&lt;45,"35-44",
HR_Data[[#This Row],[Age]]&lt;55,"45-54",
TRUE,"55+"
)</f>
        <v>25-34</v>
      </c>
      <c r="AK979" t="str" cm="1">
        <f t="array" ref="AK979">_xlfn.IFS(
HR_Data[[#This Row],[MonthlyIncome]]&lt;3000,"&lt;3K",
HR_Data[[#This Row],[MonthlyIncome]]&lt;6000,"3K-6K",
HR_Data[[#This Row],[MonthlyIncome]]&lt;10000,"6K-10K",
TRUE,"10K+"
)</f>
        <v>&lt;3K</v>
      </c>
      <c r="AL979" t="str" cm="1">
        <f t="array" ref="AL979">_xlfn.IFS(
HR_Data[[#This Row],[YearsAtCompany]]&lt;2,"&lt;2 Years",
HR_Data[[#This Row],[YearsAtCompany]]&lt;5,"2-4 Years",
HR_Data[[#This Row],[YearsAtCompany]]&lt;10,"5-9 Years",
TRUE,"10+ Years"
)</f>
        <v>5-9 Years</v>
      </c>
      <c r="AM979" s="1">
        <f>IF(HR_Data[[#This Row],[Attrition]]="Yes",1,0)</f>
        <v>0</v>
      </c>
    </row>
    <row r="980" spans="1:39" x14ac:dyDescent="0.3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 cm="1">
        <f t="array" ref="AJ980">_xlfn.IFS(
HR_Data[[#This Row],[Age]]&lt;25,"Under 25",
HR_Data[[#This Row],[Age]]&lt;35,"25-34",
HR_Data[[#This Row],[Age]]&lt;45,"35-44",
HR_Data[[#This Row],[Age]]&lt;55,"45-54",
TRUE,"55+"
)</f>
        <v>35-44</v>
      </c>
      <c r="AK980" t="str" cm="1">
        <f t="array" ref="AK980">_xlfn.IFS(
HR_Data[[#This Row],[MonthlyIncome]]&lt;3000,"&lt;3K",
HR_Data[[#This Row],[MonthlyIncome]]&lt;6000,"3K-6K",
HR_Data[[#This Row],[MonthlyIncome]]&lt;10000,"6K-10K",
TRUE,"10K+"
)</f>
        <v>6K-10K</v>
      </c>
      <c r="AL980" t="str" cm="1">
        <f t="array" ref="AL980">_xlfn.IFS(
HR_Data[[#This Row],[YearsAtCompany]]&lt;2,"&lt;2 Years",
HR_Data[[#This Row],[YearsAtCompany]]&lt;5,"2-4 Years",
HR_Data[[#This Row],[YearsAtCompany]]&lt;10,"5-9 Years",
TRUE,"10+ Years"
)</f>
        <v>10+ Years</v>
      </c>
      <c r="AM980" s="1">
        <f>IF(HR_Data[[#This Row],[Attrition]]="Yes",1,0)</f>
        <v>0</v>
      </c>
    </row>
    <row r="981" spans="1:39" x14ac:dyDescent="0.3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 cm="1">
        <f t="array" ref="AJ981">_xlfn.IFS(
HR_Data[[#This Row],[Age]]&lt;25,"Under 25",
HR_Data[[#This Row],[Age]]&lt;35,"25-34",
HR_Data[[#This Row],[Age]]&lt;45,"35-44",
HR_Data[[#This Row],[Age]]&lt;55,"45-54",
TRUE,"55+"
)</f>
        <v>25-34</v>
      </c>
      <c r="AK981" t="str" cm="1">
        <f t="array" ref="AK981">_xlfn.IFS(
HR_Data[[#This Row],[MonthlyIncome]]&lt;3000,"&lt;3K",
HR_Data[[#This Row],[MonthlyIncome]]&lt;6000,"3K-6K",
HR_Data[[#This Row],[MonthlyIncome]]&lt;10000,"6K-10K",
TRUE,"10K+"
)</f>
        <v>3K-6K</v>
      </c>
      <c r="AL981" t="str" cm="1">
        <f t="array" ref="AL981">_xlfn.IFS(
HR_Data[[#This Row],[YearsAtCompany]]&lt;2,"&lt;2 Years",
HR_Data[[#This Row],[YearsAtCompany]]&lt;5,"2-4 Years",
HR_Data[[#This Row],[YearsAtCompany]]&lt;10,"5-9 Years",
TRUE,"10+ Years"
)</f>
        <v>5-9 Years</v>
      </c>
      <c r="AM981" s="1">
        <f>IF(HR_Data[[#This Row],[Attrition]]="Yes",1,0)</f>
        <v>0</v>
      </c>
    </row>
    <row r="982" spans="1:39" x14ac:dyDescent="0.3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 cm="1">
        <f t="array" ref="AJ982">_xlfn.IFS(
HR_Data[[#This Row],[Age]]&lt;25,"Under 25",
HR_Data[[#This Row],[Age]]&lt;35,"25-34",
HR_Data[[#This Row],[Age]]&lt;45,"35-44",
HR_Data[[#This Row],[Age]]&lt;55,"45-54",
TRUE,"55+"
)</f>
        <v>25-34</v>
      </c>
      <c r="AK982" t="str" cm="1">
        <f t="array" ref="AK982">_xlfn.IFS(
HR_Data[[#This Row],[MonthlyIncome]]&lt;3000,"&lt;3K",
HR_Data[[#This Row],[MonthlyIncome]]&lt;6000,"3K-6K",
HR_Data[[#This Row],[MonthlyIncome]]&lt;10000,"6K-10K",
TRUE,"10K+"
)</f>
        <v>&lt;3K</v>
      </c>
      <c r="AL982" t="str" cm="1">
        <f t="array" ref="AL982">_xlfn.IFS(
HR_Data[[#This Row],[YearsAtCompany]]&lt;2,"&lt;2 Years",
HR_Data[[#This Row],[YearsAtCompany]]&lt;5,"2-4 Years",
HR_Data[[#This Row],[YearsAtCompany]]&lt;10,"5-9 Years",
TRUE,"10+ Years"
)</f>
        <v>&lt;2 Years</v>
      </c>
      <c r="AM982" s="1">
        <f>IF(HR_Data[[#This Row],[Attrition]]="Yes",1,0)</f>
        <v>1</v>
      </c>
    </row>
    <row r="983" spans="1:39" x14ac:dyDescent="0.3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 cm="1">
        <f t="array" ref="AJ983">_xlfn.IFS(
HR_Data[[#This Row],[Age]]&lt;25,"Under 25",
HR_Data[[#This Row],[Age]]&lt;35,"25-34",
HR_Data[[#This Row],[Age]]&lt;45,"35-44",
HR_Data[[#This Row],[Age]]&lt;55,"45-54",
TRUE,"55+"
)</f>
        <v>35-44</v>
      </c>
      <c r="AK983" t="str" cm="1">
        <f t="array" ref="AK983">_xlfn.IFS(
HR_Data[[#This Row],[MonthlyIncome]]&lt;3000,"&lt;3K",
HR_Data[[#This Row],[MonthlyIncome]]&lt;6000,"3K-6K",
HR_Data[[#This Row],[MonthlyIncome]]&lt;10000,"6K-10K",
TRUE,"10K+"
)</f>
        <v>3K-6K</v>
      </c>
      <c r="AL983" t="str" cm="1">
        <f t="array" ref="AL983">_xlfn.IFS(
HR_Data[[#This Row],[YearsAtCompany]]&lt;2,"&lt;2 Years",
HR_Data[[#This Row],[YearsAtCompany]]&lt;5,"2-4 Years",
HR_Data[[#This Row],[YearsAtCompany]]&lt;10,"5-9 Years",
TRUE,"10+ Years"
)</f>
        <v>2-4 Years</v>
      </c>
      <c r="AM983" s="1">
        <f>IF(HR_Data[[#This Row],[Attrition]]="Yes",1,0)</f>
        <v>1</v>
      </c>
    </row>
    <row r="984" spans="1:39" x14ac:dyDescent="0.3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 cm="1">
        <f t="array" ref="AJ984">_xlfn.IFS(
HR_Data[[#This Row],[Age]]&lt;25,"Under 25",
HR_Data[[#This Row],[Age]]&lt;35,"25-34",
HR_Data[[#This Row],[Age]]&lt;45,"35-44",
HR_Data[[#This Row],[Age]]&lt;55,"45-54",
TRUE,"55+"
)</f>
        <v>35-44</v>
      </c>
      <c r="AK984" t="str" cm="1">
        <f t="array" ref="AK984">_xlfn.IFS(
HR_Data[[#This Row],[MonthlyIncome]]&lt;3000,"&lt;3K",
HR_Data[[#This Row],[MonthlyIncome]]&lt;6000,"3K-6K",
HR_Data[[#This Row],[MonthlyIncome]]&lt;10000,"6K-10K",
TRUE,"10K+"
)</f>
        <v>&lt;3K</v>
      </c>
      <c r="AL984" t="str" cm="1">
        <f t="array" ref="AL984">_xlfn.IFS(
HR_Data[[#This Row],[YearsAtCompany]]&lt;2,"&lt;2 Years",
HR_Data[[#This Row],[YearsAtCompany]]&lt;5,"2-4 Years",
HR_Data[[#This Row],[YearsAtCompany]]&lt;10,"5-9 Years",
TRUE,"10+ Years"
)</f>
        <v>2-4 Years</v>
      </c>
      <c r="AM984" s="1">
        <f>IF(HR_Data[[#This Row],[Attrition]]="Yes",1,0)</f>
        <v>0</v>
      </c>
    </row>
    <row r="985" spans="1:39" x14ac:dyDescent="0.3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 cm="1">
        <f t="array" ref="AJ985">_xlfn.IFS(
HR_Data[[#This Row],[Age]]&lt;25,"Under 25",
HR_Data[[#This Row],[Age]]&lt;35,"25-34",
HR_Data[[#This Row],[Age]]&lt;45,"35-44",
HR_Data[[#This Row],[Age]]&lt;55,"45-54",
TRUE,"55+"
)</f>
        <v>25-34</v>
      </c>
      <c r="AK985" t="str" cm="1">
        <f t="array" ref="AK985">_xlfn.IFS(
HR_Data[[#This Row],[MonthlyIncome]]&lt;3000,"&lt;3K",
HR_Data[[#This Row],[MonthlyIncome]]&lt;6000,"3K-6K",
HR_Data[[#This Row],[MonthlyIncome]]&lt;10000,"6K-10K",
TRUE,"10K+"
)</f>
        <v>6K-10K</v>
      </c>
      <c r="AL985" t="str" cm="1">
        <f t="array" ref="AL985">_xlfn.IFS(
HR_Data[[#This Row],[YearsAtCompany]]&lt;2,"&lt;2 Years",
HR_Data[[#This Row],[YearsAtCompany]]&lt;5,"2-4 Years",
HR_Data[[#This Row],[YearsAtCompany]]&lt;10,"5-9 Years",
TRUE,"10+ Years"
)</f>
        <v>10+ Years</v>
      </c>
      <c r="AM985" s="1">
        <f>IF(HR_Data[[#This Row],[Attrition]]="Yes",1,0)</f>
        <v>0</v>
      </c>
    </row>
    <row r="986" spans="1:39" x14ac:dyDescent="0.3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 cm="1">
        <f t="array" ref="AJ986">_xlfn.IFS(
HR_Data[[#This Row],[Age]]&lt;25,"Under 25",
HR_Data[[#This Row],[Age]]&lt;35,"25-34",
HR_Data[[#This Row],[Age]]&lt;45,"35-44",
HR_Data[[#This Row],[Age]]&lt;55,"45-54",
TRUE,"55+"
)</f>
        <v>25-34</v>
      </c>
      <c r="AK986" t="str" cm="1">
        <f t="array" ref="AK986">_xlfn.IFS(
HR_Data[[#This Row],[MonthlyIncome]]&lt;3000,"&lt;3K",
HR_Data[[#This Row],[MonthlyIncome]]&lt;6000,"3K-6K",
HR_Data[[#This Row],[MonthlyIncome]]&lt;10000,"6K-10K",
TRUE,"10K+"
)</f>
        <v>3K-6K</v>
      </c>
      <c r="AL986" t="str" cm="1">
        <f t="array" ref="AL986">_xlfn.IFS(
HR_Data[[#This Row],[YearsAtCompany]]&lt;2,"&lt;2 Years",
HR_Data[[#This Row],[YearsAtCompany]]&lt;5,"2-4 Years",
HR_Data[[#This Row],[YearsAtCompany]]&lt;10,"5-9 Years",
TRUE,"10+ Years"
)</f>
        <v>5-9 Years</v>
      </c>
      <c r="AM986" s="1">
        <f>IF(HR_Data[[#This Row],[Attrition]]="Yes",1,0)</f>
        <v>0</v>
      </c>
    </row>
    <row r="987" spans="1:39" x14ac:dyDescent="0.3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 cm="1">
        <f t="array" ref="AJ987">_xlfn.IFS(
HR_Data[[#This Row],[Age]]&lt;25,"Under 25",
HR_Data[[#This Row],[Age]]&lt;35,"25-34",
HR_Data[[#This Row],[Age]]&lt;45,"35-44",
HR_Data[[#This Row],[Age]]&lt;55,"45-54",
TRUE,"55+"
)</f>
        <v>25-34</v>
      </c>
      <c r="AK987" t="str" cm="1">
        <f t="array" ref="AK987">_xlfn.IFS(
HR_Data[[#This Row],[MonthlyIncome]]&lt;3000,"&lt;3K",
HR_Data[[#This Row],[MonthlyIncome]]&lt;6000,"3K-6K",
HR_Data[[#This Row],[MonthlyIncome]]&lt;10000,"6K-10K",
TRUE,"10K+"
)</f>
        <v>6K-10K</v>
      </c>
      <c r="AL987" t="str" cm="1">
        <f t="array" ref="AL987">_xlfn.IFS(
HR_Data[[#This Row],[YearsAtCompany]]&lt;2,"&lt;2 Years",
HR_Data[[#This Row],[YearsAtCompany]]&lt;5,"2-4 Years",
HR_Data[[#This Row],[YearsAtCompany]]&lt;10,"5-9 Years",
TRUE,"10+ Years"
)</f>
        <v>10+ Years</v>
      </c>
      <c r="AM987" s="1">
        <f>IF(HR_Data[[#This Row],[Attrition]]="Yes",1,0)</f>
        <v>1</v>
      </c>
    </row>
    <row r="988" spans="1:39" x14ac:dyDescent="0.3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 cm="1">
        <f t="array" ref="AJ988">_xlfn.IFS(
HR_Data[[#This Row],[Age]]&lt;25,"Under 25",
HR_Data[[#This Row],[Age]]&lt;35,"25-34",
HR_Data[[#This Row],[Age]]&lt;45,"35-44",
HR_Data[[#This Row],[Age]]&lt;55,"45-54",
TRUE,"55+"
)</f>
        <v>35-44</v>
      </c>
      <c r="AK988" t="str" cm="1">
        <f t="array" ref="AK988">_xlfn.IFS(
HR_Data[[#This Row],[MonthlyIncome]]&lt;3000,"&lt;3K",
HR_Data[[#This Row],[MonthlyIncome]]&lt;6000,"3K-6K",
HR_Data[[#This Row],[MonthlyIncome]]&lt;10000,"6K-10K",
TRUE,"10K+"
)</f>
        <v>6K-10K</v>
      </c>
      <c r="AL988" t="str" cm="1">
        <f t="array" ref="AL988">_xlfn.IFS(
HR_Data[[#This Row],[YearsAtCompany]]&lt;2,"&lt;2 Years",
HR_Data[[#This Row],[YearsAtCompany]]&lt;5,"2-4 Years",
HR_Data[[#This Row],[YearsAtCompany]]&lt;10,"5-9 Years",
TRUE,"10+ Years"
)</f>
        <v>5-9 Years</v>
      </c>
      <c r="AM988" s="1">
        <f>IF(HR_Data[[#This Row],[Attrition]]="Yes",1,0)</f>
        <v>0</v>
      </c>
    </row>
    <row r="989" spans="1:39" x14ac:dyDescent="0.3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 cm="1">
        <f t="array" ref="AJ989">_xlfn.IFS(
HR_Data[[#This Row],[Age]]&lt;25,"Under 25",
HR_Data[[#This Row],[Age]]&lt;35,"25-34",
HR_Data[[#This Row],[Age]]&lt;45,"35-44",
HR_Data[[#This Row],[Age]]&lt;55,"45-54",
TRUE,"55+"
)</f>
        <v>45-54</v>
      </c>
      <c r="AK989" t="str" cm="1">
        <f t="array" ref="AK989">_xlfn.IFS(
HR_Data[[#This Row],[MonthlyIncome]]&lt;3000,"&lt;3K",
HR_Data[[#This Row],[MonthlyIncome]]&lt;6000,"3K-6K",
HR_Data[[#This Row],[MonthlyIncome]]&lt;10000,"6K-10K",
TRUE,"10K+"
)</f>
        <v>10K+</v>
      </c>
      <c r="AL989" t="str" cm="1">
        <f t="array" ref="AL989">_xlfn.IFS(
HR_Data[[#This Row],[YearsAtCompany]]&lt;2,"&lt;2 Years",
HR_Data[[#This Row],[YearsAtCompany]]&lt;5,"2-4 Years",
HR_Data[[#This Row],[YearsAtCompany]]&lt;10,"5-9 Years",
TRUE,"10+ Years"
)</f>
        <v>2-4 Years</v>
      </c>
      <c r="AM989" s="1">
        <f>IF(HR_Data[[#This Row],[Attrition]]="Yes",1,0)</f>
        <v>0</v>
      </c>
    </row>
    <row r="990" spans="1:39" x14ac:dyDescent="0.3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 cm="1">
        <f t="array" ref="AJ990">_xlfn.IFS(
HR_Data[[#This Row],[Age]]&lt;25,"Under 25",
HR_Data[[#This Row],[Age]]&lt;35,"25-34",
HR_Data[[#This Row],[Age]]&lt;45,"35-44",
HR_Data[[#This Row],[Age]]&lt;55,"45-54",
TRUE,"55+"
)</f>
        <v>35-44</v>
      </c>
      <c r="AK990" t="str" cm="1">
        <f t="array" ref="AK990">_xlfn.IFS(
HR_Data[[#This Row],[MonthlyIncome]]&lt;3000,"&lt;3K",
HR_Data[[#This Row],[MonthlyIncome]]&lt;6000,"3K-6K",
HR_Data[[#This Row],[MonthlyIncome]]&lt;10000,"6K-10K",
TRUE,"10K+"
)</f>
        <v>3K-6K</v>
      </c>
      <c r="AL990" t="str" cm="1">
        <f t="array" ref="AL990">_xlfn.IFS(
HR_Data[[#This Row],[YearsAtCompany]]&lt;2,"&lt;2 Years",
HR_Data[[#This Row],[YearsAtCompany]]&lt;5,"2-4 Years",
HR_Data[[#This Row],[YearsAtCompany]]&lt;10,"5-9 Years",
TRUE,"10+ Years"
)</f>
        <v>5-9 Years</v>
      </c>
      <c r="AM990" s="1">
        <f>IF(HR_Data[[#This Row],[Attrition]]="Yes",1,0)</f>
        <v>0</v>
      </c>
    </row>
    <row r="991" spans="1:39" x14ac:dyDescent="0.3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 cm="1">
        <f t="array" ref="AJ991">_xlfn.IFS(
HR_Data[[#This Row],[Age]]&lt;25,"Under 25",
HR_Data[[#This Row],[Age]]&lt;35,"25-34",
HR_Data[[#This Row],[Age]]&lt;45,"35-44",
HR_Data[[#This Row],[Age]]&lt;55,"45-54",
TRUE,"55+"
)</f>
        <v>35-44</v>
      </c>
      <c r="AK991" t="str" cm="1">
        <f t="array" ref="AK991">_xlfn.IFS(
HR_Data[[#This Row],[MonthlyIncome]]&lt;3000,"&lt;3K",
HR_Data[[#This Row],[MonthlyIncome]]&lt;6000,"3K-6K",
HR_Data[[#This Row],[MonthlyIncome]]&lt;10000,"6K-10K",
TRUE,"10K+"
)</f>
        <v>&lt;3K</v>
      </c>
      <c r="AL991" t="str" cm="1">
        <f t="array" ref="AL991">_xlfn.IFS(
HR_Data[[#This Row],[YearsAtCompany]]&lt;2,"&lt;2 Years",
HR_Data[[#This Row],[YearsAtCompany]]&lt;5,"2-4 Years",
HR_Data[[#This Row],[YearsAtCompany]]&lt;10,"5-9 Years",
TRUE,"10+ Years"
)</f>
        <v>5-9 Years</v>
      </c>
      <c r="AM991" s="1">
        <f>IF(HR_Data[[#This Row],[Attrition]]="Yes",1,0)</f>
        <v>0</v>
      </c>
    </row>
    <row r="992" spans="1:39" x14ac:dyDescent="0.3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 cm="1">
        <f t="array" ref="AJ992">_xlfn.IFS(
HR_Data[[#This Row],[Age]]&lt;25,"Under 25",
HR_Data[[#This Row],[Age]]&lt;35,"25-34",
HR_Data[[#This Row],[Age]]&lt;45,"35-44",
HR_Data[[#This Row],[Age]]&lt;55,"45-54",
TRUE,"55+"
)</f>
        <v>25-34</v>
      </c>
      <c r="AK992" t="str" cm="1">
        <f t="array" ref="AK992">_xlfn.IFS(
HR_Data[[#This Row],[MonthlyIncome]]&lt;3000,"&lt;3K",
HR_Data[[#This Row],[MonthlyIncome]]&lt;6000,"3K-6K",
HR_Data[[#This Row],[MonthlyIncome]]&lt;10000,"6K-10K",
TRUE,"10K+"
)</f>
        <v>6K-10K</v>
      </c>
      <c r="AL992" t="str" cm="1">
        <f t="array" ref="AL992">_xlfn.IFS(
HR_Data[[#This Row],[YearsAtCompany]]&lt;2,"&lt;2 Years",
HR_Data[[#This Row],[YearsAtCompany]]&lt;5,"2-4 Years",
HR_Data[[#This Row],[YearsAtCompany]]&lt;10,"5-9 Years",
TRUE,"10+ Years"
)</f>
        <v>5-9 Years</v>
      </c>
      <c r="AM992" s="1">
        <f>IF(HR_Data[[#This Row],[Attrition]]="Yes",1,0)</f>
        <v>0</v>
      </c>
    </row>
    <row r="993" spans="1:39" x14ac:dyDescent="0.3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 cm="1">
        <f t="array" ref="AJ993">_xlfn.IFS(
HR_Data[[#This Row],[Age]]&lt;25,"Under 25",
HR_Data[[#This Row],[Age]]&lt;35,"25-34",
HR_Data[[#This Row],[Age]]&lt;45,"35-44",
HR_Data[[#This Row],[Age]]&lt;55,"45-54",
TRUE,"55+"
)</f>
        <v>25-34</v>
      </c>
      <c r="AK993" t="str" cm="1">
        <f t="array" ref="AK993">_xlfn.IFS(
HR_Data[[#This Row],[MonthlyIncome]]&lt;3000,"&lt;3K",
HR_Data[[#This Row],[MonthlyIncome]]&lt;6000,"3K-6K",
HR_Data[[#This Row],[MonthlyIncome]]&lt;10000,"6K-10K",
TRUE,"10K+"
)</f>
        <v>3K-6K</v>
      </c>
      <c r="AL993" t="str" cm="1">
        <f t="array" ref="AL993">_xlfn.IFS(
HR_Data[[#This Row],[YearsAtCompany]]&lt;2,"&lt;2 Years",
HR_Data[[#This Row],[YearsAtCompany]]&lt;5,"2-4 Years",
HR_Data[[#This Row],[YearsAtCompany]]&lt;10,"5-9 Years",
TRUE,"10+ Years"
)</f>
        <v>2-4 Years</v>
      </c>
      <c r="AM993" s="1">
        <f>IF(HR_Data[[#This Row],[Attrition]]="Yes",1,0)</f>
        <v>0</v>
      </c>
    </row>
    <row r="994" spans="1:39" x14ac:dyDescent="0.3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 cm="1">
        <f t="array" ref="AJ994">_xlfn.IFS(
HR_Data[[#This Row],[Age]]&lt;25,"Under 25",
HR_Data[[#This Row],[Age]]&lt;35,"25-34",
HR_Data[[#This Row],[Age]]&lt;45,"35-44",
HR_Data[[#This Row],[Age]]&lt;55,"45-54",
TRUE,"55+"
)</f>
        <v>35-44</v>
      </c>
      <c r="AK994" t="str" cm="1">
        <f t="array" ref="AK994">_xlfn.IFS(
HR_Data[[#This Row],[MonthlyIncome]]&lt;3000,"&lt;3K",
HR_Data[[#This Row],[MonthlyIncome]]&lt;6000,"3K-6K",
HR_Data[[#This Row],[MonthlyIncome]]&lt;10000,"6K-10K",
TRUE,"10K+"
)</f>
        <v>10K+</v>
      </c>
      <c r="AL994" t="str" cm="1">
        <f t="array" ref="AL994">_xlfn.IFS(
HR_Data[[#This Row],[YearsAtCompany]]&lt;2,"&lt;2 Years",
HR_Data[[#This Row],[YearsAtCompany]]&lt;5,"2-4 Years",
HR_Data[[#This Row],[YearsAtCompany]]&lt;10,"5-9 Years",
TRUE,"10+ Years"
)</f>
        <v>5-9 Years</v>
      </c>
      <c r="AM994" s="1">
        <f>IF(HR_Data[[#This Row],[Attrition]]="Yes",1,0)</f>
        <v>0</v>
      </c>
    </row>
    <row r="995" spans="1:39" x14ac:dyDescent="0.3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 cm="1">
        <f t="array" ref="AJ995">_xlfn.IFS(
HR_Data[[#This Row],[Age]]&lt;25,"Under 25",
HR_Data[[#This Row],[Age]]&lt;35,"25-34",
HR_Data[[#This Row],[Age]]&lt;45,"35-44",
HR_Data[[#This Row],[Age]]&lt;55,"45-54",
TRUE,"55+"
)</f>
        <v>25-34</v>
      </c>
      <c r="AK995" t="str" cm="1">
        <f t="array" ref="AK995">_xlfn.IFS(
HR_Data[[#This Row],[MonthlyIncome]]&lt;3000,"&lt;3K",
HR_Data[[#This Row],[MonthlyIncome]]&lt;6000,"3K-6K",
HR_Data[[#This Row],[MonthlyIncome]]&lt;10000,"6K-10K",
TRUE,"10K+"
)</f>
        <v>6K-10K</v>
      </c>
      <c r="AL995" t="str" cm="1">
        <f t="array" ref="AL995">_xlfn.IFS(
HR_Data[[#This Row],[YearsAtCompany]]&lt;2,"&lt;2 Years",
HR_Data[[#This Row],[YearsAtCompany]]&lt;5,"2-4 Years",
HR_Data[[#This Row],[YearsAtCompany]]&lt;10,"5-9 Years",
TRUE,"10+ Years"
)</f>
        <v>2-4 Years</v>
      </c>
      <c r="AM995" s="1">
        <f>IF(HR_Data[[#This Row],[Attrition]]="Yes",1,0)</f>
        <v>0</v>
      </c>
    </row>
    <row r="996" spans="1:39" x14ac:dyDescent="0.3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 cm="1">
        <f t="array" ref="AJ996">_xlfn.IFS(
HR_Data[[#This Row],[Age]]&lt;25,"Under 25",
HR_Data[[#This Row],[Age]]&lt;35,"25-34",
HR_Data[[#This Row],[Age]]&lt;45,"35-44",
HR_Data[[#This Row],[Age]]&lt;55,"45-54",
TRUE,"55+"
)</f>
        <v>45-54</v>
      </c>
      <c r="AK996" t="str" cm="1">
        <f t="array" ref="AK996">_xlfn.IFS(
HR_Data[[#This Row],[MonthlyIncome]]&lt;3000,"&lt;3K",
HR_Data[[#This Row],[MonthlyIncome]]&lt;6000,"3K-6K",
HR_Data[[#This Row],[MonthlyIncome]]&lt;10000,"6K-10K",
TRUE,"10K+"
)</f>
        <v>10K+</v>
      </c>
      <c r="AL996" t="str" cm="1">
        <f t="array" ref="AL996">_xlfn.IFS(
HR_Data[[#This Row],[YearsAtCompany]]&lt;2,"&lt;2 Years",
HR_Data[[#This Row],[YearsAtCompany]]&lt;5,"2-4 Years",
HR_Data[[#This Row],[YearsAtCompany]]&lt;10,"5-9 Years",
TRUE,"10+ Years"
)</f>
        <v>5-9 Years</v>
      </c>
      <c r="AM996" s="1">
        <f>IF(HR_Data[[#This Row],[Attrition]]="Yes",1,0)</f>
        <v>0</v>
      </c>
    </row>
    <row r="997" spans="1:39" x14ac:dyDescent="0.3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 cm="1">
        <f t="array" ref="AJ997">_xlfn.IFS(
HR_Data[[#This Row],[Age]]&lt;25,"Under 25",
HR_Data[[#This Row],[Age]]&lt;35,"25-34",
HR_Data[[#This Row],[Age]]&lt;45,"35-44",
HR_Data[[#This Row],[Age]]&lt;55,"45-54",
TRUE,"55+"
)</f>
        <v>35-44</v>
      </c>
      <c r="AK997" t="str" cm="1">
        <f t="array" ref="AK997">_xlfn.IFS(
HR_Data[[#This Row],[MonthlyIncome]]&lt;3000,"&lt;3K",
HR_Data[[#This Row],[MonthlyIncome]]&lt;6000,"3K-6K",
HR_Data[[#This Row],[MonthlyIncome]]&lt;10000,"6K-10K",
TRUE,"10K+"
)</f>
        <v>3K-6K</v>
      </c>
      <c r="AL997" t="str" cm="1">
        <f t="array" ref="AL997">_xlfn.IFS(
HR_Data[[#This Row],[YearsAtCompany]]&lt;2,"&lt;2 Years",
HR_Data[[#This Row],[YearsAtCompany]]&lt;5,"2-4 Years",
HR_Data[[#This Row],[YearsAtCompany]]&lt;10,"5-9 Years",
TRUE,"10+ Years"
)</f>
        <v>10+ Years</v>
      </c>
      <c r="AM997" s="1">
        <f>IF(HR_Data[[#This Row],[Attrition]]="Yes",1,0)</f>
        <v>0</v>
      </c>
    </row>
    <row r="998" spans="1:39" x14ac:dyDescent="0.3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 cm="1">
        <f t="array" ref="AJ998">_xlfn.IFS(
HR_Data[[#This Row],[Age]]&lt;25,"Under 25",
HR_Data[[#This Row],[Age]]&lt;35,"25-34",
HR_Data[[#This Row],[Age]]&lt;45,"35-44",
HR_Data[[#This Row],[Age]]&lt;55,"45-54",
TRUE,"55+"
)</f>
        <v>25-34</v>
      </c>
      <c r="AK998" t="str" cm="1">
        <f t="array" ref="AK998">_xlfn.IFS(
HR_Data[[#This Row],[MonthlyIncome]]&lt;3000,"&lt;3K",
HR_Data[[#This Row],[MonthlyIncome]]&lt;6000,"3K-6K",
HR_Data[[#This Row],[MonthlyIncome]]&lt;10000,"6K-10K",
TRUE,"10K+"
)</f>
        <v>3K-6K</v>
      </c>
      <c r="AL998" t="str" cm="1">
        <f t="array" ref="AL998">_xlfn.IFS(
HR_Data[[#This Row],[YearsAtCompany]]&lt;2,"&lt;2 Years",
HR_Data[[#This Row],[YearsAtCompany]]&lt;5,"2-4 Years",
HR_Data[[#This Row],[YearsAtCompany]]&lt;10,"5-9 Years",
TRUE,"10+ Years"
)</f>
        <v>5-9 Years</v>
      </c>
      <c r="AM998" s="1">
        <f>IF(HR_Data[[#This Row],[Attrition]]="Yes",1,0)</f>
        <v>0</v>
      </c>
    </row>
    <row r="999" spans="1:39" x14ac:dyDescent="0.3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 cm="1">
        <f t="array" ref="AJ999">_xlfn.IFS(
HR_Data[[#This Row],[Age]]&lt;25,"Under 25",
HR_Data[[#This Row],[Age]]&lt;35,"25-34",
HR_Data[[#This Row],[Age]]&lt;45,"35-44",
HR_Data[[#This Row],[Age]]&lt;55,"45-54",
TRUE,"55+"
)</f>
        <v>25-34</v>
      </c>
      <c r="AK999" t="str" cm="1">
        <f t="array" ref="AK999">_xlfn.IFS(
HR_Data[[#This Row],[MonthlyIncome]]&lt;3000,"&lt;3K",
HR_Data[[#This Row],[MonthlyIncome]]&lt;6000,"3K-6K",
HR_Data[[#This Row],[MonthlyIncome]]&lt;10000,"6K-10K",
TRUE,"10K+"
)</f>
        <v>&lt;3K</v>
      </c>
      <c r="AL999" t="str" cm="1">
        <f t="array" ref="AL999">_xlfn.IFS(
HR_Data[[#This Row],[YearsAtCompany]]&lt;2,"&lt;2 Years",
HR_Data[[#This Row],[YearsAtCompany]]&lt;5,"2-4 Years",
HR_Data[[#This Row],[YearsAtCompany]]&lt;10,"5-9 Years",
TRUE,"10+ Years"
)</f>
        <v>5-9 Years</v>
      </c>
      <c r="AM999" s="1">
        <f>IF(HR_Data[[#This Row],[Attrition]]="Yes",1,0)</f>
        <v>1</v>
      </c>
    </row>
    <row r="1000" spans="1:39" x14ac:dyDescent="0.3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 cm="1">
        <f t="array" ref="AJ1000">_xlfn.IFS(
HR_Data[[#This Row],[Age]]&lt;25,"Under 25",
HR_Data[[#This Row],[Age]]&lt;35,"25-34",
HR_Data[[#This Row],[Age]]&lt;45,"35-44",
HR_Data[[#This Row],[Age]]&lt;55,"45-54",
TRUE,"55+"
)</f>
        <v>25-34</v>
      </c>
      <c r="AK1000" t="str" cm="1">
        <f t="array" ref="AK1000">_xlfn.IFS(
HR_Data[[#This Row],[MonthlyIncome]]&lt;3000,"&lt;3K",
HR_Data[[#This Row],[MonthlyIncome]]&lt;6000,"3K-6K",
HR_Data[[#This Row],[MonthlyIncome]]&lt;10000,"6K-10K",
TRUE,"10K+"
)</f>
        <v>3K-6K</v>
      </c>
      <c r="AL1000" t="str" cm="1">
        <f t="array" ref="AL1000">_xlfn.IFS(
HR_Data[[#This Row],[YearsAtCompany]]&lt;2,"&lt;2 Years",
HR_Data[[#This Row],[YearsAtCompany]]&lt;5,"2-4 Years",
HR_Data[[#This Row],[YearsAtCompany]]&lt;10,"5-9 Years",
TRUE,"10+ Years"
)</f>
        <v>2-4 Years</v>
      </c>
      <c r="AM1000" s="1">
        <f>IF(HR_Data[[#This Row],[Attrition]]="Yes",1,0)</f>
        <v>0</v>
      </c>
    </row>
    <row r="1001" spans="1:39" x14ac:dyDescent="0.3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 cm="1">
        <f t="array" ref="AJ1001">_xlfn.IFS(
HR_Data[[#This Row],[Age]]&lt;25,"Under 25",
HR_Data[[#This Row],[Age]]&lt;35,"25-34",
HR_Data[[#This Row],[Age]]&lt;45,"35-44",
HR_Data[[#This Row],[Age]]&lt;55,"45-54",
TRUE,"55+"
)</f>
        <v>35-44</v>
      </c>
      <c r="AK1001" t="str" cm="1">
        <f t="array" ref="AK1001">_xlfn.IFS(
HR_Data[[#This Row],[MonthlyIncome]]&lt;3000,"&lt;3K",
HR_Data[[#This Row],[MonthlyIncome]]&lt;6000,"3K-6K",
HR_Data[[#This Row],[MonthlyIncome]]&lt;10000,"6K-10K",
TRUE,"10K+"
)</f>
        <v>10K+</v>
      </c>
      <c r="AL1001" t="str" cm="1">
        <f t="array" ref="AL1001">_xlfn.IFS(
HR_Data[[#This Row],[YearsAtCompany]]&lt;2,"&lt;2 Years",
HR_Data[[#This Row],[YearsAtCompany]]&lt;5,"2-4 Years",
HR_Data[[#This Row],[YearsAtCompany]]&lt;10,"5-9 Years",
TRUE,"10+ Years"
)</f>
        <v>10+ Years</v>
      </c>
      <c r="AM1001" s="1">
        <f>IF(HR_Data[[#This Row],[Attrition]]="Yes",1,0)</f>
        <v>0</v>
      </c>
    </row>
    <row r="1002" spans="1:39" x14ac:dyDescent="0.3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 cm="1">
        <f t="array" ref="AJ1002">_xlfn.IFS(
HR_Data[[#This Row],[Age]]&lt;25,"Under 25",
HR_Data[[#This Row],[Age]]&lt;35,"25-34",
HR_Data[[#This Row],[Age]]&lt;45,"35-44",
HR_Data[[#This Row],[Age]]&lt;55,"45-54",
TRUE,"55+"
)</f>
        <v>45-54</v>
      </c>
      <c r="AK1002" t="str" cm="1">
        <f t="array" ref="AK1002">_xlfn.IFS(
HR_Data[[#This Row],[MonthlyIncome]]&lt;3000,"&lt;3K",
HR_Data[[#This Row],[MonthlyIncome]]&lt;6000,"3K-6K",
HR_Data[[#This Row],[MonthlyIncome]]&lt;10000,"6K-10K",
TRUE,"10K+"
)</f>
        <v>&lt;3K</v>
      </c>
      <c r="AL1002" t="str" cm="1">
        <f t="array" ref="AL1002">_xlfn.IFS(
HR_Data[[#This Row],[YearsAtCompany]]&lt;2,"&lt;2 Years",
HR_Data[[#This Row],[YearsAtCompany]]&lt;5,"2-4 Years",
HR_Data[[#This Row],[YearsAtCompany]]&lt;10,"5-9 Years",
TRUE,"10+ Years"
)</f>
        <v>5-9 Years</v>
      </c>
      <c r="AM1002" s="1">
        <f>IF(HR_Data[[#This Row],[Attrition]]="Yes",1,0)</f>
        <v>0</v>
      </c>
    </row>
    <row r="1003" spans="1:39" x14ac:dyDescent="0.3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 cm="1">
        <f t="array" ref="AJ1003">_xlfn.IFS(
HR_Data[[#This Row],[Age]]&lt;25,"Under 25",
HR_Data[[#This Row],[Age]]&lt;35,"25-34",
HR_Data[[#This Row],[Age]]&lt;45,"35-44",
HR_Data[[#This Row],[Age]]&lt;55,"45-54",
TRUE,"55+"
)</f>
        <v>35-44</v>
      </c>
      <c r="AK1003" t="str" cm="1">
        <f t="array" ref="AK1003">_xlfn.IFS(
HR_Data[[#This Row],[MonthlyIncome]]&lt;3000,"&lt;3K",
HR_Data[[#This Row],[MonthlyIncome]]&lt;6000,"3K-6K",
HR_Data[[#This Row],[MonthlyIncome]]&lt;10000,"6K-10K",
TRUE,"10K+"
)</f>
        <v>3K-6K</v>
      </c>
      <c r="AL1003" t="str" cm="1">
        <f t="array" ref="AL1003">_xlfn.IFS(
HR_Data[[#This Row],[YearsAtCompany]]&lt;2,"&lt;2 Years",
HR_Data[[#This Row],[YearsAtCompany]]&lt;5,"2-4 Years",
HR_Data[[#This Row],[YearsAtCompany]]&lt;10,"5-9 Years",
TRUE,"10+ Years"
)</f>
        <v>2-4 Years</v>
      </c>
      <c r="AM1003" s="1">
        <f>IF(HR_Data[[#This Row],[Attrition]]="Yes",1,0)</f>
        <v>0</v>
      </c>
    </row>
    <row r="1004" spans="1:39" x14ac:dyDescent="0.3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 cm="1">
        <f t="array" ref="AJ1004">_xlfn.IFS(
HR_Data[[#This Row],[Age]]&lt;25,"Under 25",
HR_Data[[#This Row],[Age]]&lt;35,"25-34",
HR_Data[[#This Row],[Age]]&lt;45,"35-44",
HR_Data[[#This Row],[Age]]&lt;55,"45-54",
TRUE,"55+"
)</f>
        <v>35-44</v>
      </c>
      <c r="AK1004" t="str" cm="1">
        <f t="array" ref="AK1004">_xlfn.IFS(
HR_Data[[#This Row],[MonthlyIncome]]&lt;3000,"&lt;3K",
HR_Data[[#This Row],[MonthlyIncome]]&lt;6000,"3K-6K",
HR_Data[[#This Row],[MonthlyIncome]]&lt;10000,"6K-10K",
TRUE,"10K+"
)</f>
        <v>6K-10K</v>
      </c>
      <c r="AL1004" t="str" cm="1">
        <f t="array" ref="AL1004">_xlfn.IFS(
HR_Data[[#This Row],[YearsAtCompany]]&lt;2,"&lt;2 Years",
HR_Data[[#This Row],[YearsAtCompany]]&lt;5,"2-4 Years",
HR_Data[[#This Row],[YearsAtCompany]]&lt;10,"5-9 Years",
TRUE,"10+ Years"
)</f>
        <v>2-4 Years</v>
      </c>
      <c r="AM1004" s="1">
        <f>IF(HR_Data[[#This Row],[Attrition]]="Yes",1,0)</f>
        <v>0</v>
      </c>
    </row>
    <row r="1005" spans="1:39" x14ac:dyDescent="0.3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 cm="1">
        <f t="array" ref="AJ1005">_xlfn.IFS(
HR_Data[[#This Row],[Age]]&lt;25,"Under 25",
HR_Data[[#This Row],[Age]]&lt;35,"25-34",
HR_Data[[#This Row],[Age]]&lt;45,"35-44",
HR_Data[[#This Row],[Age]]&lt;55,"45-54",
TRUE,"55+"
)</f>
        <v>25-34</v>
      </c>
      <c r="AK1005" t="str" cm="1">
        <f t="array" ref="AK1005">_xlfn.IFS(
HR_Data[[#This Row],[MonthlyIncome]]&lt;3000,"&lt;3K",
HR_Data[[#This Row],[MonthlyIncome]]&lt;6000,"3K-6K",
HR_Data[[#This Row],[MonthlyIncome]]&lt;10000,"6K-10K",
TRUE,"10K+"
)</f>
        <v>3K-6K</v>
      </c>
      <c r="AL1005" t="str" cm="1">
        <f t="array" ref="AL1005">_xlfn.IFS(
HR_Data[[#This Row],[YearsAtCompany]]&lt;2,"&lt;2 Years",
HR_Data[[#This Row],[YearsAtCompany]]&lt;5,"2-4 Years",
HR_Data[[#This Row],[YearsAtCompany]]&lt;10,"5-9 Years",
TRUE,"10+ Years"
)</f>
        <v>2-4 Years</v>
      </c>
      <c r="AM1005" s="1">
        <f>IF(HR_Data[[#This Row],[Attrition]]="Yes",1,0)</f>
        <v>0</v>
      </c>
    </row>
    <row r="1006" spans="1:39" x14ac:dyDescent="0.3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 cm="1">
        <f t="array" ref="AJ1006">_xlfn.IFS(
HR_Data[[#This Row],[Age]]&lt;25,"Under 25",
HR_Data[[#This Row],[Age]]&lt;35,"25-34",
HR_Data[[#This Row],[Age]]&lt;45,"35-44",
HR_Data[[#This Row],[Age]]&lt;55,"45-54",
TRUE,"55+"
)</f>
        <v>25-34</v>
      </c>
      <c r="AK1006" t="str" cm="1">
        <f t="array" ref="AK1006">_xlfn.IFS(
HR_Data[[#This Row],[MonthlyIncome]]&lt;3000,"&lt;3K",
HR_Data[[#This Row],[MonthlyIncome]]&lt;6000,"3K-6K",
HR_Data[[#This Row],[MonthlyIncome]]&lt;10000,"6K-10K",
TRUE,"10K+"
)</f>
        <v>3K-6K</v>
      </c>
      <c r="AL1006" t="str" cm="1">
        <f t="array" ref="AL1006">_xlfn.IFS(
HR_Data[[#This Row],[YearsAtCompany]]&lt;2,"&lt;2 Years",
HR_Data[[#This Row],[YearsAtCompany]]&lt;5,"2-4 Years",
HR_Data[[#This Row],[YearsAtCompany]]&lt;10,"5-9 Years",
TRUE,"10+ Years"
)</f>
        <v>5-9 Years</v>
      </c>
      <c r="AM1006" s="1">
        <f>IF(HR_Data[[#This Row],[Attrition]]="Yes",1,0)</f>
        <v>0</v>
      </c>
    </row>
    <row r="1007" spans="1:39" x14ac:dyDescent="0.3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 cm="1">
        <f t="array" ref="AJ1007">_xlfn.IFS(
HR_Data[[#This Row],[Age]]&lt;25,"Under 25",
HR_Data[[#This Row],[Age]]&lt;35,"25-34",
HR_Data[[#This Row],[Age]]&lt;45,"35-44",
HR_Data[[#This Row],[Age]]&lt;55,"45-54",
TRUE,"55+"
)</f>
        <v>25-34</v>
      </c>
      <c r="AK1007" t="str" cm="1">
        <f t="array" ref="AK1007">_xlfn.IFS(
HR_Data[[#This Row],[MonthlyIncome]]&lt;3000,"&lt;3K",
HR_Data[[#This Row],[MonthlyIncome]]&lt;6000,"3K-6K",
HR_Data[[#This Row],[MonthlyIncome]]&lt;10000,"6K-10K",
TRUE,"10K+"
)</f>
        <v>6K-10K</v>
      </c>
      <c r="AL1007" t="str" cm="1">
        <f t="array" ref="AL1007">_xlfn.IFS(
HR_Data[[#This Row],[YearsAtCompany]]&lt;2,"&lt;2 Years",
HR_Data[[#This Row],[YearsAtCompany]]&lt;5,"2-4 Years",
HR_Data[[#This Row],[YearsAtCompany]]&lt;10,"5-9 Years",
TRUE,"10+ Years"
)</f>
        <v>10+ Years</v>
      </c>
      <c r="AM1007" s="1">
        <f>IF(HR_Data[[#This Row],[Attrition]]="Yes",1,0)</f>
        <v>0</v>
      </c>
    </row>
    <row r="1008" spans="1:39" x14ac:dyDescent="0.3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 cm="1">
        <f t="array" ref="AJ1008">_xlfn.IFS(
HR_Data[[#This Row],[Age]]&lt;25,"Under 25",
HR_Data[[#This Row],[Age]]&lt;35,"25-34",
HR_Data[[#This Row],[Age]]&lt;45,"35-44",
HR_Data[[#This Row],[Age]]&lt;55,"45-54",
TRUE,"55+"
)</f>
        <v>45-54</v>
      </c>
      <c r="AK1008" t="str" cm="1">
        <f t="array" ref="AK1008">_xlfn.IFS(
HR_Data[[#This Row],[MonthlyIncome]]&lt;3000,"&lt;3K",
HR_Data[[#This Row],[MonthlyIncome]]&lt;6000,"3K-6K",
HR_Data[[#This Row],[MonthlyIncome]]&lt;10000,"6K-10K",
TRUE,"10K+"
)</f>
        <v>3K-6K</v>
      </c>
      <c r="AL1008" t="str" cm="1">
        <f t="array" ref="AL1008">_xlfn.IFS(
HR_Data[[#This Row],[YearsAtCompany]]&lt;2,"&lt;2 Years",
HR_Data[[#This Row],[YearsAtCompany]]&lt;5,"2-4 Years",
HR_Data[[#This Row],[YearsAtCompany]]&lt;10,"5-9 Years",
TRUE,"10+ Years"
)</f>
        <v>2-4 Years</v>
      </c>
      <c r="AM1008" s="1">
        <f>IF(HR_Data[[#This Row],[Attrition]]="Yes",1,0)</f>
        <v>1</v>
      </c>
    </row>
    <row r="1009" spans="1:39" x14ac:dyDescent="0.3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 cm="1">
        <f t="array" ref="AJ1009">_xlfn.IFS(
HR_Data[[#This Row],[Age]]&lt;25,"Under 25",
HR_Data[[#This Row],[Age]]&lt;35,"25-34",
HR_Data[[#This Row],[Age]]&lt;45,"35-44",
HR_Data[[#This Row],[Age]]&lt;55,"45-54",
TRUE,"55+"
)</f>
        <v>25-34</v>
      </c>
      <c r="AK1009" t="str" cm="1">
        <f t="array" ref="AK1009">_xlfn.IFS(
HR_Data[[#This Row],[MonthlyIncome]]&lt;3000,"&lt;3K",
HR_Data[[#This Row],[MonthlyIncome]]&lt;6000,"3K-6K",
HR_Data[[#This Row],[MonthlyIncome]]&lt;10000,"6K-10K",
TRUE,"10K+"
)</f>
        <v>6K-10K</v>
      </c>
      <c r="AL1009" t="str" cm="1">
        <f t="array" ref="AL1009">_xlfn.IFS(
HR_Data[[#This Row],[YearsAtCompany]]&lt;2,"&lt;2 Years",
HR_Data[[#This Row],[YearsAtCompany]]&lt;5,"2-4 Years",
HR_Data[[#This Row],[YearsAtCompany]]&lt;10,"5-9 Years",
TRUE,"10+ Years"
)</f>
        <v>5-9 Years</v>
      </c>
      <c r="AM1009" s="1">
        <f>IF(HR_Data[[#This Row],[Attrition]]="Yes",1,0)</f>
        <v>1</v>
      </c>
    </row>
    <row r="1010" spans="1:39" x14ac:dyDescent="0.3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 cm="1">
        <f t="array" ref="AJ1010">_xlfn.IFS(
HR_Data[[#This Row],[Age]]&lt;25,"Under 25",
HR_Data[[#This Row],[Age]]&lt;35,"25-34",
HR_Data[[#This Row],[Age]]&lt;45,"35-44",
HR_Data[[#This Row],[Age]]&lt;55,"45-54",
TRUE,"55+"
)</f>
        <v>45-54</v>
      </c>
      <c r="AK1010" t="str" cm="1">
        <f t="array" ref="AK1010">_xlfn.IFS(
HR_Data[[#This Row],[MonthlyIncome]]&lt;3000,"&lt;3K",
HR_Data[[#This Row],[MonthlyIncome]]&lt;6000,"3K-6K",
HR_Data[[#This Row],[MonthlyIncome]]&lt;10000,"6K-10K",
TRUE,"10K+"
)</f>
        <v>10K+</v>
      </c>
      <c r="AL1010" t="str" cm="1">
        <f t="array" ref="AL1010">_xlfn.IFS(
HR_Data[[#This Row],[YearsAtCompany]]&lt;2,"&lt;2 Years",
HR_Data[[#This Row],[YearsAtCompany]]&lt;5,"2-4 Years",
HR_Data[[#This Row],[YearsAtCompany]]&lt;10,"5-9 Years",
TRUE,"10+ Years"
)</f>
        <v>10+ Years</v>
      </c>
      <c r="AM1010" s="1">
        <f>IF(HR_Data[[#This Row],[Attrition]]="Yes",1,0)</f>
        <v>0</v>
      </c>
    </row>
    <row r="1011" spans="1:39" x14ac:dyDescent="0.3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 cm="1">
        <f t="array" ref="AJ1011">_xlfn.IFS(
HR_Data[[#This Row],[Age]]&lt;25,"Under 25",
HR_Data[[#This Row],[Age]]&lt;35,"25-34",
HR_Data[[#This Row],[Age]]&lt;45,"35-44",
HR_Data[[#This Row],[Age]]&lt;55,"45-54",
TRUE,"55+"
)</f>
        <v>55+</v>
      </c>
      <c r="AK1011" t="str" cm="1">
        <f t="array" ref="AK1011">_xlfn.IFS(
HR_Data[[#This Row],[MonthlyIncome]]&lt;3000,"&lt;3K",
HR_Data[[#This Row],[MonthlyIncome]]&lt;6000,"3K-6K",
HR_Data[[#This Row],[MonthlyIncome]]&lt;10000,"6K-10K",
TRUE,"10K+"
)</f>
        <v>10K+</v>
      </c>
      <c r="AL1011" t="str" cm="1">
        <f t="array" ref="AL1011">_xlfn.IFS(
HR_Data[[#This Row],[YearsAtCompany]]&lt;2,"&lt;2 Years",
HR_Data[[#This Row],[YearsAtCompany]]&lt;5,"2-4 Years",
HR_Data[[#This Row],[YearsAtCompany]]&lt;10,"5-9 Years",
TRUE,"10+ Years"
)</f>
        <v>5-9 Years</v>
      </c>
      <c r="AM1011" s="1">
        <f>IF(HR_Data[[#This Row],[Attrition]]="Yes",1,0)</f>
        <v>0</v>
      </c>
    </row>
    <row r="1012" spans="1:39" x14ac:dyDescent="0.3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 cm="1">
        <f t="array" ref="AJ1012">_xlfn.IFS(
HR_Data[[#This Row],[Age]]&lt;25,"Under 25",
HR_Data[[#This Row],[Age]]&lt;35,"25-34",
HR_Data[[#This Row],[Age]]&lt;45,"35-44",
HR_Data[[#This Row],[Age]]&lt;55,"45-54",
TRUE,"55+"
)</f>
        <v>55+</v>
      </c>
      <c r="AK1012" t="str" cm="1">
        <f t="array" ref="AK1012">_xlfn.IFS(
HR_Data[[#This Row],[MonthlyIncome]]&lt;3000,"&lt;3K",
HR_Data[[#This Row],[MonthlyIncome]]&lt;6000,"3K-6K",
HR_Data[[#This Row],[MonthlyIncome]]&lt;10000,"6K-10K",
TRUE,"10K+"
)</f>
        <v>10K+</v>
      </c>
      <c r="AL1012" t="str" cm="1">
        <f t="array" ref="AL1012">_xlfn.IFS(
HR_Data[[#This Row],[YearsAtCompany]]&lt;2,"&lt;2 Years",
HR_Data[[#This Row],[YearsAtCompany]]&lt;5,"2-4 Years",
HR_Data[[#This Row],[YearsAtCompany]]&lt;10,"5-9 Years",
TRUE,"10+ Years"
)</f>
        <v>5-9 Years</v>
      </c>
      <c r="AM1012" s="1">
        <f>IF(HR_Data[[#This Row],[Attrition]]="Yes",1,0)</f>
        <v>0</v>
      </c>
    </row>
    <row r="1013" spans="1:39" x14ac:dyDescent="0.3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 cm="1">
        <f t="array" ref="AJ1013">_xlfn.IFS(
HR_Data[[#This Row],[Age]]&lt;25,"Under 25",
HR_Data[[#This Row],[Age]]&lt;35,"25-34",
HR_Data[[#This Row],[Age]]&lt;45,"35-44",
HR_Data[[#This Row],[Age]]&lt;55,"45-54",
TRUE,"55+"
)</f>
        <v>35-44</v>
      </c>
      <c r="AK1013" t="str" cm="1">
        <f t="array" ref="AK1013">_xlfn.IFS(
HR_Data[[#This Row],[MonthlyIncome]]&lt;3000,"&lt;3K",
HR_Data[[#This Row],[MonthlyIncome]]&lt;6000,"3K-6K",
HR_Data[[#This Row],[MonthlyIncome]]&lt;10000,"6K-10K",
TRUE,"10K+"
)</f>
        <v>6K-10K</v>
      </c>
      <c r="AL1013" t="str" cm="1">
        <f t="array" ref="AL1013">_xlfn.IFS(
HR_Data[[#This Row],[YearsAtCompany]]&lt;2,"&lt;2 Years",
HR_Data[[#This Row],[YearsAtCompany]]&lt;5,"2-4 Years",
HR_Data[[#This Row],[YearsAtCompany]]&lt;10,"5-9 Years",
TRUE,"10+ Years"
)</f>
        <v>5-9 Years</v>
      </c>
      <c r="AM1013" s="1">
        <f>IF(HR_Data[[#This Row],[Attrition]]="Yes",1,0)</f>
        <v>0</v>
      </c>
    </row>
    <row r="1014" spans="1:39" x14ac:dyDescent="0.3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 cm="1">
        <f t="array" ref="AJ1014">_xlfn.IFS(
HR_Data[[#This Row],[Age]]&lt;25,"Under 25",
HR_Data[[#This Row],[Age]]&lt;35,"25-34",
HR_Data[[#This Row],[Age]]&lt;45,"35-44",
HR_Data[[#This Row],[Age]]&lt;55,"45-54",
TRUE,"55+"
)</f>
        <v>25-34</v>
      </c>
      <c r="AK1014" t="str" cm="1">
        <f t="array" ref="AK1014">_xlfn.IFS(
HR_Data[[#This Row],[MonthlyIncome]]&lt;3000,"&lt;3K",
HR_Data[[#This Row],[MonthlyIncome]]&lt;6000,"3K-6K",
HR_Data[[#This Row],[MonthlyIncome]]&lt;10000,"6K-10K",
TRUE,"10K+"
)</f>
        <v>&lt;3K</v>
      </c>
      <c r="AL1014" t="str" cm="1">
        <f t="array" ref="AL1014">_xlfn.IFS(
HR_Data[[#This Row],[YearsAtCompany]]&lt;2,"&lt;2 Years",
HR_Data[[#This Row],[YearsAtCompany]]&lt;5,"2-4 Years",
HR_Data[[#This Row],[YearsAtCompany]]&lt;10,"5-9 Years",
TRUE,"10+ Years"
)</f>
        <v>&lt;2 Years</v>
      </c>
      <c r="AM1014" s="1">
        <f>IF(HR_Data[[#This Row],[Attrition]]="Yes",1,0)</f>
        <v>1</v>
      </c>
    </row>
    <row r="1015" spans="1:39" x14ac:dyDescent="0.3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 cm="1">
        <f t="array" ref="AJ1015">_xlfn.IFS(
HR_Data[[#This Row],[Age]]&lt;25,"Under 25",
HR_Data[[#This Row],[Age]]&lt;35,"25-34",
HR_Data[[#This Row],[Age]]&lt;45,"35-44",
HR_Data[[#This Row],[Age]]&lt;55,"45-54",
TRUE,"55+"
)</f>
        <v>25-34</v>
      </c>
      <c r="AK1015" t="str" cm="1">
        <f t="array" ref="AK1015">_xlfn.IFS(
HR_Data[[#This Row],[MonthlyIncome]]&lt;3000,"&lt;3K",
HR_Data[[#This Row],[MonthlyIncome]]&lt;6000,"3K-6K",
HR_Data[[#This Row],[MonthlyIncome]]&lt;10000,"6K-10K",
TRUE,"10K+"
)</f>
        <v>3K-6K</v>
      </c>
      <c r="AL1015" t="str" cm="1">
        <f t="array" ref="AL1015">_xlfn.IFS(
HR_Data[[#This Row],[YearsAtCompany]]&lt;2,"&lt;2 Years",
HR_Data[[#This Row],[YearsAtCompany]]&lt;5,"2-4 Years",
HR_Data[[#This Row],[YearsAtCompany]]&lt;10,"5-9 Years",
TRUE,"10+ Years"
)</f>
        <v>2-4 Years</v>
      </c>
      <c r="AM1015" s="1">
        <f>IF(HR_Data[[#This Row],[Attrition]]="Yes",1,0)</f>
        <v>0</v>
      </c>
    </row>
    <row r="1016" spans="1:39" x14ac:dyDescent="0.3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 cm="1">
        <f t="array" ref="AJ1016">_xlfn.IFS(
HR_Data[[#This Row],[Age]]&lt;25,"Under 25",
HR_Data[[#This Row],[Age]]&lt;35,"25-34",
HR_Data[[#This Row],[Age]]&lt;45,"35-44",
HR_Data[[#This Row],[Age]]&lt;55,"45-54",
TRUE,"55+"
)</f>
        <v>25-34</v>
      </c>
      <c r="AK1016" t="str" cm="1">
        <f t="array" ref="AK1016">_xlfn.IFS(
HR_Data[[#This Row],[MonthlyIncome]]&lt;3000,"&lt;3K",
HR_Data[[#This Row],[MonthlyIncome]]&lt;6000,"3K-6K",
HR_Data[[#This Row],[MonthlyIncome]]&lt;10000,"6K-10K",
TRUE,"10K+"
)</f>
        <v>10K+</v>
      </c>
      <c r="AL1016" t="str" cm="1">
        <f t="array" ref="AL1016">_xlfn.IFS(
HR_Data[[#This Row],[YearsAtCompany]]&lt;2,"&lt;2 Years",
HR_Data[[#This Row],[YearsAtCompany]]&lt;5,"2-4 Years",
HR_Data[[#This Row],[YearsAtCompany]]&lt;10,"5-9 Years",
TRUE,"10+ Years"
)</f>
        <v>2-4 Years</v>
      </c>
      <c r="AM1016" s="1">
        <f>IF(HR_Data[[#This Row],[Attrition]]="Yes",1,0)</f>
        <v>0</v>
      </c>
    </row>
    <row r="1017" spans="1:39" x14ac:dyDescent="0.3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 cm="1">
        <f t="array" ref="AJ1017">_xlfn.IFS(
HR_Data[[#This Row],[Age]]&lt;25,"Under 25",
HR_Data[[#This Row],[Age]]&lt;35,"25-34",
HR_Data[[#This Row],[Age]]&lt;45,"35-44",
HR_Data[[#This Row],[Age]]&lt;55,"45-54",
TRUE,"55+"
)</f>
        <v>25-34</v>
      </c>
      <c r="AK1017" t="str" cm="1">
        <f t="array" ref="AK1017">_xlfn.IFS(
HR_Data[[#This Row],[MonthlyIncome]]&lt;3000,"&lt;3K",
HR_Data[[#This Row],[MonthlyIncome]]&lt;6000,"3K-6K",
HR_Data[[#This Row],[MonthlyIncome]]&lt;10000,"6K-10K",
TRUE,"10K+"
)</f>
        <v>&lt;3K</v>
      </c>
      <c r="AL1017" t="str" cm="1">
        <f t="array" ref="AL1017">_xlfn.IFS(
HR_Data[[#This Row],[YearsAtCompany]]&lt;2,"&lt;2 Years",
HR_Data[[#This Row],[YearsAtCompany]]&lt;5,"2-4 Years",
HR_Data[[#This Row],[YearsAtCompany]]&lt;10,"5-9 Years",
TRUE,"10+ Years"
)</f>
        <v>2-4 Years</v>
      </c>
      <c r="AM1017" s="1">
        <f>IF(HR_Data[[#This Row],[Attrition]]="Yes",1,0)</f>
        <v>0</v>
      </c>
    </row>
    <row r="1018" spans="1:39" x14ac:dyDescent="0.3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 cm="1">
        <f t="array" ref="AJ1018">_xlfn.IFS(
HR_Data[[#This Row],[Age]]&lt;25,"Under 25",
HR_Data[[#This Row],[Age]]&lt;35,"25-34",
HR_Data[[#This Row],[Age]]&lt;45,"35-44",
HR_Data[[#This Row],[Age]]&lt;55,"45-54",
TRUE,"55+"
)</f>
        <v>25-34</v>
      </c>
      <c r="AK1018" t="str" cm="1">
        <f t="array" ref="AK1018">_xlfn.IFS(
HR_Data[[#This Row],[MonthlyIncome]]&lt;3000,"&lt;3K",
HR_Data[[#This Row],[MonthlyIncome]]&lt;6000,"3K-6K",
HR_Data[[#This Row],[MonthlyIncome]]&lt;10000,"6K-10K",
TRUE,"10K+"
)</f>
        <v>&lt;3K</v>
      </c>
      <c r="AL1018" t="str" cm="1">
        <f t="array" ref="AL1018">_xlfn.IFS(
HR_Data[[#This Row],[YearsAtCompany]]&lt;2,"&lt;2 Years",
HR_Data[[#This Row],[YearsAtCompany]]&lt;5,"2-4 Years",
HR_Data[[#This Row],[YearsAtCompany]]&lt;10,"5-9 Years",
TRUE,"10+ Years"
)</f>
        <v>&lt;2 Years</v>
      </c>
      <c r="AM1018" s="1">
        <f>IF(HR_Data[[#This Row],[Attrition]]="Yes",1,0)</f>
        <v>1</v>
      </c>
    </row>
    <row r="1019" spans="1:39" x14ac:dyDescent="0.3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 cm="1">
        <f t="array" ref="AJ1019">_xlfn.IFS(
HR_Data[[#This Row],[Age]]&lt;25,"Under 25",
HR_Data[[#This Row],[Age]]&lt;35,"25-34",
HR_Data[[#This Row],[Age]]&lt;45,"35-44",
HR_Data[[#This Row],[Age]]&lt;55,"45-54",
TRUE,"55+"
)</f>
        <v>25-34</v>
      </c>
      <c r="AK1019" t="str" cm="1">
        <f t="array" ref="AK1019">_xlfn.IFS(
HR_Data[[#This Row],[MonthlyIncome]]&lt;3000,"&lt;3K",
HR_Data[[#This Row],[MonthlyIncome]]&lt;6000,"3K-6K",
HR_Data[[#This Row],[MonthlyIncome]]&lt;10000,"6K-10K",
TRUE,"10K+"
)</f>
        <v>&lt;3K</v>
      </c>
      <c r="AL1019" t="str" cm="1">
        <f t="array" ref="AL1019">_xlfn.IFS(
HR_Data[[#This Row],[YearsAtCompany]]&lt;2,"&lt;2 Years",
HR_Data[[#This Row],[YearsAtCompany]]&lt;5,"2-4 Years",
HR_Data[[#This Row],[YearsAtCompany]]&lt;10,"5-9 Years",
TRUE,"10+ Years"
)</f>
        <v>5-9 Years</v>
      </c>
      <c r="AM1019" s="1">
        <f>IF(HR_Data[[#This Row],[Attrition]]="Yes",1,0)</f>
        <v>0</v>
      </c>
    </row>
    <row r="1020" spans="1:39" x14ac:dyDescent="0.3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 cm="1">
        <f t="array" ref="AJ1020">_xlfn.IFS(
HR_Data[[#This Row],[Age]]&lt;25,"Under 25",
HR_Data[[#This Row],[Age]]&lt;35,"25-34",
HR_Data[[#This Row],[Age]]&lt;45,"35-44",
HR_Data[[#This Row],[Age]]&lt;55,"45-54",
TRUE,"55+"
)</f>
        <v>35-44</v>
      </c>
      <c r="AK1020" t="str" cm="1">
        <f t="array" ref="AK1020">_xlfn.IFS(
HR_Data[[#This Row],[MonthlyIncome]]&lt;3000,"&lt;3K",
HR_Data[[#This Row],[MonthlyIncome]]&lt;6000,"3K-6K",
HR_Data[[#This Row],[MonthlyIncome]]&lt;10000,"6K-10K",
TRUE,"10K+"
)</f>
        <v>3K-6K</v>
      </c>
      <c r="AL1020" t="str" cm="1">
        <f t="array" ref="AL1020">_xlfn.IFS(
HR_Data[[#This Row],[YearsAtCompany]]&lt;2,"&lt;2 Years",
HR_Data[[#This Row],[YearsAtCompany]]&lt;5,"2-4 Years",
HR_Data[[#This Row],[YearsAtCompany]]&lt;10,"5-9 Years",
TRUE,"10+ Years"
)</f>
        <v>10+ Years</v>
      </c>
      <c r="AM1020" s="1">
        <f>IF(HR_Data[[#This Row],[Attrition]]="Yes",1,0)</f>
        <v>0</v>
      </c>
    </row>
    <row r="1021" spans="1:39" x14ac:dyDescent="0.3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 cm="1">
        <f t="array" ref="AJ1021">_xlfn.IFS(
HR_Data[[#This Row],[Age]]&lt;25,"Under 25",
HR_Data[[#This Row],[Age]]&lt;35,"25-34",
HR_Data[[#This Row],[Age]]&lt;45,"35-44",
HR_Data[[#This Row],[Age]]&lt;55,"45-54",
TRUE,"55+"
)</f>
        <v>35-44</v>
      </c>
      <c r="AK1021" t="str" cm="1">
        <f t="array" ref="AK1021">_xlfn.IFS(
HR_Data[[#This Row],[MonthlyIncome]]&lt;3000,"&lt;3K",
HR_Data[[#This Row],[MonthlyIncome]]&lt;6000,"3K-6K",
HR_Data[[#This Row],[MonthlyIncome]]&lt;10000,"6K-10K",
TRUE,"10K+"
)</f>
        <v>3K-6K</v>
      </c>
      <c r="AL1021" t="str" cm="1">
        <f t="array" ref="AL1021">_xlfn.IFS(
HR_Data[[#This Row],[YearsAtCompany]]&lt;2,"&lt;2 Years",
HR_Data[[#This Row],[YearsAtCompany]]&lt;5,"2-4 Years",
HR_Data[[#This Row],[YearsAtCompany]]&lt;10,"5-9 Years",
TRUE,"10+ Years"
)</f>
        <v>2-4 Years</v>
      </c>
      <c r="AM1021" s="1">
        <f>IF(HR_Data[[#This Row],[Attrition]]="Yes",1,0)</f>
        <v>0</v>
      </c>
    </row>
    <row r="1022" spans="1:39" x14ac:dyDescent="0.3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 cm="1">
        <f t="array" ref="AJ1022">_xlfn.IFS(
HR_Data[[#This Row],[Age]]&lt;25,"Under 25",
HR_Data[[#This Row],[Age]]&lt;35,"25-34",
HR_Data[[#This Row],[Age]]&lt;45,"35-44",
HR_Data[[#This Row],[Age]]&lt;55,"45-54",
TRUE,"55+"
)</f>
        <v>45-54</v>
      </c>
      <c r="AK1022" t="str" cm="1">
        <f t="array" ref="AK1022">_xlfn.IFS(
HR_Data[[#This Row],[MonthlyIncome]]&lt;3000,"&lt;3K",
HR_Data[[#This Row],[MonthlyIncome]]&lt;6000,"3K-6K",
HR_Data[[#This Row],[MonthlyIncome]]&lt;10000,"6K-10K",
TRUE,"10K+"
)</f>
        <v>3K-6K</v>
      </c>
      <c r="AL1022" t="str" cm="1">
        <f t="array" ref="AL1022">_xlfn.IFS(
HR_Data[[#This Row],[YearsAtCompany]]&lt;2,"&lt;2 Years",
HR_Data[[#This Row],[YearsAtCompany]]&lt;5,"2-4 Years",
HR_Data[[#This Row],[YearsAtCompany]]&lt;10,"5-9 Years",
TRUE,"10+ Years"
)</f>
        <v>5-9 Years</v>
      </c>
      <c r="AM1022" s="1">
        <f>IF(HR_Data[[#This Row],[Attrition]]="Yes",1,0)</f>
        <v>0</v>
      </c>
    </row>
    <row r="1023" spans="1:39" x14ac:dyDescent="0.3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 cm="1">
        <f t="array" ref="AJ1023">_xlfn.IFS(
HR_Data[[#This Row],[Age]]&lt;25,"Under 25",
HR_Data[[#This Row],[Age]]&lt;35,"25-34",
HR_Data[[#This Row],[Age]]&lt;45,"35-44",
HR_Data[[#This Row],[Age]]&lt;55,"45-54",
TRUE,"55+"
)</f>
        <v>25-34</v>
      </c>
      <c r="AK1023" t="str" cm="1">
        <f t="array" ref="AK1023">_xlfn.IFS(
HR_Data[[#This Row],[MonthlyIncome]]&lt;3000,"&lt;3K",
HR_Data[[#This Row],[MonthlyIncome]]&lt;6000,"3K-6K",
HR_Data[[#This Row],[MonthlyIncome]]&lt;10000,"6K-10K",
TRUE,"10K+"
)</f>
        <v>3K-6K</v>
      </c>
      <c r="AL1023" t="str" cm="1">
        <f t="array" ref="AL1023">_xlfn.IFS(
HR_Data[[#This Row],[YearsAtCompany]]&lt;2,"&lt;2 Years",
HR_Data[[#This Row],[YearsAtCompany]]&lt;5,"2-4 Years",
HR_Data[[#This Row],[YearsAtCompany]]&lt;10,"5-9 Years",
TRUE,"10+ Years"
)</f>
        <v>2-4 Years</v>
      </c>
      <c r="AM1023" s="1">
        <f>IF(HR_Data[[#This Row],[Attrition]]="Yes",1,0)</f>
        <v>1</v>
      </c>
    </row>
    <row r="1024" spans="1:39" x14ac:dyDescent="0.3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 cm="1">
        <f t="array" ref="AJ1024">_xlfn.IFS(
HR_Data[[#This Row],[Age]]&lt;25,"Under 25",
HR_Data[[#This Row],[Age]]&lt;35,"25-34",
HR_Data[[#This Row],[Age]]&lt;45,"35-44",
HR_Data[[#This Row],[Age]]&lt;55,"45-54",
TRUE,"55+"
)</f>
        <v>35-44</v>
      </c>
      <c r="AK1024" t="str" cm="1">
        <f t="array" ref="AK1024">_xlfn.IFS(
HR_Data[[#This Row],[MonthlyIncome]]&lt;3000,"&lt;3K",
HR_Data[[#This Row],[MonthlyIncome]]&lt;6000,"3K-6K",
HR_Data[[#This Row],[MonthlyIncome]]&lt;10000,"6K-10K",
TRUE,"10K+"
)</f>
        <v>3K-6K</v>
      </c>
      <c r="AL1024" t="str" cm="1">
        <f t="array" ref="AL1024">_xlfn.IFS(
HR_Data[[#This Row],[YearsAtCompany]]&lt;2,"&lt;2 Years",
HR_Data[[#This Row],[YearsAtCompany]]&lt;5,"2-4 Years",
HR_Data[[#This Row],[YearsAtCompany]]&lt;10,"5-9 Years",
TRUE,"10+ Years"
)</f>
        <v>5-9 Years</v>
      </c>
      <c r="AM1024" s="1">
        <f>IF(HR_Data[[#This Row],[Attrition]]="Yes",1,0)</f>
        <v>0</v>
      </c>
    </row>
    <row r="1025" spans="1:39" x14ac:dyDescent="0.3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 cm="1">
        <f t="array" ref="AJ1025">_xlfn.IFS(
HR_Data[[#This Row],[Age]]&lt;25,"Under 25",
HR_Data[[#This Row],[Age]]&lt;35,"25-34",
HR_Data[[#This Row],[Age]]&lt;45,"35-44",
HR_Data[[#This Row],[Age]]&lt;55,"45-54",
TRUE,"55+"
)</f>
        <v>55+</v>
      </c>
      <c r="AK1025" t="str" cm="1">
        <f t="array" ref="AK1025">_xlfn.IFS(
HR_Data[[#This Row],[MonthlyIncome]]&lt;3000,"&lt;3K",
HR_Data[[#This Row],[MonthlyIncome]]&lt;6000,"3K-6K",
HR_Data[[#This Row],[MonthlyIncome]]&lt;10000,"6K-10K",
TRUE,"10K+"
)</f>
        <v>&lt;3K</v>
      </c>
      <c r="AL1025" t="str" cm="1">
        <f t="array" ref="AL1025">_xlfn.IFS(
HR_Data[[#This Row],[YearsAtCompany]]&lt;2,"&lt;2 Years",
HR_Data[[#This Row],[YearsAtCompany]]&lt;5,"2-4 Years",
HR_Data[[#This Row],[YearsAtCompany]]&lt;10,"5-9 Years",
TRUE,"10+ Years"
)</f>
        <v>2-4 Years</v>
      </c>
      <c r="AM1025" s="1">
        <f>IF(HR_Data[[#This Row],[Attrition]]="Yes",1,0)</f>
        <v>0</v>
      </c>
    </row>
    <row r="1026" spans="1:39" x14ac:dyDescent="0.3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 cm="1">
        <f t="array" ref="AJ1026">_xlfn.IFS(
HR_Data[[#This Row],[Age]]&lt;25,"Under 25",
HR_Data[[#This Row],[Age]]&lt;35,"25-34",
HR_Data[[#This Row],[Age]]&lt;45,"35-44",
HR_Data[[#This Row],[Age]]&lt;55,"45-54",
TRUE,"55+"
)</f>
        <v>45-54</v>
      </c>
      <c r="AK1026" t="str" cm="1">
        <f t="array" ref="AK1026">_xlfn.IFS(
HR_Data[[#This Row],[MonthlyIncome]]&lt;3000,"&lt;3K",
HR_Data[[#This Row],[MonthlyIncome]]&lt;6000,"3K-6K",
HR_Data[[#This Row],[MonthlyIncome]]&lt;10000,"6K-10K",
TRUE,"10K+"
)</f>
        <v>10K+</v>
      </c>
      <c r="AL1026" t="str" cm="1">
        <f t="array" ref="AL1026">_xlfn.IFS(
HR_Data[[#This Row],[YearsAtCompany]]&lt;2,"&lt;2 Years",
HR_Data[[#This Row],[YearsAtCompany]]&lt;5,"2-4 Years",
HR_Data[[#This Row],[YearsAtCompany]]&lt;10,"5-9 Years",
TRUE,"10+ Years"
)</f>
        <v>10+ Years</v>
      </c>
      <c r="AM1026" s="1">
        <f>IF(HR_Data[[#This Row],[Attrition]]="Yes",1,0)</f>
        <v>0</v>
      </c>
    </row>
    <row r="1027" spans="1:39" x14ac:dyDescent="0.3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 cm="1">
        <f t="array" ref="AJ1027">_xlfn.IFS(
HR_Data[[#This Row],[Age]]&lt;25,"Under 25",
HR_Data[[#This Row],[Age]]&lt;35,"25-34",
HR_Data[[#This Row],[Age]]&lt;45,"35-44",
HR_Data[[#This Row],[Age]]&lt;55,"45-54",
TRUE,"55+"
)</f>
        <v>Under 25</v>
      </c>
      <c r="AK1027" t="str" cm="1">
        <f t="array" ref="AK1027">_xlfn.IFS(
HR_Data[[#This Row],[MonthlyIncome]]&lt;3000,"&lt;3K",
HR_Data[[#This Row],[MonthlyIncome]]&lt;6000,"3K-6K",
HR_Data[[#This Row],[MonthlyIncome]]&lt;10000,"6K-10K",
TRUE,"10K+"
)</f>
        <v>3K-6K</v>
      </c>
      <c r="AL1027" t="str" cm="1">
        <f t="array" ref="AL1027">_xlfn.IFS(
HR_Data[[#This Row],[YearsAtCompany]]&lt;2,"&lt;2 Years",
HR_Data[[#This Row],[YearsAtCompany]]&lt;5,"2-4 Years",
HR_Data[[#This Row],[YearsAtCompany]]&lt;10,"5-9 Years",
TRUE,"10+ Years"
)</f>
        <v>5-9 Years</v>
      </c>
      <c r="AM1027" s="1">
        <f>IF(HR_Data[[#This Row],[Attrition]]="Yes",1,0)</f>
        <v>0</v>
      </c>
    </row>
    <row r="1028" spans="1:39" x14ac:dyDescent="0.3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 cm="1">
        <f t="array" ref="AJ1028">_xlfn.IFS(
HR_Data[[#This Row],[Age]]&lt;25,"Under 25",
HR_Data[[#This Row],[Age]]&lt;35,"25-34",
HR_Data[[#This Row],[Age]]&lt;45,"35-44",
HR_Data[[#This Row],[Age]]&lt;55,"45-54",
TRUE,"55+"
)</f>
        <v>25-34</v>
      </c>
      <c r="AK1028" t="str" cm="1">
        <f t="array" ref="AK1028">_xlfn.IFS(
HR_Data[[#This Row],[MonthlyIncome]]&lt;3000,"&lt;3K",
HR_Data[[#This Row],[MonthlyIncome]]&lt;6000,"3K-6K",
HR_Data[[#This Row],[MonthlyIncome]]&lt;10000,"6K-10K",
TRUE,"10K+"
)</f>
        <v>6K-10K</v>
      </c>
      <c r="AL1028" t="str" cm="1">
        <f t="array" ref="AL1028">_xlfn.IFS(
HR_Data[[#This Row],[YearsAtCompany]]&lt;2,"&lt;2 Years",
HR_Data[[#This Row],[YearsAtCompany]]&lt;5,"2-4 Years",
HR_Data[[#This Row],[YearsAtCompany]]&lt;10,"5-9 Years",
TRUE,"10+ Years"
)</f>
        <v>2-4 Years</v>
      </c>
      <c r="AM1028" s="1">
        <f>IF(HR_Data[[#This Row],[Attrition]]="Yes",1,0)</f>
        <v>0</v>
      </c>
    </row>
    <row r="1029" spans="1:39" x14ac:dyDescent="0.3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 cm="1">
        <f t="array" ref="AJ1029">_xlfn.IFS(
HR_Data[[#This Row],[Age]]&lt;25,"Under 25",
HR_Data[[#This Row],[Age]]&lt;35,"25-34",
HR_Data[[#This Row],[Age]]&lt;45,"35-44",
HR_Data[[#This Row],[Age]]&lt;55,"45-54",
TRUE,"55+"
)</f>
        <v>25-34</v>
      </c>
      <c r="AK1029" t="str" cm="1">
        <f t="array" ref="AK1029">_xlfn.IFS(
HR_Data[[#This Row],[MonthlyIncome]]&lt;3000,"&lt;3K",
HR_Data[[#This Row],[MonthlyIncome]]&lt;6000,"3K-6K",
HR_Data[[#This Row],[MonthlyIncome]]&lt;10000,"6K-10K",
TRUE,"10K+"
)</f>
        <v>3K-6K</v>
      </c>
      <c r="AL1029" t="str" cm="1">
        <f t="array" ref="AL1029">_xlfn.IFS(
HR_Data[[#This Row],[YearsAtCompany]]&lt;2,"&lt;2 Years",
HR_Data[[#This Row],[YearsAtCompany]]&lt;5,"2-4 Years",
HR_Data[[#This Row],[YearsAtCompany]]&lt;10,"5-9 Years",
TRUE,"10+ Years"
)</f>
        <v>5-9 Years</v>
      </c>
      <c r="AM1029" s="1">
        <f>IF(HR_Data[[#This Row],[Attrition]]="Yes",1,0)</f>
        <v>0</v>
      </c>
    </row>
    <row r="1030" spans="1:39" x14ac:dyDescent="0.3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 cm="1">
        <f t="array" ref="AJ1030">_xlfn.IFS(
HR_Data[[#This Row],[Age]]&lt;25,"Under 25",
HR_Data[[#This Row],[Age]]&lt;35,"25-34",
HR_Data[[#This Row],[Age]]&lt;45,"35-44",
HR_Data[[#This Row],[Age]]&lt;55,"45-54",
TRUE,"55+"
)</f>
        <v>35-44</v>
      </c>
      <c r="AK1030" t="str" cm="1">
        <f t="array" ref="AK1030">_xlfn.IFS(
HR_Data[[#This Row],[MonthlyIncome]]&lt;3000,"&lt;3K",
HR_Data[[#This Row],[MonthlyIncome]]&lt;6000,"3K-6K",
HR_Data[[#This Row],[MonthlyIncome]]&lt;10000,"6K-10K",
TRUE,"10K+"
)</f>
        <v>&lt;3K</v>
      </c>
      <c r="AL1030" t="str" cm="1">
        <f t="array" ref="AL1030">_xlfn.IFS(
HR_Data[[#This Row],[YearsAtCompany]]&lt;2,"&lt;2 Years",
HR_Data[[#This Row],[YearsAtCompany]]&lt;5,"2-4 Years",
HR_Data[[#This Row],[YearsAtCompany]]&lt;10,"5-9 Years",
TRUE,"10+ Years"
)</f>
        <v>2-4 Years</v>
      </c>
      <c r="AM1030" s="1">
        <f>IF(HR_Data[[#This Row],[Attrition]]="Yes",1,0)</f>
        <v>0</v>
      </c>
    </row>
    <row r="1031" spans="1:39" x14ac:dyDescent="0.3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 cm="1">
        <f t="array" ref="AJ1031">_xlfn.IFS(
HR_Data[[#This Row],[Age]]&lt;25,"Under 25",
HR_Data[[#This Row],[Age]]&lt;35,"25-34",
HR_Data[[#This Row],[Age]]&lt;45,"35-44",
HR_Data[[#This Row],[Age]]&lt;55,"45-54",
TRUE,"55+"
)</f>
        <v>35-44</v>
      </c>
      <c r="AK1031" t="str" cm="1">
        <f t="array" ref="AK1031">_xlfn.IFS(
HR_Data[[#This Row],[MonthlyIncome]]&lt;3000,"&lt;3K",
HR_Data[[#This Row],[MonthlyIncome]]&lt;6000,"3K-6K",
HR_Data[[#This Row],[MonthlyIncome]]&lt;10000,"6K-10K",
TRUE,"10K+"
)</f>
        <v>3K-6K</v>
      </c>
      <c r="AL1031" t="str" cm="1">
        <f t="array" ref="AL1031">_xlfn.IFS(
HR_Data[[#This Row],[YearsAtCompany]]&lt;2,"&lt;2 Years",
HR_Data[[#This Row],[YearsAtCompany]]&lt;5,"2-4 Years",
HR_Data[[#This Row],[YearsAtCompany]]&lt;10,"5-9 Years",
TRUE,"10+ Years"
)</f>
        <v>5-9 Years</v>
      </c>
      <c r="AM1031" s="1">
        <f>IF(HR_Data[[#This Row],[Attrition]]="Yes",1,0)</f>
        <v>0</v>
      </c>
    </row>
    <row r="1032" spans="1:39" x14ac:dyDescent="0.3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 cm="1">
        <f t="array" ref="AJ1032">_xlfn.IFS(
HR_Data[[#This Row],[Age]]&lt;25,"Under 25",
HR_Data[[#This Row],[Age]]&lt;35,"25-34",
HR_Data[[#This Row],[Age]]&lt;45,"35-44",
HR_Data[[#This Row],[Age]]&lt;55,"45-54",
TRUE,"55+"
)</f>
        <v>25-34</v>
      </c>
      <c r="AK1032" t="str" cm="1">
        <f t="array" ref="AK1032">_xlfn.IFS(
HR_Data[[#This Row],[MonthlyIncome]]&lt;3000,"&lt;3K",
HR_Data[[#This Row],[MonthlyIncome]]&lt;6000,"3K-6K",
HR_Data[[#This Row],[MonthlyIncome]]&lt;10000,"6K-10K",
TRUE,"10K+"
)</f>
        <v>10K+</v>
      </c>
      <c r="AL1032" t="str" cm="1">
        <f t="array" ref="AL1032">_xlfn.IFS(
HR_Data[[#This Row],[YearsAtCompany]]&lt;2,"&lt;2 Years",
HR_Data[[#This Row],[YearsAtCompany]]&lt;5,"2-4 Years",
HR_Data[[#This Row],[YearsAtCompany]]&lt;10,"5-9 Years",
TRUE,"10+ Years"
)</f>
        <v>10+ Years</v>
      </c>
      <c r="AM1032" s="1">
        <f>IF(HR_Data[[#This Row],[Attrition]]="Yes",1,0)</f>
        <v>0</v>
      </c>
    </row>
    <row r="1033" spans="1:39" x14ac:dyDescent="0.3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 cm="1">
        <f t="array" ref="AJ1033">_xlfn.IFS(
HR_Data[[#This Row],[Age]]&lt;25,"Under 25",
HR_Data[[#This Row],[Age]]&lt;35,"25-34",
HR_Data[[#This Row],[Age]]&lt;45,"35-44",
HR_Data[[#This Row],[Age]]&lt;55,"45-54",
TRUE,"55+"
)</f>
        <v>45-54</v>
      </c>
      <c r="AK1033" t="str" cm="1">
        <f t="array" ref="AK1033">_xlfn.IFS(
HR_Data[[#This Row],[MonthlyIncome]]&lt;3000,"&lt;3K",
HR_Data[[#This Row],[MonthlyIncome]]&lt;6000,"3K-6K",
HR_Data[[#This Row],[MonthlyIncome]]&lt;10000,"6K-10K",
TRUE,"10K+"
)</f>
        <v>10K+</v>
      </c>
      <c r="AL1033" t="str" cm="1">
        <f t="array" ref="AL1033">_xlfn.IFS(
HR_Data[[#This Row],[YearsAtCompany]]&lt;2,"&lt;2 Years",
HR_Data[[#This Row],[YearsAtCompany]]&lt;5,"2-4 Years",
HR_Data[[#This Row],[YearsAtCompany]]&lt;10,"5-9 Years",
TRUE,"10+ Years"
)</f>
        <v>5-9 Years</v>
      </c>
      <c r="AM1033" s="1">
        <f>IF(HR_Data[[#This Row],[Attrition]]="Yes",1,0)</f>
        <v>1</v>
      </c>
    </row>
    <row r="1034" spans="1:39" x14ac:dyDescent="0.3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 cm="1">
        <f t="array" ref="AJ1034">_xlfn.IFS(
HR_Data[[#This Row],[Age]]&lt;25,"Under 25",
HR_Data[[#This Row],[Age]]&lt;35,"25-34",
HR_Data[[#This Row],[Age]]&lt;45,"35-44",
HR_Data[[#This Row],[Age]]&lt;55,"45-54",
TRUE,"55+"
)</f>
        <v>35-44</v>
      </c>
      <c r="AK1034" t="str" cm="1">
        <f t="array" ref="AK1034">_xlfn.IFS(
HR_Data[[#This Row],[MonthlyIncome]]&lt;3000,"&lt;3K",
HR_Data[[#This Row],[MonthlyIncome]]&lt;6000,"3K-6K",
HR_Data[[#This Row],[MonthlyIncome]]&lt;10000,"6K-10K",
TRUE,"10K+"
)</f>
        <v>3K-6K</v>
      </c>
      <c r="AL1034" t="str" cm="1">
        <f t="array" ref="AL1034">_xlfn.IFS(
HR_Data[[#This Row],[YearsAtCompany]]&lt;2,"&lt;2 Years",
HR_Data[[#This Row],[YearsAtCompany]]&lt;5,"2-4 Years",
HR_Data[[#This Row],[YearsAtCompany]]&lt;10,"5-9 Years",
TRUE,"10+ Years"
)</f>
        <v>&lt;2 Years</v>
      </c>
      <c r="AM1034" s="1">
        <f>IF(HR_Data[[#This Row],[Attrition]]="Yes",1,0)</f>
        <v>1</v>
      </c>
    </row>
    <row r="1035" spans="1:39" x14ac:dyDescent="0.3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 cm="1">
        <f t="array" ref="AJ1035">_xlfn.IFS(
HR_Data[[#This Row],[Age]]&lt;25,"Under 25",
HR_Data[[#This Row],[Age]]&lt;35,"25-34",
HR_Data[[#This Row],[Age]]&lt;45,"35-44",
HR_Data[[#This Row],[Age]]&lt;55,"45-54",
TRUE,"55+"
)</f>
        <v>25-34</v>
      </c>
      <c r="AK1035" t="str" cm="1">
        <f t="array" ref="AK1035">_xlfn.IFS(
HR_Data[[#This Row],[MonthlyIncome]]&lt;3000,"&lt;3K",
HR_Data[[#This Row],[MonthlyIncome]]&lt;6000,"3K-6K",
HR_Data[[#This Row],[MonthlyIncome]]&lt;10000,"6K-10K",
TRUE,"10K+"
)</f>
        <v>6K-10K</v>
      </c>
      <c r="AL1035" t="str" cm="1">
        <f t="array" ref="AL1035">_xlfn.IFS(
HR_Data[[#This Row],[YearsAtCompany]]&lt;2,"&lt;2 Years",
HR_Data[[#This Row],[YearsAtCompany]]&lt;5,"2-4 Years",
HR_Data[[#This Row],[YearsAtCompany]]&lt;10,"5-9 Years",
TRUE,"10+ Years"
)</f>
        <v>10+ Years</v>
      </c>
      <c r="AM1035" s="1">
        <f>IF(HR_Data[[#This Row],[Attrition]]="Yes",1,0)</f>
        <v>1</v>
      </c>
    </row>
    <row r="1036" spans="1:39" x14ac:dyDescent="0.3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 cm="1">
        <f t="array" ref="AJ1036">_xlfn.IFS(
HR_Data[[#This Row],[Age]]&lt;25,"Under 25",
HR_Data[[#This Row],[Age]]&lt;35,"25-34",
HR_Data[[#This Row],[Age]]&lt;45,"35-44",
HR_Data[[#This Row],[Age]]&lt;55,"45-54",
TRUE,"55+"
)</f>
        <v>45-54</v>
      </c>
      <c r="AK1036" t="str" cm="1">
        <f t="array" ref="AK1036">_xlfn.IFS(
HR_Data[[#This Row],[MonthlyIncome]]&lt;3000,"&lt;3K",
HR_Data[[#This Row],[MonthlyIncome]]&lt;6000,"3K-6K",
HR_Data[[#This Row],[MonthlyIncome]]&lt;10000,"6K-10K",
TRUE,"10K+"
)</f>
        <v>10K+</v>
      </c>
      <c r="AL1036" t="str" cm="1">
        <f t="array" ref="AL1036">_xlfn.IFS(
HR_Data[[#This Row],[YearsAtCompany]]&lt;2,"&lt;2 Years",
HR_Data[[#This Row],[YearsAtCompany]]&lt;5,"2-4 Years",
HR_Data[[#This Row],[YearsAtCompany]]&lt;10,"5-9 Years",
TRUE,"10+ Years"
)</f>
        <v>5-9 Years</v>
      </c>
      <c r="AM1036" s="1">
        <f>IF(HR_Data[[#This Row],[Attrition]]="Yes",1,0)</f>
        <v>0</v>
      </c>
    </row>
    <row r="1037" spans="1:39" x14ac:dyDescent="0.3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 cm="1">
        <f t="array" ref="AJ1037">_xlfn.IFS(
HR_Data[[#This Row],[Age]]&lt;25,"Under 25",
HR_Data[[#This Row],[Age]]&lt;35,"25-34",
HR_Data[[#This Row],[Age]]&lt;45,"35-44",
HR_Data[[#This Row],[Age]]&lt;55,"45-54",
TRUE,"55+"
)</f>
        <v>25-34</v>
      </c>
      <c r="AK1037" t="str" cm="1">
        <f t="array" ref="AK1037">_xlfn.IFS(
HR_Data[[#This Row],[MonthlyIncome]]&lt;3000,"&lt;3K",
HR_Data[[#This Row],[MonthlyIncome]]&lt;6000,"3K-6K",
HR_Data[[#This Row],[MonthlyIncome]]&lt;10000,"6K-10K",
TRUE,"10K+"
)</f>
        <v>&lt;3K</v>
      </c>
      <c r="AL1037" t="str" cm="1">
        <f t="array" ref="AL1037">_xlfn.IFS(
HR_Data[[#This Row],[YearsAtCompany]]&lt;2,"&lt;2 Years",
HR_Data[[#This Row],[YearsAtCompany]]&lt;5,"2-4 Years",
HR_Data[[#This Row],[YearsAtCompany]]&lt;10,"5-9 Years",
TRUE,"10+ Years"
)</f>
        <v>2-4 Years</v>
      </c>
      <c r="AM1037" s="1">
        <f>IF(HR_Data[[#This Row],[Attrition]]="Yes",1,0)</f>
        <v>0</v>
      </c>
    </row>
    <row r="1038" spans="1:39" x14ac:dyDescent="0.3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 cm="1">
        <f t="array" ref="AJ1038">_xlfn.IFS(
HR_Data[[#This Row],[Age]]&lt;25,"Under 25",
HR_Data[[#This Row],[Age]]&lt;35,"25-34",
HR_Data[[#This Row],[Age]]&lt;45,"35-44",
HR_Data[[#This Row],[Age]]&lt;55,"45-54",
TRUE,"55+"
)</f>
        <v>25-34</v>
      </c>
      <c r="AK1038" t="str" cm="1">
        <f t="array" ref="AK1038">_xlfn.IFS(
HR_Data[[#This Row],[MonthlyIncome]]&lt;3000,"&lt;3K",
HR_Data[[#This Row],[MonthlyIncome]]&lt;6000,"3K-6K",
HR_Data[[#This Row],[MonthlyIncome]]&lt;10000,"6K-10K",
TRUE,"10K+"
)</f>
        <v>3K-6K</v>
      </c>
      <c r="AL1038" t="str" cm="1">
        <f t="array" ref="AL1038">_xlfn.IFS(
HR_Data[[#This Row],[YearsAtCompany]]&lt;2,"&lt;2 Years",
HR_Data[[#This Row],[YearsAtCompany]]&lt;5,"2-4 Years",
HR_Data[[#This Row],[YearsAtCompany]]&lt;10,"5-9 Years",
TRUE,"10+ Years"
)</f>
        <v>2-4 Years</v>
      </c>
      <c r="AM1038" s="1">
        <f>IF(HR_Data[[#This Row],[Attrition]]="Yes",1,0)</f>
        <v>1</v>
      </c>
    </row>
    <row r="1039" spans="1:39" x14ac:dyDescent="0.3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 cm="1">
        <f t="array" ref="AJ1039">_xlfn.IFS(
HR_Data[[#This Row],[Age]]&lt;25,"Under 25",
HR_Data[[#This Row],[Age]]&lt;35,"25-34",
HR_Data[[#This Row],[Age]]&lt;45,"35-44",
HR_Data[[#This Row],[Age]]&lt;55,"45-54",
TRUE,"55+"
)</f>
        <v>45-54</v>
      </c>
      <c r="AK1039" t="str" cm="1">
        <f t="array" ref="AK1039">_xlfn.IFS(
HR_Data[[#This Row],[MonthlyIncome]]&lt;3000,"&lt;3K",
HR_Data[[#This Row],[MonthlyIncome]]&lt;6000,"3K-6K",
HR_Data[[#This Row],[MonthlyIncome]]&lt;10000,"6K-10K",
TRUE,"10K+"
)</f>
        <v>6K-10K</v>
      </c>
      <c r="AL1039" t="str" cm="1">
        <f t="array" ref="AL1039">_xlfn.IFS(
HR_Data[[#This Row],[YearsAtCompany]]&lt;2,"&lt;2 Years",
HR_Data[[#This Row],[YearsAtCompany]]&lt;5,"2-4 Years",
HR_Data[[#This Row],[YearsAtCompany]]&lt;10,"5-9 Years",
TRUE,"10+ Years"
)</f>
        <v>2-4 Years</v>
      </c>
      <c r="AM1039" s="1">
        <f>IF(HR_Data[[#This Row],[Attrition]]="Yes",1,0)</f>
        <v>0</v>
      </c>
    </row>
    <row r="1040" spans="1:39" x14ac:dyDescent="0.3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 cm="1">
        <f t="array" ref="AJ1040">_xlfn.IFS(
HR_Data[[#This Row],[Age]]&lt;25,"Under 25",
HR_Data[[#This Row],[Age]]&lt;35,"25-34",
HR_Data[[#This Row],[Age]]&lt;45,"35-44",
HR_Data[[#This Row],[Age]]&lt;55,"45-54",
TRUE,"55+"
)</f>
        <v>45-54</v>
      </c>
      <c r="AK1040" t="str" cm="1">
        <f t="array" ref="AK1040">_xlfn.IFS(
HR_Data[[#This Row],[MonthlyIncome]]&lt;3000,"&lt;3K",
HR_Data[[#This Row],[MonthlyIncome]]&lt;6000,"3K-6K",
HR_Data[[#This Row],[MonthlyIncome]]&lt;10000,"6K-10K",
TRUE,"10K+"
)</f>
        <v>3K-6K</v>
      </c>
      <c r="AL1040" t="str" cm="1">
        <f t="array" ref="AL1040">_xlfn.IFS(
HR_Data[[#This Row],[YearsAtCompany]]&lt;2,"&lt;2 Years",
HR_Data[[#This Row],[YearsAtCompany]]&lt;5,"2-4 Years",
HR_Data[[#This Row],[YearsAtCompany]]&lt;10,"5-9 Years",
TRUE,"10+ Years"
)</f>
        <v>2-4 Years</v>
      </c>
      <c r="AM1040" s="1">
        <f>IF(HR_Data[[#This Row],[Attrition]]="Yes",1,0)</f>
        <v>0</v>
      </c>
    </row>
    <row r="1041" spans="1:39" x14ac:dyDescent="0.3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 cm="1">
        <f t="array" ref="AJ1041">_xlfn.IFS(
HR_Data[[#This Row],[Age]]&lt;25,"Under 25",
HR_Data[[#This Row],[Age]]&lt;35,"25-34",
HR_Data[[#This Row],[Age]]&lt;45,"35-44",
HR_Data[[#This Row],[Age]]&lt;55,"45-54",
TRUE,"55+"
)</f>
        <v>25-34</v>
      </c>
      <c r="AK1041" t="str" cm="1">
        <f t="array" ref="AK1041">_xlfn.IFS(
HR_Data[[#This Row],[MonthlyIncome]]&lt;3000,"&lt;3K",
HR_Data[[#This Row],[MonthlyIncome]]&lt;6000,"3K-6K",
HR_Data[[#This Row],[MonthlyIncome]]&lt;10000,"6K-10K",
TRUE,"10K+"
)</f>
        <v>&lt;3K</v>
      </c>
      <c r="AL1041" t="str" cm="1">
        <f t="array" ref="AL1041">_xlfn.IFS(
HR_Data[[#This Row],[YearsAtCompany]]&lt;2,"&lt;2 Years",
HR_Data[[#This Row],[YearsAtCompany]]&lt;5,"2-4 Years",
HR_Data[[#This Row],[YearsAtCompany]]&lt;10,"5-9 Years",
TRUE,"10+ Years"
)</f>
        <v>2-4 Years</v>
      </c>
      <c r="AM1041" s="1">
        <f>IF(HR_Data[[#This Row],[Attrition]]="Yes",1,0)</f>
        <v>1</v>
      </c>
    </row>
    <row r="1042" spans="1:39" x14ac:dyDescent="0.3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 cm="1">
        <f t="array" ref="AJ1042">_xlfn.IFS(
HR_Data[[#This Row],[Age]]&lt;25,"Under 25",
HR_Data[[#This Row],[Age]]&lt;35,"25-34",
HR_Data[[#This Row],[Age]]&lt;45,"35-44",
HR_Data[[#This Row],[Age]]&lt;55,"45-54",
TRUE,"55+"
)</f>
        <v>35-44</v>
      </c>
      <c r="AK1042" t="str" cm="1">
        <f t="array" ref="AK1042">_xlfn.IFS(
HR_Data[[#This Row],[MonthlyIncome]]&lt;3000,"&lt;3K",
HR_Data[[#This Row],[MonthlyIncome]]&lt;6000,"3K-6K",
HR_Data[[#This Row],[MonthlyIncome]]&lt;10000,"6K-10K",
TRUE,"10K+"
)</f>
        <v>10K+</v>
      </c>
      <c r="AL1042" t="str" cm="1">
        <f t="array" ref="AL1042">_xlfn.IFS(
HR_Data[[#This Row],[YearsAtCompany]]&lt;2,"&lt;2 Years",
HR_Data[[#This Row],[YearsAtCompany]]&lt;5,"2-4 Years",
HR_Data[[#This Row],[YearsAtCompany]]&lt;10,"5-9 Years",
TRUE,"10+ Years"
)</f>
        <v>5-9 Years</v>
      </c>
      <c r="AM1042" s="1">
        <f>IF(HR_Data[[#This Row],[Attrition]]="Yes",1,0)</f>
        <v>0</v>
      </c>
    </row>
    <row r="1043" spans="1:39" x14ac:dyDescent="0.3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 cm="1">
        <f t="array" ref="AJ1043">_xlfn.IFS(
HR_Data[[#This Row],[Age]]&lt;25,"Under 25",
HR_Data[[#This Row],[Age]]&lt;35,"25-34",
HR_Data[[#This Row],[Age]]&lt;45,"35-44",
HR_Data[[#This Row],[Age]]&lt;55,"45-54",
TRUE,"55+"
)</f>
        <v>25-34</v>
      </c>
      <c r="AK1043" t="str" cm="1">
        <f t="array" ref="AK1043">_xlfn.IFS(
HR_Data[[#This Row],[MonthlyIncome]]&lt;3000,"&lt;3K",
HR_Data[[#This Row],[MonthlyIncome]]&lt;6000,"3K-6K",
HR_Data[[#This Row],[MonthlyIncome]]&lt;10000,"6K-10K",
TRUE,"10K+"
)</f>
        <v>6K-10K</v>
      </c>
      <c r="AL1043" t="str" cm="1">
        <f t="array" ref="AL1043">_xlfn.IFS(
HR_Data[[#This Row],[YearsAtCompany]]&lt;2,"&lt;2 Years",
HR_Data[[#This Row],[YearsAtCompany]]&lt;5,"2-4 Years",
HR_Data[[#This Row],[YearsAtCompany]]&lt;10,"5-9 Years",
TRUE,"10+ Years"
)</f>
        <v>5-9 Years</v>
      </c>
      <c r="AM1043" s="1">
        <f>IF(HR_Data[[#This Row],[Attrition]]="Yes",1,0)</f>
        <v>0</v>
      </c>
    </row>
    <row r="1044" spans="1:39" x14ac:dyDescent="0.3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 cm="1">
        <f t="array" ref="AJ1044">_xlfn.IFS(
HR_Data[[#This Row],[Age]]&lt;25,"Under 25",
HR_Data[[#This Row],[Age]]&lt;35,"25-34",
HR_Data[[#This Row],[Age]]&lt;45,"35-44",
HR_Data[[#This Row],[Age]]&lt;55,"45-54",
TRUE,"55+"
)</f>
        <v>35-44</v>
      </c>
      <c r="AK1044" t="str" cm="1">
        <f t="array" ref="AK1044">_xlfn.IFS(
HR_Data[[#This Row],[MonthlyIncome]]&lt;3000,"&lt;3K",
HR_Data[[#This Row],[MonthlyIncome]]&lt;6000,"3K-6K",
HR_Data[[#This Row],[MonthlyIncome]]&lt;10000,"6K-10K",
TRUE,"10K+"
)</f>
        <v>3K-6K</v>
      </c>
      <c r="AL1044" t="str" cm="1">
        <f t="array" ref="AL1044">_xlfn.IFS(
HR_Data[[#This Row],[YearsAtCompany]]&lt;2,"&lt;2 Years",
HR_Data[[#This Row],[YearsAtCompany]]&lt;5,"2-4 Years",
HR_Data[[#This Row],[YearsAtCompany]]&lt;10,"5-9 Years",
TRUE,"10+ Years"
)</f>
        <v>5-9 Years</v>
      </c>
      <c r="AM1044" s="1">
        <f>IF(HR_Data[[#This Row],[Attrition]]="Yes",1,0)</f>
        <v>0</v>
      </c>
    </row>
    <row r="1045" spans="1:39" x14ac:dyDescent="0.3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 cm="1">
        <f t="array" ref="AJ1045">_xlfn.IFS(
HR_Data[[#This Row],[Age]]&lt;25,"Under 25",
HR_Data[[#This Row],[Age]]&lt;35,"25-34",
HR_Data[[#This Row],[Age]]&lt;45,"35-44",
HR_Data[[#This Row],[Age]]&lt;55,"45-54",
TRUE,"55+"
)</f>
        <v>45-54</v>
      </c>
      <c r="AK1045" t="str" cm="1">
        <f t="array" ref="AK1045">_xlfn.IFS(
HR_Data[[#This Row],[MonthlyIncome]]&lt;3000,"&lt;3K",
HR_Data[[#This Row],[MonthlyIncome]]&lt;6000,"3K-6K",
HR_Data[[#This Row],[MonthlyIncome]]&lt;10000,"6K-10K",
TRUE,"10K+"
)</f>
        <v>10K+</v>
      </c>
      <c r="AL1045" t="str" cm="1">
        <f t="array" ref="AL1045">_xlfn.IFS(
HR_Data[[#This Row],[YearsAtCompany]]&lt;2,"&lt;2 Years",
HR_Data[[#This Row],[YearsAtCompany]]&lt;5,"2-4 Years",
HR_Data[[#This Row],[YearsAtCompany]]&lt;10,"5-9 Years",
TRUE,"10+ Years"
)</f>
        <v>5-9 Years</v>
      </c>
      <c r="AM1045" s="1">
        <f>IF(HR_Data[[#This Row],[Attrition]]="Yes",1,0)</f>
        <v>0</v>
      </c>
    </row>
    <row r="1046" spans="1:39" x14ac:dyDescent="0.3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 cm="1">
        <f t="array" ref="AJ1046">_xlfn.IFS(
HR_Data[[#This Row],[Age]]&lt;25,"Under 25",
HR_Data[[#This Row],[Age]]&lt;35,"25-34",
HR_Data[[#This Row],[Age]]&lt;45,"35-44",
HR_Data[[#This Row],[Age]]&lt;55,"45-54",
TRUE,"55+"
)</f>
        <v>45-54</v>
      </c>
      <c r="AK1046" t="str" cm="1">
        <f t="array" ref="AK1046">_xlfn.IFS(
HR_Data[[#This Row],[MonthlyIncome]]&lt;3000,"&lt;3K",
HR_Data[[#This Row],[MonthlyIncome]]&lt;6000,"3K-6K",
HR_Data[[#This Row],[MonthlyIncome]]&lt;10000,"6K-10K",
TRUE,"10K+"
)</f>
        <v>6K-10K</v>
      </c>
      <c r="AL1046" t="str" cm="1">
        <f t="array" ref="AL1046">_xlfn.IFS(
HR_Data[[#This Row],[YearsAtCompany]]&lt;2,"&lt;2 Years",
HR_Data[[#This Row],[YearsAtCompany]]&lt;5,"2-4 Years",
HR_Data[[#This Row],[YearsAtCompany]]&lt;10,"5-9 Years",
TRUE,"10+ Years"
)</f>
        <v>2-4 Years</v>
      </c>
      <c r="AM1046" s="1">
        <f>IF(HR_Data[[#This Row],[Attrition]]="Yes",1,0)</f>
        <v>0</v>
      </c>
    </row>
    <row r="1047" spans="1:39" x14ac:dyDescent="0.3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 cm="1">
        <f t="array" ref="AJ1047">_xlfn.IFS(
HR_Data[[#This Row],[Age]]&lt;25,"Under 25",
HR_Data[[#This Row],[Age]]&lt;35,"25-34",
HR_Data[[#This Row],[Age]]&lt;45,"35-44",
HR_Data[[#This Row],[Age]]&lt;55,"45-54",
TRUE,"55+"
)</f>
        <v>35-44</v>
      </c>
      <c r="AK1047" t="str" cm="1">
        <f t="array" ref="AK1047">_xlfn.IFS(
HR_Data[[#This Row],[MonthlyIncome]]&lt;3000,"&lt;3K",
HR_Data[[#This Row],[MonthlyIncome]]&lt;6000,"3K-6K",
HR_Data[[#This Row],[MonthlyIncome]]&lt;10000,"6K-10K",
TRUE,"10K+"
)</f>
        <v>&lt;3K</v>
      </c>
      <c r="AL1047" t="str" cm="1">
        <f t="array" ref="AL1047">_xlfn.IFS(
HR_Data[[#This Row],[YearsAtCompany]]&lt;2,"&lt;2 Years",
HR_Data[[#This Row],[YearsAtCompany]]&lt;5,"2-4 Years",
HR_Data[[#This Row],[YearsAtCompany]]&lt;10,"5-9 Years",
TRUE,"10+ Years"
)</f>
        <v>2-4 Years</v>
      </c>
      <c r="AM1047" s="1">
        <f>IF(HR_Data[[#This Row],[Attrition]]="Yes",1,0)</f>
        <v>0</v>
      </c>
    </row>
    <row r="1048" spans="1:39" x14ac:dyDescent="0.3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 cm="1">
        <f t="array" ref="AJ1048">_xlfn.IFS(
HR_Data[[#This Row],[Age]]&lt;25,"Under 25",
HR_Data[[#This Row],[Age]]&lt;35,"25-34",
HR_Data[[#This Row],[Age]]&lt;45,"35-44",
HR_Data[[#This Row],[Age]]&lt;55,"45-54",
TRUE,"55+"
)</f>
        <v>35-44</v>
      </c>
      <c r="AK1048" t="str" cm="1">
        <f t="array" ref="AK1048">_xlfn.IFS(
HR_Data[[#This Row],[MonthlyIncome]]&lt;3000,"&lt;3K",
HR_Data[[#This Row],[MonthlyIncome]]&lt;6000,"3K-6K",
HR_Data[[#This Row],[MonthlyIncome]]&lt;10000,"6K-10K",
TRUE,"10K+"
)</f>
        <v>3K-6K</v>
      </c>
      <c r="AL1048" t="str" cm="1">
        <f t="array" ref="AL1048">_xlfn.IFS(
HR_Data[[#This Row],[YearsAtCompany]]&lt;2,"&lt;2 Years",
HR_Data[[#This Row],[YearsAtCompany]]&lt;5,"2-4 Years",
HR_Data[[#This Row],[YearsAtCompany]]&lt;10,"5-9 Years",
TRUE,"10+ Years"
)</f>
        <v>5-9 Years</v>
      </c>
      <c r="AM1048" s="1">
        <f>IF(HR_Data[[#This Row],[Attrition]]="Yes",1,0)</f>
        <v>0</v>
      </c>
    </row>
    <row r="1049" spans="1:39" x14ac:dyDescent="0.3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 cm="1">
        <f t="array" ref="AJ1049">_xlfn.IFS(
HR_Data[[#This Row],[Age]]&lt;25,"Under 25",
HR_Data[[#This Row],[Age]]&lt;35,"25-34",
HR_Data[[#This Row],[Age]]&lt;45,"35-44",
HR_Data[[#This Row],[Age]]&lt;55,"45-54",
TRUE,"55+"
)</f>
        <v>25-34</v>
      </c>
      <c r="AK1049" t="str" cm="1">
        <f t="array" ref="AK1049">_xlfn.IFS(
HR_Data[[#This Row],[MonthlyIncome]]&lt;3000,"&lt;3K",
HR_Data[[#This Row],[MonthlyIncome]]&lt;6000,"3K-6K",
HR_Data[[#This Row],[MonthlyIncome]]&lt;10000,"6K-10K",
TRUE,"10K+"
)</f>
        <v>3K-6K</v>
      </c>
      <c r="AL1049" t="str" cm="1">
        <f t="array" ref="AL1049">_xlfn.IFS(
HR_Data[[#This Row],[YearsAtCompany]]&lt;2,"&lt;2 Years",
HR_Data[[#This Row],[YearsAtCompany]]&lt;5,"2-4 Years",
HR_Data[[#This Row],[YearsAtCompany]]&lt;10,"5-9 Years",
TRUE,"10+ Years"
)</f>
        <v>2-4 Years</v>
      </c>
      <c r="AM1049" s="1">
        <f>IF(HR_Data[[#This Row],[Attrition]]="Yes",1,0)</f>
        <v>0</v>
      </c>
    </row>
    <row r="1050" spans="1:39" x14ac:dyDescent="0.3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 cm="1">
        <f t="array" ref="AJ1050">_xlfn.IFS(
HR_Data[[#This Row],[Age]]&lt;25,"Under 25",
HR_Data[[#This Row],[Age]]&lt;35,"25-34",
HR_Data[[#This Row],[Age]]&lt;45,"35-44",
HR_Data[[#This Row],[Age]]&lt;55,"45-54",
TRUE,"55+"
)</f>
        <v>25-34</v>
      </c>
      <c r="AK1050" t="str" cm="1">
        <f t="array" ref="AK1050">_xlfn.IFS(
HR_Data[[#This Row],[MonthlyIncome]]&lt;3000,"&lt;3K",
HR_Data[[#This Row],[MonthlyIncome]]&lt;6000,"3K-6K",
HR_Data[[#This Row],[MonthlyIncome]]&lt;10000,"6K-10K",
TRUE,"10K+"
)</f>
        <v>3K-6K</v>
      </c>
      <c r="AL1050" t="str" cm="1">
        <f t="array" ref="AL1050">_xlfn.IFS(
HR_Data[[#This Row],[YearsAtCompany]]&lt;2,"&lt;2 Years",
HR_Data[[#This Row],[YearsAtCompany]]&lt;5,"2-4 Years",
HR_Data[[#This Row],[YearsAtCompany]]&lt;10,"5-9 Years",
TRUE,"10+ Years"
)</f>
        <v>10+ Years</v>
      </c>
      <c r="AM1050" s="1">
        <f>IF(HR_Data[[#This Row],[Attrition]]="Yes",1,0)</f>
        <v>0</v>
      </c>
    </row>
    <row r="1051" spans="1:39" x14ac:dyDescent="0.3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 cm="1">
        <f t="array" ref="AJ1051">_xlfn.IFS(
HR_Data[[#This Row],[Age]]&lt;25,"Under 25",
HR_Data[[#This Row],[Age]]&lt;35,"25-34",
HR_Data[[#This Row],[Age]]&lt;45,"35-44",
HR_Data[[#This Row],[Age]]&lt;55,"45-54",
TRUE,"55+"
)</f>
        <v>25-34</v>
      </c>
      <c r="AK1051" t="str" cm="1">
        <f t="array" ref="AK1051">_xlfn.IFS(
HR_Data[[#This Row],[MonthlyIncome]]&lt;3000,"&lt;3K",
HR_Data[[#This Row],[MonthlyIncome]]&lt;6000,"3K-6K",
HR_Data[[#This Row],[MonthlyIncome]]&lt;10000,"6K-10K",
TRUE,"10K+"
)</f>
        <v>3K-6K</v>
      </c>
      <c r="AL1051" t="str" cm="1">
        <f t="array" ref="AL1051">_xlfn.IFS(
HR_Data[[#This Row],[YearsAtCompany]]&lt;2,"&lt;2 Years",
HR_Data[[#This Row],[YearsAtCompany]]&lt;5,"2-4 Years",
HR_Data[[#This Row],[YearsAtCompany]]&lt;10,"5-9 Years",
TRUE,"10+ Years"
)</f>
        <v>2-4 Years</v>
      </c>
      <c r="AM1051" s="1">
        <f>IF(HR_Data[[#This Row],[Attrition]]="Yes",1,0)</f>
        <v>0</v>
      </c>
    </row>
    <row r="1052" spans="1:39" x14ac:dyDescent="0.3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 cm="1">
        <f t="array" ref="AJ1052">_xlfn.IFS(
HR_Data[[#This Row],[Age]]&lt;25,"Under 25",
HR_Data[[#This Row],[Age]]&lt;35,"25-34",
HR_Data[[#This Row],[Age]]&lt;45,"35-44",
HR_Data[[#This Row],[Age]]&lt;55,"45-54",
TRUE,"55+"
)</f>
        <v>35-44</v>
      </c>
      <c r="AK1052" t="str" cm="1">
        <f t="array" ref="AK1052">_xlfn.IFS(
HR_Data[[#This Row],[MonthlyIncome]]&lt;3000,"&lt;3K",
HR_Data[[#This Row],[MonthlyIncome]]&lt;6000,"3K-6K",
HR_Data[[#This Row],[MonthlyIncome]]&lt;10000,"6K-10K",
TRUE,"10K+"
)</f>
        <v>3K-6K</v>
      </c>
      <c r="AL1052" t="str" cm="1">
        <f t="array" ref="AL1052">_xlfn.IFS(
HR_Data[[#This Row],[YearsAtCompany]]&lt;2,"&lt;2 Years",
HR_Data[[#This Row],[YearsAtCompany]]&lt;5,"2-4 Years",
HR_Data[[#This Row],[YearsAtCompany]]&lt;10,"5-9 Years",
TRUE,"10+ Years"
)</f>
        <v>10+ Years</v>
      </c>
      <c r="AM1052" s="1">
        <f>IF(HR_Data[[#This Row],[Attrition]]="Yes",1,0)</f>
        <v>0</v>
      </c>
    </row>
    <row r="1053" spans="1:39" x14ac:dyDescent="0.3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 cm="1">
        <f t="array" ref="AJ1053">_xlfn.IFS(
HR_Data[[#This Row],[Age]]&lt;25,"Under 25",
HR_Data[[#This Row],[Age]]&lt;35,"25-34",
HR_Data[[#This Row],[Age]]&lt;45,"35-44",
HR_Data[[#This Row],[Age]]&lt;55,"45-54",
TRUE,"55+"
)</f>
        <v>35-44</v>
      </c>
      <c r="AK1053" t="str" cm="1">
        <f t="array" ref="AK1053">_xlfn.IFS(
HR_Data[[#This Row],[MonthlyIncome]]&lt;3000,"&lt;3K",
HR_Data[[#This Row],[MonthlyIncome]]&lt;6000,"3K-6K",
HR_Data[[#This Row],[MonthlyIncome]]&lt;10000,"6K-10K",
TRUE,"10K+"
)</f>
        <v>3K-6K</v>
      </c>
      <c r="AL1053" t="str" cm="1">
        <f t="array" ref="AL1053">_xlfn.IFS(
HR_Data[[#This Row],[YearsAtCompany]]&lt;2,"&lt;2 Years",
HR_Data[[#This Row],[YearsAtCompany]]&lt;5,"2-4 Years",
HR_Data[[#This Row],[YearsAtCompany]]&lt;10,"5-9 Years",
TRUE,"10+ Years"
)</f>
        <v>&lt;2 Years</v>
      </c>
      <c r="AM1053" s="1">
        <f>IF(HR_Data[[#This Row],[Attrition]]="Yes",1,0)</f>
        <v>0</v>
      </c>
    </row>
    <row r="1054" spans="1:39" x14ac:dyDescent="0.3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 cm="1">
        <f t="array" ref="AJ1054">_xlfn.IFS(
HR_Data[[#This Row],[Age]]&lt;25,"Under 25",
HR_Data[[#This Row],[Age]]&lt;35,"25-34",
HR_Data[[#This Row],[Age]]&lt;45,"35-44",
HR_Data[[#This Row],[Age]]&lt;55,"45-54",
TRUE,"55+"
)</f>
        <v>25-34</v>
      </c>
      <c r="AK1054" t="str" cm="1">
        <f t="array" ref="AK1054">_xlfn.IFS(
HR_Data[[#This Row],[MonthlyIncome]]&lt;3000,"&lt;3K",
HR_Data[[#This Row],[MonthlyIncome]]&lt;6000,"3K-6K",
HR_Data[[#This Row],[MonthlyIncome]]&lt;10000,"6K-10K",
TRUE,"10K+"
)</f>
        <v>&lt;3K</v>
      </c>
      <c r="AL1054" t="str" cm="1">
        <f t="array" ref="AL1054">_xlfn.IFS(
HR_Data[[#This Row],[YearsAtCompany]]&lt;2,"&lt;2 Years",
HR_Data[[#This Row],[YearsAtCompany]]&lt;5,"2-4 Years",
HR_Data[[#This Row],[YearsAtCompany]]&lt;10,"5-9 Years",
TRUE,"10+ Years"
)</f>
        <v>&lt;2 Years</v>
      </c>
      <c r="AM1054" s="1">
        <f>IF(HR_Data[[#This Row],[Attrition]]="Yes",1,0)</f>
        <v>0</v>
      </c>
    </row>
    <row r="1055" spans="1:39" x14ac:dyDescent="0.3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 cm="1">
        <f t="array" ref="AJ1055">_xlfn.IFS(
HR_Data[[#This Row],[Age]]&lt;25,"Under 25",
HR_Data[[#This Row],[Age]]&lt;35,"25-34",
HR_Data[[#This Row],[Age]]&lt;45,"35-44",
HR_Data[[#This Row],[Age]]&lt;55,"45-54",
TRUE,"55+"
)</f>
        <v>55+</v>
      </c>
      <c r="AK1055" t="str" cm="1">
        <f t="array" ref="AK1055">_xlfn.IFS(
HR_Data[[#This Row],[MonthlyIncome]]&lt;3000,"&lt;3K",
HR_Data[[#This Row],[MonthlyIncome]]&lt;6000,"3K-6K",
HR_Data[[#This Row],[MonthlyIncome]]&lt;10000,"6K-10K",
TRUE,"10K+"
)</f>
        <v>3K-6K</v>
      </c>
      <c r="AL1055" t="str" cm="1">
        <f t="array" ref="AL1055">_xlfn.IFS(
HR_Data[[#This Row],[YearsAtCompany]]&lt;2,"&lt;2 Years",
HR_Data[[#This Row],[YearsAtCompany]]&lt;5,"2-4 Years",
HR_Data[[#This Row],[YearsAtCompany]]&lt;10,"5-9 Years",
TRUE,"10+ Years"
)</f>
        <v>10+ Years</v>
      </c>
      <c r="AM1055" s="1">
        <f>IF(HR_Data[[#This Row],[Attrition]]="Yes",1,0)</f>
        <v>0</v>
      </c>
    </row>
    <row r="1056" spans="1:39" x14ac:dyDescent="0.3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 cm="1">
        <f t="array" ref="AJ1056">_xlfn.IFS(
HR_Data[[#This Row],[Age]]&lt;25,"Under 25",
HR_Data[[#This Row],[Age]]&lt;35,"25-34",
HR_Data[[#This Row],[Age]]&lt;45,"35-44",
HR_Data[[#This Row],[Age]]&lt;55,"45-54",
TRUE,"55+"
)</f>
        <v>45-54</v>
      </c>
      <c r="AK1056" t="str" cm="1">
        <f t="array" ref="AK1056">_xlfn.IFS(
HR_Data[[#This Row],[MonthlyIncome]]&lt;3000,"&lt;3K",
HR_Data[[#This Row],[MonthlyIncome]]&lt;6000,"3K-6K",
HR_Data[[#This Row],[MonthlyIncome]]&lt;10000,"6K-10K",
TRUE,"10K+"
)</f>
        <v>10K+</v>
      </c>
      <c r="AL1056" t="str" cm="1">
        <f t="array" ref="AL1056">_xlfn.IFS(
HR_Data[[#This Row],[YearsAtCompany]]&lt;2,"&lt;2 Years",
HR_Data[[#This Row],[YearsAtCompany]]&lt;5,"2-4 Years",
HR_Data[[#This Row],[YearsAtCompany]]&lt;10,"5-9 Years",
TRUE,"10+ Years"
)</f>
        <v>5-9 Years</v>
      </c>
      <c r="AM1056" s="1">
        <f>IF(HR_Data[[#This Row],[Attrition]]="Yes",1,0)</f>
        <v>0</v>
      </c>
    </row>
    <row r="1057" spans="1:39" x14ac:dyDescent="0.3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 cm="1">
        <f t="array" ref="AJ1057">_xlfn.IFS(
HR_Data[[#This Row],[Age]]&lt;25,"Under 25",
HR_Data[[#This Row],[Age]]&lt;35,"25-34",
HR_Data[[#This Row],[Age]]&lt;45,"35-44",
HR_Data[[#This Row],[Age]]&lt;55,"45-54",
TRUE,"55+"
)</f>
        <v>25-34</v>
      </c>
      <c r="AK1057" t="str" cm="1">
        <f t="array" ref="AK1057">_xlfn.IFS(
HR_Data[[#This Row],[MonthlyIncome]]&lt;3000,"&lt;3K",
HR_Data[[#This Row],[MonthlyIncome]]&lt;6000,"3K-6K",
HR_Data[[#This Row],[MonthlyIncome]]&lt;10000,"6K-10K",
TRUE,"10K+"
)</f>
        <v>10K+</v>
      </c>
      <c r="AL1057" t="str" cm="1">
        <f t="array" ref="AL1057">_xlfn.IFS(
HR_Data[[#This Row],[YearsAtCompany]]&lt;2,"&lt;2 Years",
HR_Data[[#This Row],[YearsAtCompany]]&lt;5,"2-4 Years",
HR_Data[[#This Row],[YearsAtCompany]]&lt;10,"5-9 Years",
TRUE,"10+ Years"
)</f>
        <v>10+ Years</v>
      </c>
      <c r="AM1057" s="1">
        <f>IF(HR_Data[[#This Row],[Attrition]]="Yes",1,0)</f>
        <v>0</v>
      </c>
    </row>
    <row r="1058" spans="1:39" x14ac:dyDescent="0.3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 cm="1">
        <f t="array" ref="AJ1058">_xlfn.IFS(
HR_Data[[#This Row],[Age]]&lt;25,"Under 25",
HR_Data[[#This Row],[Age]]&lt;35,"25-34",
HR_Data[[#This Row],[Age]]&lt;45,"35-44",
HR_Data[[#This Row],[Age]]&lt;55,"45-54",
TRUE,"55+"
)</f>
        <v>25-34</v>
      </c>
      <c r="AK1058" t="str" cm="1">
        <f t="array" ref="AK1058">_xlfn.IFS(
HR_Data[[#This Row],[MonthlyIncome]]&lt;3000,"&lt;3K",
HR_Data[[#This Row],[MonthlyIncome]]&lt;6000,"3K-6K",
HR_Data[[#This Row],[MonthlyIncome]]&lt;10000,"6K-10K",
TRUE,"10K+"
)</f>
        <v>&lt;3K</v>
      </c>
      <c r="AL1058" t="str" cm="1">
        <f t="array" ref="AL1058">_xlfn.IFS(
HR_Data[[#This Row],[YearsAtCompany]]&lt;2,"&lt;2 Years",
HR_Data[[#This Row],[YearsAtCompany]]&lt;5,"2-4 Years",
HR_Data[[#This Row],[YearsAtCompany]]&lt;10,"5-9 Years",
TRUE,"10+ Years"
)</f>
        <v>2-4 Years</v>
      </c>
      <c r="AM1058" s="1">
        <f>IF(HR_Data[[#This Row],[Attrition]]="Yes",1,0)</f>
        <v>1</v>
      </c>
    </row>
    <row r="1059" spans="1:39" x14ac:dyDescent="0.3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 cm="1">
        <f t="array" ref="AJ1059">_xlfn.IFS(
HR_Data[[#This Row],[Age]]&lt;25,"Under 25",
HR_Data[[#This Row],[Age]]&lt;35,"25-34",
HR_Data[[#This Row],[Age]]&lt;45,"35-44",
HR_Data[[#This Row],[Age]]&lt;55,"45-54",
TRUE,"55+"
)</f>
        <v>25-34</v>
      </c>
      <c r="AK1059" t="str" cm="1">
        <f t="array" ref="AK1059">_xlfn.IFS(
HR_Data[[#This Row],[MonthlyIncome]]&lt;3000,"&lt;3K",
HR_Data[[#This Row],[MonthlyIncome]]&lt;6000,"3K-6K",
HR_Data[[#This Row],[MonthlyIncome]]&lt;10000,"6K-10K",
TRUE,"10K+"
)</f>
        <v>3K-6K</v>
      </c>
      <c r="AL1059" t="str" cm="1">
        <f t="array" ref="AL1059">_xlfn.IFS(
HR_Data[[#This Row],[YearsAtCompany]]&lt;2,"&lt;2 Years",
HR_Data[[#This Row],[YearsAtCompany]]&lt;5,"2-4 Years",
HR_Data[[#This Row],[YearsAtCompany]]&lt;10,"5-9 Years",
TRUE,"10+ Years"
)</f>
        <v>5-9 Years</v>
      </c>
      <c r="AM1059" s="1">
        <f>IF(HR_Data[[#This Row],[Attrition]]="Yes",1,0)</f>
        <v>1</v>
      </c>
    </row>
    <row r="1060" spans="1:39" x14ac:dyDescent="0.3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 cm="1">
        <f t="array" ref="AJ1060">_xlfn.IFS(
HR_Data[[#This Row],[Age]]&lt;25,"Under 25",
HR_Data[[#This Row],[Age]]&lt;35,"25-34",
HR_Data[[#This Row],[Age]]&lt;45,"35-44",
HR_Data[[#This Row],[Age]]&lt;55,"45-54",
TRUE,"55+"
)</f>
        <v>25-34</v>
      </c>
      <c r="AK1060" t="str" cm="1">
        <f t="array" ref="AK1060">_xlfn.IFS(
HR_Data[[#This Row],[MonthlyIncome]]&lt;3000,"&lt;3K",
HR_Data[[#This Row],[MonthlyIncome]]&lt;6000,"3K-6K",
HR_Data[[#This Row],[MonthlyIncome]]&lt;10000,"6K-10K",
TRUE,"10K+"
)</f>
        <v>3K-6K</v>
      </c>
      <c r="AL1060" t="str" cm="1">
        <f t="array" ref="AL1060">_xlfn.IFS(
HR_Data[[#This Row],[YearsAtCompany]]&lt;2,"&lt;2 Years",
HR_Data[[#This Row],[YearsAtCompany]]&lt;5,"2-4 Years",
HR_Data[[#This Row],[YearsAtCompany]]&lt;10,"5-9 Years",
TRUE,"10+ Years"
)</f>
        <v>10+ Years</v>
      </c>
      <c r="AM1060" s="1">
        <f>IF(HR_Data[[#This Row],[Attrition]]="Yes",1,0)</f>
        <v>1</v>
      </c>
    </row>
    <row r="1061" spans="1:39" x14ac:dyDescent="0.3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 cm="1">
        <f t="array" ref="AJ1061">_xlfn.IFS(
HR_Data[[#This Row],[Age]]&lt;25,"Under 25",
HR_Data[[#This Row],[Age]]&lt;35,"25-34",
HR_Data[[#This Row],[Age]]&lt;45,"35-44",
HR_Data[[#This Row],[Age]]&lt;55,"45-54",
TRUE,"55+"
)</f>
        <v>35-44</v>
      </c>
      <c r="AK1061" t="str" cm="1">
        <f t="array" ref="AK1061">_xlfn.IFS(
HR_Data[[#This Row],[MonthlyIncome]]&lt;3000,"&lt;3K",
HR_Data[[#This Row],[MonthlyIncome]]&lt;6000,"3K-6K",
HR_Data[[#This Row],[MonthlyIncome]]&lt;10000,"6K-10K",
TRUE,"10K+"
)</f>
        <v>&lt;3K</v>
      </c>
      <c r="AL1061" t="str" cm="1">
        <f t="array" ref="AL1061">_xlfn.IFS(
HR_Data[[#This Row],[YearsAtCompany]]&lt;2,"&lt;2 Years",
HR_Data[[#This Row],[YearsAtCompany]]&lt;5,"2-4 Years",
HR_Data[[#This Row],[YearsAtCompany]]&lt;10,"5-9 Years",
TRUE,"10+ Years"
)</f>
        <v>&lt;2 Years</v>
      </c>
      <c r="AM1061" s="1">
        <f>IF(HR_Data[[#This Row],[Attrition]]="Yes",1,0)</f>
        <v>0</v>
      </c>
    </row>
    <row r="1062" spans="1:39" x14ac:dyDescent="0.3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 cm="1">
        <f t="array" ref="AJ1062">_xlfn.IFS(
HR_Data[[#This Row],[Age]]&lt;25,"Under 25",
HR_Data[[#This Row],[Age]]&lt;35,"25-34",
HR_Data[[#This Row],[Age]]&lt;45,"35-44",
HR_Data[[#This Row],[Age]]&lt;55,"45-54",
TRUE,"55+"
)</f>
        <v>Under 25</v>
      </c>
      <c r="AK1062" t="str" cm="1">
        <f t="array" ref="AK1062">_xlfn.IFS(
HR_Data[[#This Row],[MonthlyIncome]]&lt;3000,"&lt;3K",
HR_Data[[#This Row],[MonthlyIncome]]&lt;6000,"3K-6K",
HR_Data[[#This Row],[MonthlyIncome]]&lt;10000,"6K-10K",
TRUE,"10K+"
)</f>
        <v>3K-6K</v>
      </c>
      <c r="AL1062" t="str" cm="1">
        <f t="array" ref="AL1062">_xlfn.IFS(
HR_Data[[#This Row],[YearsAtCompany]]&lt;2,"&lt;2 Years",
HR_Data[[#This Row],[YearsAtCompany]]&lt;5,"2-4 Years",
HR_Data[[#This Row],[YearsAtCompany]]&lt;10,"5-9 Years",
TRUE,"10+ Years"
)</f>
        <v>&lt;2 Years</v>
      </c>
      <c r="AM1062" s="1">
        <f>IF(HR_Data[[#This Row],[Attrition]]="Yes",1,0)</f>
        <v>1</v>
      </c>
    </row>
    <row r="1063" spans="1:39" x14ac:dyDescent="0.3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 cm="1">
        <f t="array" ref="AJ1063">_xlfn.IFS(
HR_Data[[#This Row],[Age]]&lt;25,"Under 25",
HR_Data[[#This Row],[Age]]&lt;35,"25-34",
HR_Data[[#This Row],[Age]]&lt;45,"35-44",
HR_Data[[#This Row],[Age]]&lt;55,"45-54",
TRUE,"55+"
)</f>
        <v>Under 25</v>
      </c>
      <c r="AK1063" t="str" cm="1">
        <f t="array" ref="AK1063">_xlfn.IFS(
HR_Data[[#This Row],[MonthlyIncome]]&lt;3000,"&lt;3K",
HR_Data[[#This Row],[MonthlyIncome]]&lt;6000,"3K-6K",
HR_Data[[#This Row],[MonthlyIncome]]&lt;10000,"6K-10K",
TRUE,"10K+"
)</f>
        <v>&lt;3K</v>
      </c>
      <c r="AL1063" t="str" cm="1">
        <f t="array" ref="AL1063">_xlfn.IFS(
HR_Data[[#This Row],[YearsAtCompany]]&lt;2,"&lt;2 Years",
HR_Data[[#This Row],[YearsAtCompany]]&lt;5,"2-4 Years",
HR_Data[[#This Row],[YearsAtCompany]]&lt;10,"5-9 Years",
TRUE,"10+ Years"
)</f>
        <v>&lt;2 Years</v>
      </c>
      <c r="AM1063" s="1">
        <f>IF(HR_Data[[#This Row],[Attrition]]="Yes",1,0)</f>
        <v>0</v>
      </c>
    </row>
    <row r="1064" spans="1:39" x14ac:dyDescent="0.3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 cm="1">
        <f t="array" ref="AJ1064">_xlfn.IFS(
HR_Data[[#This Row],[Age]]&lt;25,"Under 25",
HR_Data[[#This Row],[Age]]&lt;35,"25-34",
HR_Data[[#This Row],[Age]]&lt;45,"35-44",
HR_Data[[#This Row],[Age]]&lt;55,"45-54",
TRUE,"55+"
)</f>
        <v>35-44</v>
      </c>
      <c r="AK1064" t="str" cm="1">
        <f t="array" ref="AK1064">_xlfn.IFS(
HR_Data[[#This Row],[MonthlyIncome]]&lt;3000,"&lt;3K",
HR_Data[[#This Row],[MonthlyIncome]]&lt;6000,"3K-6K",
HR_Data[[#This Row],[MonthlyIncome]]&lt;10000,"6K-10K",
TRUE,"10K+"
)</f>
        <v>10K+</v>
      </c>
      <c r="AL1064" t="str" cm="1">
        <f t="array" ref="AL1064">_xlfn.IFS(
HR_Data[[#This Row],[YearsAtCompany]]&lt;2,"&lt;2 Years",
HR_Data[[#This Row],[YearsAtCompany]]&lt;5,"2-4 Years",
HR_Data[[#This Row],[YearsAtCompany]]&lt;10,"5-9 Years",
TRUE,"10+ Years"
)</f>
        <v>2-4 Years</v>
      </c>
      <c r="AM1064" s="1">
        <f>IF(HR_Data[[#This Row],[Attrition]]="Yes",1,0)</f>
        <v>0</v>
      </c>
    </row>
    <row r="1065" spans="1:39" x14ac:dyDescent="0.3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 cm="1">
        <f t="array" ref="AJ1065">_xlfn.IFS(
HR_Data[[#This Row],[Age]]&lt;25,"Under 25",
HR_Data[[#This Row],[Age]]&lt;35,"25-34",
HR_Data[[#This Row],[Age]]&lt;45,"35-44",
HR_Data[[#This Row],[Age]]&lt;55,"45-54",
TRUE,"55+"
)</f>
        <v>25-34</v>
      </c>
      <c r="AK1065" t="str" cm="1">
        <f t="array" ref="AK1065">_xlfn.IFS(
HR_Data[[#This Row],[MonthlyIncome]]&lt;3000,"&lt;3K",
HR_Data[[#This Row],[MonthlyIncome]]&lt;6000,"3K-6K",
HR_Data[[#This Row],[MonthlyIncome]]&lt;10000,"6K-10K",
TRUE,"10K+"
)</f>
        <v>6K-10K</v>
      </c>
      <c r="AL1065" t="str" cm="1">
        <f t="array" ref="AL1065">_xlfn.IFS(
HR_Data[[#This Row],[YearsAtCompany]]&lt;2,"&lt;2 Years",
HR_Data[[#This Row],[YearsAtCompany]]&lt;5,"2-4 Years",
HR_Data[[#This Row],[YearsAtCompany]]&lt;10,"5-9 Years",
TRUE,"10+ Years"
)</f>
        <v>10+ Years</v>
      </c>
      <c r="AM1065" s="1">
        <f>IF(HR_Data[[#This Row],[Attrition]]="Yes",1,0)</f>
        <v>0</v>
      </c>
    </row>
    <row r="1066" spans="1:39" x14ac:dyDescent="0.3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 cm="1">
        <f t="array" ref="AJ1066">_xlfn.IFS(
HR_Data[[#This Row],[Age]]&lt;25,"Under 25",
HR_Data[[#This Row],[Age]]&lt;35,"25-34",
HR_Data[[#This Row],[Age]]&lt;45,"35-44",
HR_Data[[#This Row],[Age]]&lt;55,"45-54",
TRUE,"55+"
)</f>
        <v>25-34</v>
      </c>
      <c r="AK1066" t="str" cm="1">
        <f t="array" ref="AK1066">_xlfn.IFS(
HR_Data[[#This Row],[MonthlyIncome]]&lt;3000,"&lt;3K",
HR_Data[[#This Row],[MonthlyIncome]]&lt;6000,"3K-6K",
HR_Data[[#This Row],[MonthlyIncome]]&lt;10000,"6K-10K",
TRUE,"10K+"
)</f>
        <v>&lt;3K</v>
      </c>
      <c r="AL1066" t="str" cm="1">
        <f t="array" ref="AL1066">_xlfn.IFS(
HR_Data[[#This Row],[YearsAtCompany]]&lt;2,"&lt;2 Years",
HR_Data[[#This Row],[YearsAtCompany]]&lt;5,"2-4 Years",
HR_Data[[#This Row],[YearsAtCompany]]&lt;10,"5-9 Years",
TRUE,"10+ Years"
)</f>
        <v>5-9 Years</v>
      </c>
      <c r="AM1066" s="1">
        <f>IF(HR_Data[[#This Row],[Attrition]]="Yes",1,0)</f>
        <v>0</v>
      </c>
    </row>
    <row r="1067" spans="1:39" x14ac:dyDescent="0.3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 cm="1">
        <f t="array" ref="AJ1067">_xlfn.IFS(
HR_Data[[#This Row],[Age]]&lt;25,"Under 25",
HR_Data[[#This Row],[Age]]&lt;35,"25-34",
HR_Data[[#This Row],[Age]]&lt;45,"35-44",
HR_Data[[#This Row],[Age]]&lt;55,"45-54",
TRUE,"55+"
)</f>
        <v>55+</v>
      </c>
      <c r="AK1067" t="str" cm="1">
        <f t="array" ref="AK1067">_xlfn.IFS(
HR_Data[[#This Row],[MonthlyIncome]]&lt;3000,"&lt;3K",
HR_Data[[#This Row],[MonthlyIncome]]&lt;6000,"3K-6K",
HR_Data[[#This Row],[MonthlyIncome]]&lt;10000,"6K-10K",
TRUE,"10K+"
)</f>
        <v>3K-6K</v>
      </c>
      <c r="AL1067" t="str" cm="1">
        <f t="array" ref="AL1067">_xlfn.IFS(
HR_Data[[#This Row],[YearsAtCompany]]&lt;2,"&lt;2 Years",
HR_Data[[#This Row],[YearsAtCompany]]&lt;5,"2-4 Years",
HR_Data[[#This Row],[YearsAtCompany]]&lt;10,"5-9 Years",
TRUE,"10+ Years"
)</f>
        <v>2-4 Years</v>
      </c>
      <c r="AM1067" s="1">
        <f>IF(HR_Data[[#This Row],[Attrition]]="Yes",1,0)</f>
        <v>0</v>
      </c>
    </row>
    <row r="1068" spans="1:39" x14ac:dyDescent="0.3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 cm="1">
        <f t="array" ref="AJ1068">_xlfn.IFS(
HR_Data[[#This Row],[Age]]&lt;25,"Under 25",
HR_Data[[#This Row],[Age]]&lt;35,"25-34",
HR_Data[[#This Row],[Age]]&lt;45,"35-44",
HR_Data[[#This Row],[Age]]&lt;55,"45-54",
TRUE,"55+"
)</f>
        <v>25-34</v>
      </c>
      <c r="AK1068" t="str" cm="1">
        <f t="array" ref="AK1068">_xlfn.IFS(
HR_Data[[#This Row],[MonthlyIncome]]&lt;3000,"&lt;3K",
HR_Data[[#This Row],[MonthlyIncome]]&lt;6000,"3K-6K",
HR_Data[[#This Row],[MonthlyIncome]]&lt;10000,"6K-10K",
TRUE,"10K+"
)</f>
        <v>3K-6K</v>
      </c>
      <c r="AL1068" t="str" cm="1">
        <f t="array" ref="AL1068">_xlfn.IFS(
HR_Data[[#This Row],[YearsAtCompany]]&lt;2,"&lt;2 Years",
HR_Data[[#This Row],[YearsAtCompany]]&lt;5,"2-4 Years",
HR_Data[[#This Row],[YearsAtCompany]]&lt;10,"5-9 Years",
TRUE,"10+ Years"
)</f>
        <v>5-9 Years</v>
      </c>
      <c r="AM1068" s="1">
        <f>IF(HR_Data[[#This Row],[Attrition]]="Yes",1,0)</f>
        <v>0</v>
      </c>
    </row>
    <row r="1069" spans="1:39" x14ac:dyDescent="0.3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 cm="1">
        <f t="array" ref="AJ1069">_xlfn.IFS(
HR_Data[[#This Row],[Age]]&lt;25,"Under 25",
HR_Data[[#This Row],[Age]]&lt;35,"25-34",
HR_Data[[#This Row],[Age]]&lt;45,"35-44",
HR_Data[[#This Row],[Age]]&lt;55,"45-54",
TRUE,"55+"
)</f>
        <v>45-54</v>
      </c>
      <c r="AK1069" t="str" cm="1">
        <f t="array" ref="AK1069">_xlfn.IFS(
HR_Data[[#This Row],[MonthlyIncome]]&lt;3000,"&lt;3K",
HR_Data[[#This Row],[MonthlyIncome]]&lt;6000,"3K-6K",
HR_Data[[#This Row],[MonthlyIncome]]&lt;10000,"6K-10K",
TRUE,"10K+"
)</f>
        <v>3K-6K</v>
      </c>
      <c r="AL1069" t="str" cm="1">
        <f t="array" ref="AL1069">_xlfn.IFS(
HR_Data[[#This Row],[YearsAtCompany]]&lt;2,"&lt;2 Years",
HR_Data[[#This Row],[YearsAtCompany]]&lt;5,"2-4 Years",
HR_Data[[#This Row],[YearsAtCompany]]&lt;10,"5-9 Years",
TRUE,"10+ Years"
)</f>
        <v>5-9 Years</v>
      </c>
      <c r="AM1069" s="1">
        <f>IF(HR_Data[[#This Row],[Attrition]]="Yes",1,0)</f>
        <v>0</v>
      </c>
    </row>
    <row r="1070" spans="1:39" x14ac:dyDescent="0.3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 cm="1">
        <f t="array" ref="AJ1070">_xlfn.IFS(
HR_Data[[#This Row],[Age]]&lt;25,"Under 25",
HR_Data[[#This Row],[Age]]&lt;35,"25-34",
HR_Data[[#This Row],[Age]]&lt;45,"35-44",
HR_Data[[#This Row],[Age]]&lt;55,"45-54",
TRUE,"55+"
)</f>
        <v>25-34</v>
      </c>
      <c r="AK1070" t="str" cm="1">
        <f t="array" ref="AK1070">_xlfn.IFS(
HR_Data[[#This Row],[MonthlyIncome]]&lt;3000,"&lt;3K",
HR_Data[[#This Row],[MonthlyIncome]]&lt;6000,"3K-6K",
HR_Data[[#This Row],[MonthlyIncome]]&lt;10000,"6K-10K",
TRUE,"10K+"
)</f>
        <v>&lt;3K</v>
      </c>
      <c r="AL1070" t="str" cm="1">
        <f t="array" ref="AL1070">_xlfn.IFS(
HR_Data[[#This Row],[YearsAtCompany]]&lt;2,"&lt;2 Years",
HR_Data[[#This Row],[YearsAtCompany]]&lt;5,"2-4 Years",
HR_Data[[#This Row],[YearsAtCompany]]&lt;10,"5-9 Years",
TRUE,"10+ Years"
)</f>
        <v>&lt;2 Years</v>
      </c>
      <c r="AM1070" s="1">
        <f>IF(HR_Data[[#This Row],[Attrition]]="Yes",1,0)</f>
        <v>1</v>
      </c>
    </row>
    <row r="1071" spans="1:39" x14ac:dyDescent="0.3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 cm="1">
        <f t="array" ref="AJ1071">_xlfn.IFS(
HR_Data[[#This Row],[Age]]&lt;25,"Under 25",
HR_Data[[#This Row],[Age]]&lt;35,"25-34",
HR_Data[[#This Row],[Age]]&lt;45,"35-44",
HR_Data[[#This Row],[Age]]&lt;55,"45-54",
TRUE,"55+"
)</f>
        <v>25-34</v>
      </c>
      <c r="AK1071" t="str" cm="1">
        <f t="array" ref="AK1071">_xlfn.IFS(
HR_Data[[#This Row],[MonthlyIncome]]&lt;3000,"&lt;3K",
HR_Data[[#This Row],[MonthlyIncome]]&lt;6000,"3K-6K",
HR_Data[[#This Row],[MonthlyIncome]]&lt;10000,"6K-10K",
TRUE,"10K+"
)</f>
        <v>&lt;3K</v>
      </c>
      <c r="AL1071" t="str" cm="1">
        <f t="array" ref="AL1071">_xlfn.IFS(
HR_Data[[#This Row],[YearsAtCompany]]&lt;2,"&lt;2 Years",
HR_Data[[#This Row],[YearsAtCompany]]&lt;5,"2-4 Years",
HR_Data[[#This Row],[YearsAtCompany]]&lt;10,"5-9 Years",
TRUE,"10+ Years"
)</f>
        <v>&lt;2 Years</v>
      </c>
      <c r="AM1071" s="1">
        <f>IF(HR_Data[[#This Row],[Attrition]]="Yes",1,0)</f>
        <v>0</v>
      </c>
    </row>
    <row r="1072" spans="1:39" x14ac:dyDescent="0.3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 cm="1">
        <f t="array" ref="AJ1072">_xlfn.IFS(
HR_Data[[#This Row],[Age]]&lt;25,"Under 25",
HR_Data[[#This Row],[Age]]&lt;35,"25-34",
HR_Data[[#This Row],[Age]]&lt;45,"35-44",
HR_Data[[#This Row],[Age]]&lt;55,"45-54",
TRUE,"55+"
)</f>
        <v>25-34</v>
      </c>
      <c r="AK1072" t="str" cm="1">
        <f t="array" ref="AK1072">_xlfn.IFS(
HR_Data[[#This Row],[MonthlyIncome]]&lt;3000,"&lt;3K",
HR_Data[[#This Row],[MonthlyIncome]]&lt;6000,"3K-6K",
HR_Data[[#This Row],[MonthlyIncome]]&lt;10000,"6K-10K",
TRUE,"10K+"
)</f>
        <v>3K-6K</v>
      </c>
      <c r="AL1072" t="str" cm="1">
        <f t="array" ref="AL1072">_xlfn.IFS(
HR_Data[[#This Row],[YearsAtCompany]]&lt;2,"&lt;2 Years",
HR_Data[[#This Row],[YearsAtCompany]]&lt;5,"2-4 Years",
HR_Data[[#This Row],[YearsAtCompany]]&lt;10,"5-9 Years",
TRUE,"10+ Years"
)</f>
        <v>2-4 Years</v>
      </c>
      <c r="AM1072" s="1">
        <f>IF(HR_Data[[#This Row],[Attrition]]="Yes",1,0)</f>
        <v>0</v>
      </c>
    </row>
    <row r="1073" spans="1:39" x14ac:dyDescent="0.3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 cm="1">
        <f t="array" ref="AJ1073">_xlfn.IFS(
HR_Data[[#This Row],[Age]]&lt;25,"Under 25",
HR_Data[[#This Row],[Age]]&lt;35,"25-34",
HR_Data[[#This Row],[Age]]&lt;45,"35-44",
HR_Data[[#This Row],[Age]]&lt;55,"45-54",
TRUE,"55+"
)</f>
        <v>45-54</v>
      </c>
      <c r="AK1073" t="str" cm="1">
        <f t="array" ref="AK1073">_xlfn.IFS(
HR_Data[[#This Row],[MonthlyIncome]]&lt;3000,"&lt;3K",
HR_Data[[#This Row],[MonthlyIncome]]&lt;6000,"3K-6K",
HR_Data[[#This Row],[MonthlyIncome]]&lt;10000,"6K-10K",
TRUE,"10K+"
)</f>
        <v>3K-6K</v>
      </c>
      <c r="AL1073" t="str" cm="1">
        <f t="array" ref="AL1073">_xlfn.IFS(
HR_Data[[#This Row],[YearsAtCompany]]&lt;2,"&lt;2 Years",
HR_Data[[#This Row],[YearsAtCompany]]&lt;5,"2-4 Years",
HR_Data[[#This Row],[YearsAtCompany]]&lt;10,"5-9 Years",
TRUE,"10+ Years"
)</f>
        <v>2-4 Years</v>
      </c>
      <c r="AM1073" s="1">
        <f>IF(HR_Data[[#This Row],[Attrition]]="Yes",1,0)</f>
        <v>0</v>
      </c>
    </row>
    <row r="1074" spans="1:39" x14ac:dyDescent="0.3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 cm="1">
        <f t="array" ref="AJ1074">_xlfn.IFS(
HR_Data[[#This Row],[Age]]&lt;25,"Under 25",
HR_Data[[#This Row],[Age]]&lt;35,"25-34",
HR_Data[[#This Row],[Age]]&lt;45,"35-44",
HR_Data[[#This Row],[Age]]&lt;55,"45-54",
TRUE,"55+"
)</f>
        <v>25-34</v>
      </c>
      <c r="AK1074" t="str" cm="1">
        <f t="array" ref="AK1074">_xlfn.IFS(
HR_Data[[#This Row],[MonthlyIncome]]&lt;3000,"&lt;3K",
HR_Data[[#This Row],[MonthlyIncome]]&lt;6000,"3K-6K",
HR_Data[[#This Row],[MonthlyIncome]]&lt;10000,"6K-10K",
TRUE,"10K+"
)</f>
        <v>3K-6K</v>
      </c>
      <c r="AL1074" t="str" cm="1">
        <f t="array" ref="AL1074">_xlfn.IFS(
HR_Data[[#This Row],[YearsAtCompany]]&lt;2,"&lt;2 Years",
HR_Data[[#This Row],[YearsAtCompany]]&lt;5,"2-4 Years",
HR_Data[[#This Row],[YearsAtCompany]]&lt;10,"5-9 Years",
TRUE,"10+ Years"
)</f>
        <v>2-4 Years</v>
      </c>
      <c r="AM1074" s="1">
        <f>IF(HR_Data[[#This Row],[Attrition]]="Yes",1,0)</f>
        <v>0</v>
      </c>
    </row>
    <row r="1075" spans="1:39" x14ac:dyDescent="0.3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 cm="1">
        <f t="array" ref="AJ1075">_xlfn.IFS(
HR_Data[[#This Row],[Age]]&lt;25,"Under 25",
HR_Data[[#This Row],[Age]]&lt;35,"25-34",
HR_Data[[#This Row],[Age]]&lt;45,"35-44",
HR_Data[[#This Row],[Age]]&lt;55,"45-54",
TRUE,"55+"
)</f>
        <v>25-34</v>
      </c>
      <c r="AK1075" t="str" cm="1">
        <f t="array" ref="AK1075">_xlfn.IFS(
HR_Data[[#This Row],[MonthlyIncome]]&lt;3000,"&lt;3K",
HR_Data[[#This Row],[MonthlyIncome]]&lt;6000,"3K-6K",
HR_Data[[#This Row],[MonthlyIncome]]&lt;10000,"6K-10K",
TRUE,"10K+"
)</f>
        <v>6K-10K</v>
      </c>
      <c r="AL1075" t="str" cm="1">
        <f t="array" ref="AL1075">_xlfn.IFS(
HR_Data[[#This Row],[YearsAtCompany]]&lt;2,"&lt;2 Years",
HR_Data[[#This Row],[YearsAtCompany]]&lt;5,"2-4 Years",
HR_Data[[#This Row],[YearsAtCompany]]&lt;10,"5-9 Years",
TRUE,"10+ Years"
)</f>
        <v>5-9 Years</v>
      </c>
      <c r="AM1075" s="1">
        <f>IF(HR_Data[[#This Row],[Attrition]]="Yes",1,0)</f>
        <v>0</v>
      </c>
    </row>
    <row r="1076" spans="1:39" x14ac:dyDescent="0.3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 cm="1">
        <f t="array" ref="AJ1076">_xlfn.IFS(
HR_Data[[#This Row],[Age]]&lt;25,"Under 25",
HR_Data[[#This Row],[Age]]&lt;35,"25-34",
HR_Data[[#This Row],[Age]]&lt;45,"35-44",
HR_Data[[#This Row],[Age]]&lt;55,"45-54",
TRUE,"55+"
)</f>
        <v>25-34</v>
      </c>
      <c r="AK1076" t="str" cm="1">
        <f t="array" ref="AK1076">_xlfn.IFS(
HR_Data[[#This Row],[MonthlyIncome]]&lt;3000,"&lt;3K",
HR_Data[[#This Row],[MonthlyIncome]]&lt;6000,"3K-6K",
HR_Data[[#This Row],[MonthlyIncome]]&lt;10000,"6K-10K",
TRUE,"10K+"
)</f>
        <v>6K-10K</v>
      </c>
      <c r="AL1076" t="str" cm="1">
        <f t="array" ref="AL1076">_xlfn.IFS(
HR_Data[[#This Row],[YearsAtCompany]]&lt;2,"&lt;2 Years",
HR_Data[[#This Row],[YearsAtCompany]]&lt;5,"2-4 Years",
HR_Data[[#This Row],[YearsAtCompany]]&lt;10,"5-9 Years",
TRUE,"10+ Years"
)</f>
        <v>&lt;2 Years</v>
      </c>
      <c r="AM1076" s="1">
        <f>IF(HR_Data[[#This Row],[Attrition]]="Yes",1,0)</f>
        <v>0</v>
      </c>
    </row>
    <row r="1077" spans="1:39" x14ac:dyDescent="0.3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 cm="1">
        <f t="array" ref="AJ1077">_xlfn.IFS(
HR_Data[[#This Row],[Age]]&lt;25,"Under 25",
HR_Data[[#This Row],[Age]]&lt;35,"25-34",
HR_Data[[#This Row],[Age]]&lt;45,"35-44",
HR_Data[[#This Row],[Age]]&lt;55,"45-54",
TRUE,"55+"
)</f>
        <v>25-34</v>
      </c>
      <c r="AK1077" t="str" cm="1">
        <f t="array" ref="AK1077">_xlfn.IFS(
HR_Data[[#This Row],[MonthlyIncome]]&lt;3000,"&lt;3K",
HR_Data[[#This Row],[MonthlyIncome]]&lt;6000,"3K-6K",
HR_Data[[#This Row],[MonthlyIncome]]&lt;10000,"6K-10K",
TRUE,"10K+"
)</f>
        <v>10K+</v>
      </c>
      <c r="AL1077" t="str" cm="1">
        <f t="array" ref="AL1077">_xlfn.IFS(
HR_Data[[#This Row],[YearsAtCompany]]&lt;2,"&lt;2 Years",
HR_Data[[#This Row],[YearsAtCompany]]&lt;5,"2-4 Years",
HR_Data[[#This Row],[YearsAtCompany]]&lt;10,"5-9 Years",
TRUE,"10+ Years"
)</f>
        <v>5-9 Years</v>
      </c>
      <c r="AM1077" s="1">
        <f>IF(HR_Data[[#This Row],[Attrition]]="Yes",1,0)</f>
        <v>0</v>
      </c>
    </row>
    <row r="1078" spans="1:39" x14ac:dyDescent="0.3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 cm="1">
        <f t="array" ref="AJ1078">_xlfn.IFS(
HR_Data[[#This Row],[Age]]&lt;25,"Under 25",
HR_Data[[#This Row],[Age]]&lt;35,"25-34",
HR_Data[[#This Row],[Age]]&lt;45,"35-44",
HR_Data[[#This Row],[Age]]&lt;55,"45-54",
TRUE,"55+"
)</f>
        <v>45-54</v>
      </c>
      <c r="AK1078" t="str" cm="1">
        <f t="array" ref="AK1078">_xlfn.IFS(
HR_Data[[#This Row],[MonthlyIncome]]&lt;3000,"&lt;3K",
HR_Data[[#This Row],[MonthlyIncome]]&lt;6000,"3K-6K",
HR_Data[[#This Row],[MonthlyIncome]]&lt;10000,"6K-10K",
TRUE,"10K+"
)</f>
        <v>10K+</v>
      </c>
      <c r="AL1078" t="str" cm="1">
        <f t="array" ref="AL1078">_xlfn.IFS(
HR_Data[[#This Row],[YearsAtCompany]]&lt;2,"&lt;2 Years",
HR_Data[[#This Row],[YearsAtCompany]]&lt;5,"2-4 Years",
HR_Data[[#This Row],[YearsAtCompany]]&lt;10,"5-9 Years",
TRUE,"10+ Years"
)</f>
        <v>10+ Years</v>
      </c>
      <c r="AM1078" s="1">
        <f>IF(HR_Data[[#This Row],[Attrition]]="Yes",1,0)</f>
        <v>0</v>
      </c>
    </row>
    <row r="1079" spans="1:39" x14ac:dyDescent="0.3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 cm="1">
        <f t="array" ref="AJ1079">_xlfn.IFS(
HR_Data[[#This Row],[Age]]&lt;25,"Under 25",
HR_Data[[#This Row],[Age]]&lt;35,"25-34",
HR_Data[[#This Row],[Age]]&lt;45,"35-44",
HR_Data[[#This Row],[Age]]&lt;55,"45-54",
TRUE,"55+"
)</f>
        <v>25-34</v>
      </c>
      <c r="AK1079" t="str" cm="1">
        <f t="array" ref="AK1079">_xlfn.IFS(
HR_Data[[#This Row],[MonthlyIncome]]&lt;3000,"&lt;3K",
HR_Data[[#This Row],[MonthlyIncome]]&lt;6000,"3K-6K",
HR_Data[[#This Row],[MonthlyIncome]]&lt;10000,"6K-10K",
TRUE,"10K+"
)</f>
        <v>&lt;3K</v>
      </c>
      <c r="AL1079" t="str" cm="1">
        <f t="array" ref="AL1079">_xlfn.IFS(
HR_Data[[#This Row],[YearsAtCompany]]&lt;2,"&lt;2 Years",
HR_Data[[#This Row],[YearsAtCompany]]&lt;5,"2-4 Years",
HR_Data[[#This Row],[YearsAtCompany]]&lt;10,"5-9 Years",
TRUE,"10+ Years"
)</f>
        <v>5-9 Years</v>
      </c>
      <c r="AM1079" s="1">
        <f>IF(HR_Data[[#This Row],[Attrition]]="Yes",1,0)</f>
        <v>1</v>
      </c>
    </row>
    <row r="1080" spans="1:39" x14ac:dyDescent="0.3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 cm="1">
        <f t="array" ref="AJ1080">_xlfn.IFS(
HR_Data[[#This Row],[Age]]&lt;25,"Under 25",
HR_Data[[#This Row],[Age]]&lt;35,"25-34",
HR_Data[[#This Row],[Age]]&lt;45,"35-44",
HR_Data[[#This Row],[Age]]&lt;55,"45-54",
TRUE,"55+"
)</f>
        <v>35-44</v>
      </c>
      <c r="AK1080" t="str" cm="1">
        <f t="array" ref="AK1080">_xlfn.IFS(
HR_Data[[#This Row],[MonthlyIncome]]&lt;3000,"&lt;3K",
HR_Data[[#This Row],[MonthlyIncome]]&lt;6000,"3K-6K",
HR_Data[[#This Row],[MonthlyIncome]]&lt;10000,"6K-10K",
TRUE,"10K+"
)</f>
        <v>10K+</v>
      </c>
      <c r="AL1080" t="str" cm="1">
        <f t="array" ref="AL1080">_xlfn.IFS(
HR_Data[[#This Row],[YearsAtCompany]]&lt;2,"&lt;2 Years",
HR_Data[[#This Row],[YearsAtCompany]]&lt;5,"2-4 Years",
HR_Data[[#This Row],[YearsAtCompany]]&lt;10,"5-9 Years",
TRUE,"10+ Years"
)</f>
        <v>10+ Years</v>
      </c>
      <c r="AM1080" s="1">
        <f>IF(HR_Data[[#This Row],[Attrition]]="Yes",1,0)</f>
        <v>0</v>
      </c>
    </row>
    <row r="1081" spans="1:39" x14ac:dyDescent="0.3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 cm="1">
        <f t="array" ref="AJ1081">_xlfn.IFS(
HR_Data[[#This Row],[Age]]&lt;25,"Under 25",
HR_Data[[#This Row],[Age]]&lt;35,"25-34",
HR_Data[[#This Row],[Age]]&lt;45,"35-44",
HR_Data[[#This Row],[Age]]&lt;55,"45-54",
TRUE,"55+"
)</f>
        <v>35-44</v>
      </c>
      <c r="AK1081" t="str" cm="1">
        <f t="array" ref="AK1081">_xlfn.IFS(
HR_Data[[#This Row],[MonthlyIncome]]&lt;3000,"&lt;3K",
HR_Data[[#This Row],[MonthlyIncome]]&lt;6000,"3K-6K",
HR_Data[[#This Row],[MonthlyIncome]]&lt;10000,"6K-10K",
TRUE,"10K+"
)</f>
        <v>6K-10K</v>
      </c>
      <c r="AL1081" t="str" cm="1">
        <f t="array" ref="AL1081">_xlfn.IFS(
HR_Data[[#This Row],[YearsAtCompany]]&lt;2,"&lt;2 Years",
HR_Data[[#This Row],[YearsAtCompany]]&lt;5,"2-4 Years",
HR_Data[[#This Row],[YearsAtCompany]]&lt;10,"5-9 Years",
TRUE,"10+ Years"
)</f>
        <v>2-4 Years</v>
      </c>
      <c r="AM1081" s="1">
        <f>IF(HR_Data[[#This Row],[Attrition]]="Yes",1,0)</f>
        <v>0</v>
      </c>
    </row>
    <row r="1082" spans="1:39" x14ac:dyDescent="0.3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 cm="1">
        <f t="array" ref="AJ1082">_xlfn.IFS(
HR_Data[[#This Row],[Age]]&lt;25,"Under 25",
HR_Data[[#This Row],[Age]]&lt;35,"25-34",
HR_Data[[#This Row],[Age]]&lt;45,"35-44",
HR_Data[[#This Row],[Age]]&lt;55,"45-54",
TRUE,"55+"
)</f>
        <v>45-54</v>
      </c>
      <c r="AK1082" t="str" cm="1">
        <f t="array" ref="AK1082">_xlfn.IFS(
HR_Data[[#This Row],[MonthlyIncome]]&lt;3000,"&lt;3K",
HR_Data[[#This Row],[MonthlyIncome]]&lt;6000,"3K-6K",
HR_Data[[#This Row],[MonthlyIncome]]&lt;10000,"6K-10K",
TRUE,"10K+"
)</f>
        <v>10K+</v>
      </c>
      <c r="AL1082" t="str" cm="1">
        <f t="array" ref="AL1082">_xlfn.IFS(
HR_Data[[#This Row],[YearsAtCompany]]&lt;2,"&lt;2 Years",
HR_Data[[#This Row],[YearsAtCompany]]&lt;5,"2-4 Years",
HR_Data[[#This Row],[YearsAtCompany]]&lt;10,"5-9 Years",
TRUE,"10+ Years"
)</f>
        <v>10+ Years</v>
      </c>
      <c r="AM1082" s="1">
        <f>IF(HR_Data[[#This Row],[Attrition]]="Yes",1,0)</f>
        <v>0</v>
      </c>
    </row>
    <row r="1083" spans="1:39" x14ac:dyDescent="0.3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 cm="1">
        <f t="array" ref="AJ1083">_xlfn.IFS(
HR_Data[[#This Row],[Age]]&lt;25,"Under 25",
HR_Data[[#This Row],[Age]]&lt;35,"25-34",
HR_Data[[#This Row],[Age]]&lt;45,"35-44",
HR_Data[[#This Row],[Age]]&lt;55,"45-54",
TRUE,"55+"
)</f>
        <v>35-44</v>
      </c>
      <c r="AK1083" t="str" cm="1">
        <f t="array" ref="AK1083">_xlfn.IFS(
HR_Data[[#This Row],[MonthlyIncome]]&lt;3000,"&lt;3K",
HR_Data[[#This Row],[MonthlyIncome]]&lt;6000,"3K-6K",
HR_Data[[#This Row],[MonthlyIncome]]&lt;10000,"6K-10K",
TRUE,"10K+"
)</f>
        <v>6K-10K</v>
      </c>
      <c r="AL1083" t="str" cm="1">
        <f t="array" ref="AL1083">_xlfn.IFS(
HR_Data[[#This Row],[YearsAtCompany]]&lt;2,"&lt;2 Years",
HR_Data[[#This Row],[YearsAtCompany]]&lt;5,"2-4 Years",
HR_Data[[#This Row],[YearsAtCompany]]&lt;10,"5-9 Years",
TRUE,"10+ Years"
)</f>
        <v>10+ Years</v>
      </c>
      <c r="AM1083" s="1">
        <f>IF(HR_Data[[#This Row],[Attrition]]="Yes",1,0)</f>
        <v>0</v>
      </c>
    </row>
    <row r="1084" spans="1:39" x14ac:dyDescent="0.3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 cm="1">
        <f t="array" ref="AJ1084">_xlfn.IFS(
HR_Data[[#This Row],[Age]]&lt;25,"Under 25",
HR_Data[[#This Row],[Age]]&lt;35,"25-34",
HR_Data[[#This Row],[Age]]&lt;45,"35-44",
HR_Data[[#This Row],[Age]]&lt;55,"45-54",
TRUE,"55+"
)</f>
        <v>Under 25</v>
      </c>
      <c r="AK1084" t="str" cm="1">
        <f t="array" ref="AK1084">_xlfn.IFS(
HR_Data[[#This Row],[MonthlyIncome]]&lt;3000,"&lt;3K",
HR_Data[[#This Row],[MonthlyIncome]]&lt;6000,"3K-6K",
HR_Data[[#This Row],[MonthlyIncome]]&lt;10000,"6K-10K",
TRUE,"10K+"
)</f>
        <v>&lt;3K</v>
      </c>
      <c r="AL1084" t="str" cm="1">
        <f t="array" ref="AL1084">_xlfn.IFS(
HR_Data[[#This Row],[YearsAtCompany]]&lt;2,"&lt;2 Years",
HR_Data[[#This Row],[YearsAtCompany]]&lt;5,"2-4 Years",
HR_Data[[#This Row],[YearsAtCompany]]&lt;10,"5-9 Years",
TRUE,"10+ Years"
)</f>
        <v>2-4 Years</v>
      </c>
      <c r="AM1084" s="1">
        <f>IF(HR_Data[[#This Row],[Attrition]]="Yes",1,0)</f>
        <v>0</v>
      </c>
    </row>
    <row r="1085" spans="1:39" x14ac:dyDescent="0.3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 cm="1">
        <f t="array" ref="AJ1085">_xlfn.IFS(
HR_Data[[#This Row],[Age]]&lt;25,"Under 25",
HR_Data[[#This Row],[Age]]&lt;35,"25-34",
HR_Data[[#This Row],[Age]]&lt;45,"35-44",
HR_Data[[#This Row],[Age]]&lt;55,"45-54",
TRUE,"55+"
)</f>
        <v>35-44</v>
      </c>
      <c r="AK1085" t="str" cm="1">
        <f t="array" ref="AK1085">_xlfn.IFS(
HR_Data[[#This Row],[MonthlyIncome]]&lt;3000,"&lt;3K",
HR_Data[[#This Row],[MonthlyIncome]]&lt;6000,"3K-6K",
HR_Data[[#This Row],[MonthlyIncome]]&lt;10000,"6K-10K",
TRUE,"10K+"
)</f>
        <v>&lt;3K</v>
      </c>
      <c r="AL1085" t="str" cm="1">
        <f t="array" ref="AL1085">_xlfn.IFS(
HR_Data[[#This Row],[YearsAtCompany]]&lt;2,"&lt;2 Years",
HR_Data[[#This Row],[YearsAtCompany]]&lt;5,"2-4 Years",
HR_Data[[#This Row],[YearsAtCompany]]&lt;10,"5-9 Years",
TRUE,"10+ Years"
)</f>
        <v>5-9 Years</v>
      </c>
      <c r="AM1085" s="1">
        <f>IF(HR_Data[[#This Row],[Attrition]]="Yes",1,0)</f>
        <v>1</v>
      </c>
    </row>
    <row r="1086" spans="1:39" x14ac:dyDescent="0.3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 cm="1">
        <f t="array" ref="AJ1086">_xlfn.IFS(
HR_Data[[#This Row],[Age]]&lt;25,"Under 25",
HR_Data[[#This Row],[Age]]&lt;35,"25-34",
HR_Data[[#This Row],[Age]]&lt;45,"35-44",
HR_Data[[#This Row],[Age]]&lt;55,"45-54",
TRUE,"55+"
)</f>
        <v>25-34</v>
      </c>
      <c r="AK1086" t="str" cm="1">
        <f t="array" ref="AK1086">_xlfn.IFS(
HR_Data[[#This Row],[MonthlyIncome]]&lt;3000,"&lt;3K",
HR_Data[[#This Row],[MonthlyIncome]]&lt;6000,"3K-6K",
HR_Data[[#This Row],[MonthlyIncome]]&lt;10000,"6K-10K",
TRUE,"10K+"
)</f>
        <v>6K-10K</v>
      </c>
      <c r="AL1086" t="str" cm="1">
        <f t="array" ref="AL1086">_xlfn.IFS(
HR_Data[[#This Row],[YearsAtCompany]]&lt;2,"&lt;2 Years",
HR_Data[[#This Row],[YearsAtCompany]]&lt;5,"2-4 Years",
HR_Data[[#This Row],[YearsAtCompany]]&lt;10,"5-9 Years",
TRUE,"10+ Years"
)</f>
        <v>10+ Years</v>
      </c>
      <c r="AM1086" s="1">
        <f>IF(HR_Data[[#This Row],[Attrition]]="Yes",1,0)</f>
        <v>0</v>
      </c>
    </row>
    <row r="1087" spans="1:39" x14ac:dyDescent="0.3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 cm="1">
        <f t="array" ref="AJ1087">_xlfn.IFS(
HR_Data[[#This Row],[Age]]&lt;25,"Under 25",
HR_Data[[#This Row],[Age]]&lt;35,"25-34",
HR_Data[[#This Row],[Age]]&lt;45,"35-44",
HR_Data[[#This Row],[Age]]&lt;55,"45-54",
TRUE,"55+"
)</f>
        <v>25-34</v>
      </c>
      <c r="AK1087" t="str" cm="1">
        <f t="array" ref="AK1087">_xlfn.IFS(
HR_Data[[#This Row],[MonthlyIncome]]&lt;3000,"&lt;3K",
HR_Data[[#This Row],[MonthlyIncome]]&lt;6000,"3K-6K",
HR_Data[[#This Row],[MonthlyIncome]]&lt;10000,"6K-10K",
TRUE,"10K+"
)</f>
        <v>3K-6K</v>
      </c>
      <c r="AL1087" t="str" cm="1">
        <f t="array" ref="AL1087">_xlfn.IFS(
HR_Data[[#This Row],[YearsAtCompany]]&lt;2,"&lt;2 Years",
HR_Data[[#This Row],[YearsAtCompany]]&lt;5,"2-4 Years",
HR_Data[[#This Row],[YearsAtCompany]]&lt;10,"5-9 Years",
TRUE,"10+ Years"
)</f>
        <v>5-9 Years</v>
      </c>
      <c r="AM1087" s="1">
        <f>IF(HR_Data[[#This Row],[Attrition]]="Yes",1,0)</f>
        <v>1</v>
      </c>
    </row>
    <row r="1088" spans="1:39" x14ac:dyDescent="0.3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 cm="1">
        <f t="array" ref="AJ1088">_xlfn.IFS(
HR_Data[[#This Row],[Age]]&lt;25,"Under 25",
HR_Data[[#This Row],[Age]]&lt;35,"25-34",
HR_Data[[#This Row],[Age]]&lt;45,"35-44",
HR_Data[[#This Row],[Age]]&lt;55,"45-54",
TRUE,"55+"
)</f>
        <v>45-54</v>
      </c>
      <c r="AK1088" t="str" cm="1">
        <f t="array" ref="AK1088">_xlfn.IFS(
HR_Data[[#This Row],[MonthlyIncome]]&lt;3000,"&lt;3K",
HR_Data[[#This Row],[MonthlyIncome]]&lt;6000,"3K-6K",
HR_Data[[#This Row],[MonthlyIncome]]&lt;10000,"6K-10K",
TRUE,"10K+"
)</f>
        <v>10K+</v>
      </c>
      <c r="AL1088" t="str" cm="1">
        <f t="array" ref="AL1088">_xlfn.IFS(
HR_Data[[#This Row],[YearsAtCompany]]&lt;2,"&lt;2 Years",
HR_Data[[#This Row],[YearsAtCompany]]&lt;5,"2-4 Years",
HR_Data[[#This Row],[YearsAtCompany]]&lt;10,"5-9 Years",
TRUE,"10+ Years"
)</f>
        <v>10+ Years</v>
      </c>
      <c r="AM1088" s="1">
        <f>IF(HR_Data[[#This Row],[Attrition]]="Yes",1,0)</f>
        <v>0</v>
      </c>
    </row>
    <row r="1089" spans="1:39" x14ac:dyDescent="0.3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 cm="1">
        <f t="array" ref="AJ1089">_xlfn.IFS(
HR_Data[[#This Row],[Age]]&lt;25,"Under 25",
HR_Data[[#This Row],[Age]]&lt;35,"25-34",
HR_Data[[#This Row],[Age]]&lt;45,"35-44",
HR_Data[[#This Row],[Age]]&lt;55,"45-54",
TRUE,"55+"
)</f>
        <v>25-34</v>
      </c>
      <c r="AK1089" t="str" cm="1">
        <f t="array" ref="AK1089">_xlfn.IFS(
HR_Data[[#This Row],[MonthlyIncome]]&lt;3000,"&lt;3K",
HR_Data[[#This Row],[MonthlyIncome]]&lt;6000,"3K-6K",
HR_Data[[#This Row],[MonthlyIncome]]&lt;10000,"6K-10K",
TRUE,"10K+"
)</f>
        <v>&lt;3K</v>
      </c>
      <c r="AL1089" t="str" cm="1">
        <f t="array" ref="AL1089">_xlfn.IFS(
HR_Data[[#This Row],[YearsAtCompany]]&lt;2,"&lt;2 Years",
HR_Data[[#This Row],[YearsAtCompany]]&lt;5,"2-4 Years",
HR_Data[[#This Row],[YearsAtCompany]]&lt;10,"5-9 Years",
TRUE,"10+ Years"
)</f>
        <v>10+ Years</v>
      </c>
      <c r="AM1089" s="1">
        <f>IF(HR_Data[[#This Row],[Attrition]]="Yes",1,0)</f>
        <v>0</v>
      </c>
    </row>
    <row r="1090" spans="1:39" x14ac:dyDescent="0.3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 cm="1">
        <f t="array" ref="AJ1090">_xlfn.IFS(
HR_Data[[#This Row],[Age]]&lt;25,"Under 25",
HR_Data[[#This Row],[Age]]&lt;35,"25-34",
HR_Data[[#This Row],[Age]]&lt;45,"35-44",
HR_Data[[#This Row],[Age]]&lt;55,"45-54",
TRUE,"55+"
)</f>
        <v>35-44</v>
      </c>
      <c r="AK1090" t="str" cm="1">
        <f t="array" ref="AK1090">_xlfn.IFS(
HR_Data[[#This Row],[MonthlyIncome]]&lt;3000,"&lt;3K",
HR_Data[[#This Row],[MonthlyIncome]]&lt;6000,"3K-6K",
HR_Data[[#This Row],[MonthlyIncome]]&lt;10000,"6K-10K",
TRUE,"10K+"
)</f>
        <v>3K-6K</v>
      </c>
      <c r="AL1090" t="str" cm="1">
        <f t="array" ref="AL1090">_xlfn.IFS(
HR_Data[[#This Row],[YearsAtCompany]]&lt;2,"&lt;2 Years",
HR_Data[[#This Row],[YearsAtCompany]]&lt;5,"2-4 Years",
HR_Data[[#This Row],[YearsAtCompany]]&lt;10,"5-9 Years",
TRUE,"10+ Years"
)</f>
        <v>&lt;2 Years</v>
      </c>
      <c r="AM1090" s="1">
        <f>IF(HR_Data[[#This Row],[Attrition]]="Yes",1,0)</f>
        <v>0</v>
      </c>
    </row>
    <row r="1091" spans="1:39" x14ac:dyDescent="0.3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 cm="1">
        <f t="array" ref="AJ1091">_xlfn.IFS(
HR_Data[[#This Row],[Age]]&lt;25,"Under 25",
HR_Data[[#This Row],[Age]]&lt;35,"25-34",
HR_Data[[#This Row],[Age]]&lt;45,"35-44",
HR_Data[[#This Row],[Age]]&lt;55,"45-54",
TRUE,"55+"
)</f>
        <v>35-44</v>
      </c>
      <c r="AK1091" t="str" cm="1">
        <f t="array" ref="AK1091">_xlfn.IFS(
HR_Data[[#This Row],[MonthlyIncome]]&lt;3000,"&lt;3K",
HR_Data[[#This Row],[MonthlyIncome]]&lt;6000,"3K-6K",
HR_Data[[#This Row],[MonthlyIncome]]&lt;10000,"6K-10K",
TRUE,"10K+"
)</f>
        <v>3K-6K</v>
      </c>
      <c r="AL1091" t="str" cm="1">
        <f t="array" ref="AL1091">_xlfn.IFS(
HR_Data[[#This Row],[YearsAtCompany]]&lt;2,"&lt;2 Years",
HR_Data[[#This Row],[YearsAtCompany]]&lt;5,"2-4 Years",
HR_Data[[#This Row],[YearsAtCompany]]&lt;10,"5-9 Years",
TRUE,"10+ Years"
)</f>
        <v>10+ Years</v>
      </c>
      <c r="AM1091" s="1">
        <f>IF(HR_Data[[#This Row],[Attrition]]="Yes",1,0)</f>
        <v>0</v>
      </c>
    </row>
    <row r="1092" spans="1:39" x14ac:dyDescent="0.3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 cm="1">
        <f t="array" ref="AJ1092">_xlfn.IFS(
HR_Data[[#This Row],[Age]]&lt;25,"Under 25",
HR_Data[[#This Row],[Age]]&lt;35,"25-34",
HR_Data[[#This Row],[Age]]&lt;45,"35-44",
HR_Data[[#This Row],[Age]]&lt;55,"45-54",
TRUE,"55+"
)</f>
        <v>25-34</v>
      </c>
      <c r="AK1092" t="str" cm="1">
        <f t="array" ref="AK1092">_xlfn.IFS(
HR_Data[[#This Row],[MonthlyIncome]]&lt;3000,"&lt;3K",
HR_Data[[#This Row],[MonthlyIncome]]&lt;6000,"3K-6K",
HR_Data[[#This Row],[MonthlyIncome]]&lt;10000,"6K-10K",
TRUE,"10K+"
)</f>
        <v>6K-10K</v>
      </c>
      <c r="AL1092" t="str" cm="1">
        <f t="array" ref="AL1092">_xlfn.IFS(
HR_Data[[#This Row],[YearsAtCompany]]&lt;2,"&lt;2 Years",
HR_Data[[#This Row],[YearsAtCompany]]&lt;5,"2-4 Years",
HR_Data[[#This Row],[YearsAtCompany]]&lt;10,"5-9 Years",
TRUE,"10+ Years"
)</f>
        <v>5-9 Years</v>
      </c>
      <c r="AM1092" s="1">
        <f>IF(HR_Data[[#This Row],[Attrition]]="Yes",1,0)</f>
        <v>0</v>
      </c>
    </row>
    <row r="1093" spans="1:39" x14ac:dyDescent="0.3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 cm="1">
        <f t="array" ref="AJ1093">_xlfn.IFS(
HR_Data[[#This Row],[Age]]&lt;25,"Under 25",
HR_Data[[#This Row],[Age]]&lt;35,"25-34",
HR_Data[[#This Row],[Age]]&lt;45,"35-44",
HR_Data[[#This Row],[Age]]&lt;55,"45-54",
TRUE,"55+"
)</f>
        <v>25-34</v>
      </c>
      <c r="AK1093" t="str" cm="1">
        <f t="array" ref="AK1093">_xlfn.IFS(
HR_Data[[#This Row],[MonthlyIncome]]&lt;3000,"&lt;3K",
HR_Data[[#This Row],[MonthlyIncome]]&lt;6000,"3K-6K",
HR_Data[[#This Row],[MonthlyIncome]]&lt;10000,"6K-10K",
TRUE,"10K+"
)</f>
        <v>3K-6K</v>
      </c>
      <c r="AL1093" t="str" cm="1">
        <f t="array" ref="AL1093">_xlfn.IFS(
HR_Data[[#This Row],[YearsAtCompany]]&lt;2,"&lt;2 Years",
HR_Data[[#This Row],[YearsAtCompany]]&lt;5,"2-4 Years",
HR_Data[[#This Row],[YearsAtCompany]]&lt;10,"5-9 Years",
TRUE,"10+ Years"
)</f>
        <v>5-9 Years</v>
      </c>
      <c r="AM1093" s="1">
        <f>IF(HR_Data[[#This Row],[Attrition]]="Yes",1,0)</f>
        <v>0</v>
      </c>
    </row>
    <row r="1094" spans="1:39" x14ac:dyDescent="0.3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 cm="1">
        <f t="array" ref="AJ1094">_xlfn.IFS(
HR_Data[[#This Row],[Age]]&lt;25,"Under 25",
HR_Data[[#This Row],[Age]]&lt;35,"25-34",
HR_Data[[#This Row],[Age]]&lt;45,"35-44",
HR_Data[[#This Row],[Age]]&lt;55,"45-54",
TRUE,"55+"
)</f>
        <v>45-54</v>
      </c>
      <c r="AK1094" t="str" cm="1">
        <f t="array" ref="AK1094">_xlfn.IFS(
HR_Data[[#This Row],[MonthlyIncome]]&lt;3000,"&lt;3K",
HR_Data[[#This Row],[MonthlyIncome]]&lt;6000,"3K-6K",
HR_Data[[#This Row],[MonthlyIncome]]&lt;10000,"6K-10K",
TRUE,"10K+"
)</f>
        <v>&lt;3K</v>
      </c>
      <c r="AL1094" t="str" cm="1">
        <f t="array" ref="AL1094">_xlfn.IFS(
HR_Data[[#This Row],[YearsAtCompany]]&lt;2,"&lt;2 Years",
HR_Data[[#This Row],[YearsAtCompany]]&lt;5,"2-4 Years",
HR_Data[[#This Row],[YearsAtCompany]]&lt;10,"5-9 Years",
TRUE,"10+ Years"
)</f>
        <v>5-9 Years</v>
      </c>
      <c r="AM1094" s="1">
        <f>IF(HR_Data[[#This Row],[Attrition]]="Yes",1,0)</f>
        <v>0</v>
      </c>
    </row>
    <row r="1095" spans="1:39" x14ac:dyDescent="0.3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 cm="1">
        <f t="array" ref="AJ1095">_xlfn.IFS(
HR_Data[[#This Row],[Age]]&lt;25,"Under 25",
HR_Data[[#This Row],[Age]]&lt;35,"25-34",
HR_Data[[#This Row],[Age]]&lt;45,"35-44",
HR_Data[[#This Row],[Age]]&lt;55,"45-54",
TRUE,"55+"
)</f>
        <v>35-44</v>
      </c>
      <c r="AK1095" t="str" cm="1">
        <f t="array" ref="AK1095">_xlfn.IFS(
HR_Data[[#This Row],[MonthlyIncome]]&lt;3000,"&lt;3K",
HR_Data[[#This Row],[MonthlyIncome]]&lt;6000,"3K-6K",
HR_Data[[#This Row],[MonthlyIncome]]&lt;10000,"6K-10K",
TRUE,"10K+"
)</f>
        <v>10K+</v>
      </c>
      <c r="AL1095" t="str" cm="1">
        <f t="array" ref="AL1095">_xlfn.IFS(
HR_Data[[#This Row],[YearsAtCompany]]&lt;2,"&lt;2 Years",
HR_Data[[#This Row],[YearsAtCompany]]&lt;5,"2-4 Years",
HR_Data[[#This Row],[YearsAtCompany]]&lt;10,"5-9 Years",
TRUE,"10+ Years"
)</f>
        <v>10+ Years</v>
      </c>
      <c r="AM1095" s="1">
        <f>IF(HR_Data[[#This Row],[Attrition]]="Yes",1,0)</f>
        <v>0</v>
      </c>
    </row>
    <row r="1096" spans="1:39" x14ac:dyDescent="0.3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 cm="1">
        <f t="array" ref="AJ1096">_xlfn.IFS(
HR_Data[[#This Row],[Age]]&lt;25,"Under 25",
HR_Data[[#This Row],[Age]]&lt;35,"25-34",
HR_Data[[#This Row],[Age]]&lt;45,"35-44",
HR_Data[[#This Row],[Age]]&lt;55,"45-54",
TRUE,"55+"
)</f>
        <v>35-44</v>
      </c>
      <c r="AK1096" t="str" cm="1">
        <f t="array" ref="AK1096">_xlfn.IFS(
HR_Data[[#This Row],[MonthlyIncome]]&lt;3000,"&lt;3K",
HR_Data[[#This Row],[MonthlyIncome]]&lt;6000,"3K-6K",
HR_Data[[#This Row],[MonthlyIncome]]&lt;10000,"6K-10K",
TRUE,"10K+"
)</f>
        <v>3K-6K</v>
      </c>
      <c r="AL1096" t="str" cm="1">
        <f t="array" ref="AL1096">_xlfn.IFS(
HR_Data[[#This Row],[YearsAtCompany]]&lt;2,"&lt;2 Years",
HR_Data[[#This Row],[YearsAtCompany]]&lt;5,"2-4 Years",
HR_Data[[#This Row],[YearsAtCompany]]&lt;10,"5-9 Years",
TRUE,"10+ Years"
)</f>
        <v>5-9 Years</v>
      </c>
      <c r="AM1096" s="1">
        <f>IF(HR_Data[[#This Row],[Attrition]]="Yes",1,0)</f>
        <v>0</v>
      </c>
    </row>
    <row r="1097" spans="1:39" x14ac:dyDescent="0.3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 cm="1">
        <f t="array" ref="AJ1097">_xlfn.IFS(
HR_Data[[#This Row],[Age]]&lt;25,"Under 25",
HR_Data[[#This Row],[Age]]&lt;35,"25-34",
HR_Data[[#This Row],[Age]]&lt;45,"35-44",
HR_Data[[#This Row],[Age]]&lt;55,"45-54",
TRUE,"55+"
)</f>
        <v>25-34</v>
      </c>
      <c r="AK1097" t="str" cm="1">
        <f t="array" ref="AK1097">_xlfn.IFS(
HR_Data[[#This Row],[MonthlyIncome]]&lt;3000,"&lt;3K",
HR_Data[[#This Row],[MonthlyIncome]]&lt;6000,"3K-6K",
HR_Data[[#This Row],[MonthlyIncome]]&lt;10000,"6K-10K",
TRUE,"10K+"
)</f>
        <v>3K-6K</v>
      </c>
      <c r="AL1097" t="str" cm="1">
        <f t="array" ref="AL1097">_xlfn.IFS(
HR_Data[[#This Row],[YearsAtCompany]]&lt;2,"&lt;2 Years",
HR_Data[[#This Row],[YearsAtCompany]]&lt;5,"2-4 Years",
HR_Data[[#This Row],[YearsAtCompany]]&lt;10,"5-9 Years",
TRUE,"10+ Years"
)</f>
        <v>10+ Years</v>
      </c>
      <c r="AM1097" s="1">
        <f>IF(HR_Data[[#This Row],[Attrition]]="Yes",1,0)</f>
        <v>0</v>
      </c>
    </row>
    <row r="1098" spans="1:39" x14ac:dyDescent="0.3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 cm="1">
        <f t="array" ref="AJ1098">_xlfn.IFS(
HR_Data[[#This Row],[Age]]&lt;25,"Under 25",
HR_Data[[#This Row],[Age]]&lt;35,"25-34",
HR_Data[[#This Row],[Age]]&lt;45,"35-44",
HR_Data[[#This Row],[Age]]&lt;55,"45-54",
TRUE,"55+"
)</f>
        <v>35-44</v>
      </c>
      <c r="AK1098" t="str" cm="1">
        <f t="array" ref="AK1098">_xlfn.IFS(
HR_Data[[#This Row],[MonthlyIncome]]&lt;3000,"&lt;3K",
HR_Data[[#This Row],[MonthlyIncome]]&lt;6000,"3K-6K",
HR_Data[[#This Row],[MonthlyIncome]]&lt;10000,"6K-10K",
TRUE,"10K+"
)</f>
        <v>10K+</v>
      </c>
      <c r="AL1098" t="str" cm="1">
        <f t="array" ref="AL1098">_xlfn.IFS(
HR_Data[[#This Row],[YearsAtCompany]]&lt;2,"&lt;2 Years",
HR_Data[[#This Row],[YearsAtCompany]]&lt;5,"2-4 Years",
HR_Data[[#This Row],[YearsAtCompany]]&lt;10,"5-9 Years",
TRUE,"10+ Years"
)</f>
        <v>10+ Years</v>
      </c>
      <c r="AM1098" s="1">
        <f>IF(HR_Data[[#This Row],[Attrition]]="Yes",1,0)</f>
        <v>0</v>
      </c>
    </row>
    <row r="1099" spans="1:39" x14ac:dyDescent="0.3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 cm="1">
        <f t="array" ref="AJ1099">_xlfn.IFS(
HR_Data[[#This Row],[Age]]&lt;25,"Under 25",
HR_Data[[#This Row],[Age]]&lt;35,"25-34",
HR_Data[[#This Row],[Age]]&lt;45,"35-44",
HR_Data[[#This Row],[Age]]&lt;55,"45-54",
TRUE,"55+"
)</f>
        <v>Under 25</v>
      </c>
      <c r="AK1099" t="str" cm="1">
        <f t="array" ref="AK1099">_xlfn.IFS(
HR_Data[[#This Row],[MonthlyIncome]]&lt;3000,"&lt;3K",
HR_Data[[#This Row],[MonthlyIncome]]&lt;6000,"3K-6K",
HR_Data[[#This Row],[MonthlyIncome]]&lt;10000,"6K-10K",
TRUE,"10K+"
)</f>
        <v>&lt;3K</v>
      </c>
      <c r="AL1099" t="str" cm="1">
        <f t="array" ref="AL1099">_xlfn.IFS(
HR_Data[[#This Row],[YearsAtCompany]]&lt;2,"&lt;2 Years",
HR_Data[[#This Row],[YearsAtCompany]]&lt;5,"2-4 Years",
HR_Data[[#This Row],[YearsAtCompany]]&lt;10,"5-9 Years",
TRUE,"10+ Years"
)</f>
        <v>&lt;2 Years</v>
      </c>
      <c r="AM1099" s="1">
        <f>IF(HR_Data[[#This Row],[Attrition]]="Yes",1,0)</f>
        <v>0</v>
      </c>
    </row>
    <row r="1100" spans="1:39" x14ac:dyDescent="0.3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 cm="1">
        <f t="array" ref="AJ1100">_xlfn.IFS(
HR_Data[[#This Row],[Age]]&lt;25,"Under 25",
HR_Data[[#This Row],[Age]]&lt;35,"25-34",
HR_Data[[#This Row],[Age]]&lt;45,"35-44",
HR_Data[[#This Row],[Age]]&lt;55,"45-54",
TRUE,"55+"
)</f>
        <v>35-44</v>
      </c>
      <c r="AK1100" t="str" cm="1">
        <f t="array" ref="AK1100">_xlfn.IFS(
HR_Data[[#This Row],[MonthlyIncome]]&lt;3000,"&lt;3K",
HR_Data[[#This Row],[MonthlyIncome]]&lt;6000,"3K-6K",
HR_Data[[#This Row],[MonthlyIncome]]&lt;10000,"6K-10K",
TRUE,"10K+"
)</f>
        <v>3K-6K</v>
      </c>
      <c r="AL1100" t="str" cm="1">
        <f t="array" ref="AL1100">_xlfn.IFS(
HR_Data[[#This Row],[YearsAtCompany]]&lt;2,"&lt;2 Years",
HR_Data[[#This Row],[YearsAtCompany]]&lt;5,"2-4 Years",
HR_Data[[#This Row],[YearsAtCompany]]&lt;10,"5-9 Years",
TRUE,"10+ Years"
)</f>
        <v>2-4 Years</v>
      </c>
      <c r="AM1100" s="1">
        <f>IF(HR_Data[[#This Row],[Attrition]]="Yes",1,0)</f>
        <v>0</v>
      </c>
    </row>
    <row r="1101" spans="1:39" x14ac:dyDescent="0.3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 cm="1">
        <f t="array" ref="AJ1101">_xlfn.IFS(
HR_Data[[#This Row],[Age]]&lt;25,"Under 25",
HR_Data[[#This Row],[Age]]&lt;35,"25-34",
HR_Data[[#This Row],[Age]]&lt;45,"35-44",
HR_Data[[#This Row],[Age]]&lt;55,"45-54",
TRUE,"55+"
)</f>
        <v>45-54</v>
      </c>
      <c r="AK1101" t="str" cm="1">
        <f t="array" ref="AK1101">_xlfn.IFS(
HR_Data[[#This Row],[MonthlyIncome]]&lt;3000,"&lt;3K",
HR_Data[[#This Row],[MonthlyIncome]]&lt;6000,"3K-6K",
HR_Data[[#This Row],[MonthlyIncome]]&lt;10000,"6K-10K",
TRUE,"10K+"
)</f>
        <v>6K-10K</v>
      </c>
      <c r="AL1101" t="str" cm="1">
        <f t="array" ref="AL1101">_xlfn.IFS(
HR_Data[[#This Row],[YearsAtCompany]]&lt;2,"&lt;2 Years",
HR_Data[[#This Row],[YearsAtCompany]]&lt;5,"2-4 Years",
HR_Data[[#This Row],[YearsAtCompany]]&lt;10,"5-9 Years",
TRUE,"10+ Years"
)</f>
        <v>10+ Years</v>
      </c>
      <c r="AM1101" s="1">
        <f>IF(HR_Data[[#This Row],[Attrition]]="Yes",1,0)</f>
        <v>0</v>
      </c>
    </row>
    <row r="1102" spans="1:39" x14ac:dyDescent="0.3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 cm="1">
        <f t="array" ref="AJ1102">_xlfn.IFS(
HR_Data[[#This Row],[Age]]&lt;25,"Under 25",
HR_Data[[#This Row],[Age]]&lt;35,"25-34",
HR_Data[[#This Row],[Age]]&lt;45,"35-44",
HR_Data[[#This Row],[Age]]&lt;55,"45-54",
TRUE,"55+"
)</f>
        <v>35-44</v>
      </c>
      <c r="AK1102" t="str" cm="1">
        <f t="array" ref="AK1102">_xlfn.IFS(
HR_Data[[#This Row],[MonthlyIncome]]&lt;3000,"&lt;3K",
HR_Data[[#This Row],[MonthlyIncome]]&lt;6000,"3K-6K",
HR_Data[[#This Row],[MonthlyIncome]]&lt;10000,"6K-10K",
TRUE,"10K+"
)</f>
        <v>&lt;3K</v>
      </c>
      <c r="AL1102" t="str" cm="1">
        <f t="array" ref="AL1102">_xlfn.IFS(
HR_Data[[#This Row],[YearsAtCompany]]&lt;2,"&lt;2 Years",
HR_Data[[#This Row],[YearsAtCompany]]&lt;5,"2-4 Years",
HR_Data[[#This Row],[YearsAtCompany]]&lt;10,"5-9 Years",
TRUE,"10+ Years"
)</f>
        <v>5-9 Years</v>
      </c>
      <c r="AM1102" s="1">
        <f>IF(HR_Data[[#This Row],[Attrition]]="Yes",1,0)</f>
        <v>0</v>
      </c>
    </row>
    <row r="1103" spans="1:39" x14ac:dyDescent="0.3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 cm="1">
        <f t="array" ref="AJ1103">_xlfn.IFS(
HR_Data[[#This Row],[Age]]&lt;25,"Under 25",
HR_Data[[#This Row],[Age]]&lt;35,"25-34",
HR_Data[[#This Row],[Age]]&lt;45,"35-44",
HR_Data[[#This Row],[Age]]&lt;55,"45-54",
TRUE,"55+"
)</f>
        <v>25-34</v>
      </c>
      <c r="AK1103" t="str" cm="1">
        <f t="array" ref="AK1103">_xlfn.IFS(
HR_Data[[#This Row],[MonthlyIncome]]&lt;3000,"&lt;3K",
HR_Data[[#This Row],[MonthlyIncome]]&lt;6000,"3K-6K",
HR_Data[[#This Row],[MonthlyIncome]]&lt;10000,"6K-10K",
TRUE,"10K+"
)</f>
        <v>3K-6K</v>
      </c>
      <c r="AL1103" t="str" cm="1">
        <f t="array" ref="AL1103">_xlfn.IFS(
HR_Data[[#This Row],[YearsAtCompany]]&lt;2,"&lt;2 Years",
HR_Data[[#This Row],[YearsAtCompany]]&lt;5,"2-4 Years",
HR_Data[[#This Row],[YearsAtCompany]]&lt;10,"5-9 Years",
TRUE,"10+ Years"
)</f>
        <v>5-9 Years</v>
      </c>
      <c r="AM1103" s="1">
        <f>IF(HR_Data[[#This Row],[Attrition]]="Yes",1,0)</f>
        <v>0</v>
      </c>
    </row>
    <row r="1104" spans="1:39" x14ac:dyDescent="0.3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 cm="1">
        <f t="array" ref="AJ1104">_xlfn.IFS(
HR_Data[[#This Row],[Age]]&lt;25,"Under 25",
HR_Data[[#This Row],[Age]]&lt;35,"25-34",
HR_Data[[#This Row],[Age]]&lt;45,"35-44",
HR_Data[[#This Row],[Age]]&lt;55,"45-54",
TRUE,"55+"
)</f>
        <v>35-44</v>
      </c>
      <c r="AK1104" t="str" cm="1">
        <f t="array" ref="AK1104">_xlfn.IFS(
HR_Data[[#This Row],[MonthlyIncome]]&lt;3000,"&lt;3K",
HR_Data[[#This Row],[MonthlyIncome]]&lt;6000,"3K-6K",
HR_Data[[#This Row],[MonthlyIncome]]&lt;10000,"6K-10K",
TRUE,"10K+"
)</f>
        <v>&lt;3K</v>
      </c>
      <c r="AL1104" t="str" cm="1">
        <f t="array" ref="AL1104">_xlfn.IFS(
HR_Data[[#This Row],[YearsAtCompany]]&lt;2,"&lt;2 Years",
HR_Data[[#This Row],[YearsAtCompany]]&lt;5,"2-4 Years",
HR_Data[[#This Row],[YearsAtCompany]]&lt;10,"5-9 Years",
TRUE,"10+ Years"
)</f>
        <v>2-4 Years</v>
      </c>
      <c r="AM1104" s="1">
        <f>IF(HR_Data[[#This Row],[Attrition]]="Yes",1,0)</f>
        <v>0</v>
      </c>
    </row>
    <row r="1105" spans="1:39" x14ac:dyDescent="0.3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 cm="1">
        <f t="array" ref="AJ1105">_xlfn.IFS(
HR_Data[[#This Row],[Age]]&lt;25,"Under 25",
HR_Data[[#This Row],[Age]]&lt;35,"25-34",
HR_Data[[#This Row],[Age]]&lt;45,"35-44",
HR_Data[[#This Row],[Age]]&lt;55,"45-54",
TRUE,"55+"
)</f>
        <v>45-54</v>
      </c>
      <c r="AK1105" t="str" cm="1">
        <f t="array" ref="AK1105">_xlfn.IFS(
HR_Data[[#This Row],[MonthlyIncome]]&lt;3000,"&lt;3K",
HR_Data[[#This Row],[MonthlyIncome]]&lt;6000,"3K-6K",
HR_Data[[#This Row],[MonthlyIncome]]&lt;10000,"6K-10K",
TRUE,"10K+"
)</f>
        <v>6K-10K</v>
      </c>
      <c r="AL1105" t="str" cm="1">
        <f t="array" ref="AL1105">_xlfn.IFS(
HR_Data[[#This Row],[YearsAtCompany]]&lt;2,"&lt;2 Years",
HR_Data[[#This Row],[YearsAtCompany]]&lt;5,"2-4 Years",
HR_Data[[#This Row],[YearsAtCompany]]&lt;10,"5-9 Years",
TRUE,"10+ Years"
)</f>
        <v>5-9 Years</v>
      </c>
      <c r="AM1105" s="1">
        <f>IF(HR_Data[[#This Row],[Attrition]]="Yes",1,0)</f>
        <v>0</v>
      </c>
    </row>
    <row r="1106" spans="1:39" x14ac:dyDescent="0.3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 cm="1">
        <f t="array" ref="AJ1106">_xlfn.IFS(
HR_Data[[#This Row],[Age]]&lt;25,"Under 25",
HR_Data[[#This Row],[Age]]&lt;35,"25-34",
HR_Data[[#This Row],[Age]]&lt;45,"35-44",
HR_Data[[#This Row],[Age]]&lt;55,"45-54",
TRUE,"55+"
)</f>
        <v>25-34</v>
      </c>
      <c r="AK1106" t="str" cm="1">
        <f t="array" ref="AK1106">_xlfn.IFS(
HR_Data[[#This Row],[MonthlyIncome]]&lt;3000,"&lt;3K",
HR_Data[[#This Row],[MonthlyIncome]]&lt;6000,"3K-6K",
HR_Data[[#This Row],[MonthlyIncome]]&lt;10000,"6K-10K",
TRUE,"10K+"
)</f>
        <v>&lt;3K</v>
      </c>
      <c r="AL1106" t="str" cm="1">
        <f t="array" ref="AL1106">_xlfn.IFS(
HR_Data[[#This Row],[YearsAtCompany]]&lt;2,"&lt;2 Years",
HR_Data[[#This Row],[YearsAtCompany]]&lt;5,"2-4 Years",
HR_Data[[#This Row],[YearsAtCompany]]&lt;10,"5-9 Years",
TRUE,"10+ Years"
)</f>
        <v>&lt;2 Years</v>
      </c>
      <c r="AM1106" s="1">
        <f>IF(HR_Data[[#This Row],[Attrition]]="Yes",1,0)</f>
        <v>0</v>
      </c>
    </row>
    <row r="1107" spans="1:39" x14ac:dyDescent="0.3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 cm="1">
        <f t="array" ref="AJ1107">_xlfn.IFS(
HR_Data[[#This Row],[Age]]&lt;25,"Under 25",
HR_Data[[#This Row],[Age]]&lt;35,"25-34",
HR_Data[[#This Row],[Age]]&lt;45,"35-44",
HR_Data[[#This Row],[Age]]&lt;55,"45-54",
TRUE,"55+"
)</f>
        <v>25-34</v>
      </c>
      <c r="AK1107" t="str" cm="1">
        <f t="array" ref="AK1107">_xlfn.IFS(
HR_Data[[#This Row],[MonthlyIncome]]&lt;3000,"&lt;3K",
HR_Data[[#This Row],[MonthlyIncome]]&lt;6000,"3K-6K",
HR_Data[[#This Row],[MonthlyIncome]]&lt;10000,"6K-10K",
TRUE,"10K+"
)</f>
        <v>6K-10K</v>
      </c>
      <c r="AL1107" t="str" cm="1">
        <f t="array" ref="AL1107">_xlfn.IFS(
HR_Data[[#This Row],[YearsAtCompany]]&lt;2,"&lt;2 Years",
HR_Data[[#This Row],[YearsAtCompany]]&lt;5,"2-4 Years",
HR_Data[[#This Row],[YearsAtCompany]]&lt;10,"5-9 Years",
TRUE,"10+ Years"
)</f>
        <v>2-4 Years</v>
      </c>
      <c r="AM1107" s="1">
        <f>IF(HR_Data[[#This Row],[Attrition]]="Yes",1,0)</f>
        <v>0</v>
      </c>
    </row>
    <row r="1108" spans="1:39" x14ac:dyDescent="0.3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 cm="1">
        <f t="array" ref="AJ1108">_xlfn.IFS(
HR_Data[[#This Row],[Age]]&lt;25,"Under 25",
HR_Data[[#This Row],[Age]]&lt;35,"25-34",
HR_Data[[#This Row],[Age]]&lt;45,"35-44",
HR_Data[[#This Row],[Age]]&lt;55,"45-54",
TRUE,"55+"
)</f>
        <v>25-34</v>
      </c>
      <c r="AK1108" t="str" cm="1">
        <f t="array" ref="AK1108">_xlfn.IFS(
HR_Data[[#This Row],[MonthlyIncome]]&lt;3000,"&lt;3K",
HR_Data[[#This Row],[MonthlyIncome]]&lt;6000,"3K-6K",
HR_Data[[#This Row],[MonthlyIncome]]&lt;10000,"6K-10K",
TRUE,"10K+"
)</f>
        <v>6K-10K</v>
      </c>
      <c r="AL1108" t="str" cm="1">
        <f t="array" ref="AL1108">_xlfn.IFS(
HR_Data[[#This Row],[YearsAtCompany]]&lt;2,"&lt;2 Years",
HR_Data[[#This Row],[YearsAtCompany]]&lt;5,"2-4 Years",
HR_Data[[#This Row],[YearsAtCompany]]&lt;10,"5-9 Years",
TRUE,"10+ Years"
)</f>
        <v>10+ Years</v>
      </c>
      <c r="AM1108" s="1">
        <f>IF(HR_Data[[#This Row],[Attrition]]="Yes",1,0)</f>
        <v>1</v>
      </c>
    </row>
    <row r="1109" spans="1:39" x14ac:dyDescent="0.3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 cm="1">
        <f t="array" ref="AJ1109">_xlfn.IFS(
HR_Data[[#This Row],[Age]]&lt;25,"Under 25",
HR_Data[[#This Row],[Age]]&lt;35,"25-34",
HR_Data[[#This Row],[Age]]&lt;45,"35-44",
HR_Data[[#This Row],[Age]]&lt;55,"45-54",
TRUE,"55+"
)</f>
        <v>35-44</v>
      </c>
      <c r="AK1109" t="str" cm="1">
        <f t="array" ref="AK1109">_xlfn.IFS(
HR_Data[[#This Row],[MonthlyIncome]]&lt;3000,"&lt;3K",
HR_Data[[#This Row],[MonthlyIncome]]&lt;6000,"3K-6K",
HR_Data[[#This Row],[MonthlyIncome]]&lt;10000,"6K-10K",
TRUE,"10K+"
)</f>
        <v>6K-10K</v>
      </c>
      <c r="AL1109" t="str" cm="1">
        <f t="array" ref="AL1109">_xlfn.IFS(
HR_Data[[#This Row],[YearsAtCompany]]&lt;2,"&lt;2 Years",
HR_Data[[#This Row],[YearsAtCompany]]&lt;5,"2-4 Years",
HR_Data[[#This Row],[YearsAtCompany]]&lt;10,"5-9 Years",
TRUE,"10+ Years"
)</f>
        <v>5-9 Years</v>
      </c>
      <c r="AM1109" s="1">
        <f>IF(HR_Data[[#This Row],[Attrition]]="Yes",1,0)</f>
        <v>0</v>
      </c>
    </row>
    <row r="1110" spans="1:39" x14ac:dyDescent="0.3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 cm="1">
        <f t="array" ref="AJ1110">_xlfn.IFS(
HR_Data[[#This Row],[Age]]&lt;25,"Under 25",
HR_Data[[#This Row],[Age]]&lt;35,"25-34",
HR_Data[[#This Row],[Age]]&lt;45,"35-44",
HR_Data[[#This Row],[Age]]&lt;55,"45-54",
TRUE,"55+"
)</f>
        <v>35-44</v>
      </c>
      <c r="AK1110" t="str" cm="1">
        <f t="array" ref="AK1110">_xlfn.IFS(
HR_Data[[#This Row],[MonthlyIncome]]&lt;3000,"&lt;3K",
HR_Data[[#This Row],[MonthlyIncome]]&lt;6000,"3K-6K",
HR_Data[[#This Row],[MonthlyIncome]]&lt;10000,"6K-10K",
TRUE,"10K+"
)</f>
        <v>&lt;3K</v>
      </c>
      <c r="AL1110" t="str" cm="1">
        <f t="array" ref="AL1110">_xlfn.IFS(
HR_Data[[#This Row],[YearsAtCompany]]&lt;2,"&lt;2 Years",
HR_Data[[#This Row],[YearsAtCompany]]&lt;5,"2-4 Years",
HR_Data[[#This Row],[YearsAtCompany]]&lt;10,"5-9 Years",
TRUE,"10+ Years"
)</f>
        <v>2-4 Years</v>
      </c>
      <c r="AM1110" s="1">
        <f>IF(HR_Data[[#This Row],[Attrition]]="Yes",1,0)</f>
        <v>0</v>
      </c>
    </row>
    <row r="1111" spans="1:39" x14ac:dyDescent="0.3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 cm="1">
        <f t="array" ref="AJ1111">_xlfn.IFS(
HR_Data[[#This Row],[Age]]&lt;25,"Under 25",
HR_Data[[#This Row],[Age]]&lt;35,"25-34",
HR_Data[[#This Row],[Age]]&lt;45,"35-44",
HR_Data[[#This Row],[Age]]&lt;55,"45-54",
TRUE,"55+"
)</f>
        <v>25-34</v>
      </c>
      <c r="AK1111" t="str" cm="1">
        <f t="array" ref="AK1111">_xlfn.IFS(
HR_Data[[#This Row],[MonthlyIncome]]&lt;3000,"&lt;3K",
HR_Data[[#This Row],[MonthlyIncome]]&lt;6000,"3K-6K",
HR_Data[[#This Row],[MonthlyIncome]]&lt;10000,"6K-10K",
TRUE,"10K+"
)</f>
        <v>6K-10K</v>
      </c>
      <c r="AL1111" t="str" cm="1">
        <f t="array" ref="AL1111">_xlfn.IFS(
HR_Data[[#This Row],[YearsAtCompany]]&lt;2,"&lt;2 Years",
HR_Data[[#This Row],[YearsAtCompany]]&lt;5,"2-4 Years",
HR_Data[[#This Row],[YearsAtCompany]]&lt;10,"5-9 Years",
TRUE,"10+ Years"
)</f>
        <v>2-4 Years</v>
      </c>
      <c r="AM1111" s="1">
        <f>IF(HR_Data[[#This Row],[Attrition]]="Yes",1,0)</f>
        <v>0</v>
      </c>
    </row>
    <row r="1112" spans="1:39" x14ac:dyDescent="0.3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 cm="1">
        <f t="array" ref="AJ1112">_xlfn.IFS(
HR_Data[[#This Row],[Age]]&lt;25,"Under 25",
HR_Data[[#This Row],[Age]]&lt;35,"25-34",
HR_Data[[#This Row],[Age]]&lt;45,"35-44",
HR_Data[[#This Row],[Age]]&lt;55,"45-54",
TRUE,"55+"
)</f>
        <v>35-44</v>
      </c>
      <c r="AK1112" t="str" cm="1">
        <f t="array" ref="AK1112">_xlfn.IFS(
HR_Data[[#This Row],[MonthlyIncome]]&lt;3000,"&lt;3K",
HR_Data[[#This Row],[MonthlyIncome]]&lt;6000,"3K-6K",
HR_Data[[#This Row],[MonthlyIncome]]&lt;10000,"6K-10K",
TRUE,"10K+"
)</f>
        <v>&lt;3K</v>
      </c>
      <c r="AL1112" t="str" cm="1">
        <f t="array" ref="AL1112">_xlfn.IFS(
HR_Data[[#This Row],[YearsAtCompany]]&lt;2,"&lt;2 Years",
HR_Data[[#This Row],[YearsAtCompany]]&lt;5,"2-4 Years",
HR_Data[[#This Row],[YearsAtCompany]]&lt;10,"5-9 Years",
TRUE,"10+ Years"
)</f>
        <v>&lt;2 Years</v>
      </c>
      <c r="AM1112" s="1">
        <f>IF(HR_Data[[#This Row],[Attrition]]="Yes",1,0)</f>
        <v>1</v>
      </c>
    </row>
    <row r="1113" spans="1:39" x14ac:dyDescent="0.3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 cm="1">
        <f t="array" ref="AJ1113">_xlfn.IFS(
HR_Data[[#This Row],[Age]]&lt;25,"Under 25",
HR_Data[[#This Row],[Age]]&lt;35,"25-34",
HR_Data[[#This Row],[Age]]&lt;45,"35-44",
HR_Data[[#This Row],[Age]]&lt;55,"45-54",
TRUE,"55+"
)</f>
        <v>45-54</v>
      </c>
      <c r="AK1113" t="str" cm="1">
        <f t="array" ref="AK1113">_xlfn.IFS(
HR_Data[[#This Row],[MonthlyIncome]]&lt;3000,"&lt;3K",
HR_Data[[#This Row],[MonthlyIncome]]&lt;6000,"3K-6K",
HR_Data[[#This Row],[MonthlyIncome]]&lt;10000,"6K-10K",
TRUE,"10K+"
)</f>
        <v>10K+</v>
      </c>
      <c r="AL1113" t="str" cm="1">
        <f t="array" ref="AL1113">_xlfn.IFS(
HR_Data[[#This Row],[YearsAtCompany]]&lt;2,"&lt;2 Years",
HR_Data[[#This Row],[YearsAtCompany]]&lt;5,"2-4 Years",
HR_Data[[#This Row],[YearsAtCompany]]&lt;10,"5-9 Years",
TRUE,"10+ Years"
)</f>
        <v>10+ Years</v>
      </c>
      <c r="AM1113" s="1">
        <f>IF(HR_Data[[#This Row],[Attrition]]="Yes",1,0)</f>
        <v>1</v>
      </c>
    </row>
    <row r="1114" spans="1:39" x14ac:dyDescent="0.3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 cm="1">
        <f t="array" ref="AJ1114">_xlfn.IFS(
HR_Data[[#This Row],[Age]]&lt;25,"Under 25",
HR_Data[[#This Row],[Age]]&lt;35,"25-34",
HR_Data[[#This Row],[Age]]&lt;45,"35-44",
HR_Data[[#This Row],[Age]]&lt;55,"45-54",
TRUE,"55+"
)</f>
        <v>35-44</v>
      </c>
      <c r="AK1114" t="str" cm="1">
        <f t="array" ref="AK1114">_xlfn.IFS(
HR_Data[[#This Row],[MonthlyIncome]]&lt;3000,"&lt;3K",
HR_Data[[#This Row],[MonthlyIncome]]&lt;6000,"3K-6K",
HR_Data[[#This Row],[MonthlyIncome]]&lt;10000,"6K-10K",
TRUE,"10K+"
)</f>
        <v>3K-6K</v>
      </c>
      <c r="AL1114" t="str" cm="1">
        <f t="array" ref="AL1114">_xlfn.IFS(
HR_Data[[#This Row],[YearsAtCompany]]&lt;2,"&lt;2 Years",
HR_Data[[#This Row],[YearsAtCompany]]&lt;5,"2-4 Years",
HR_Data[[#This Row],[YearsAtCompany]]&lt;10,"5-9 Years",
TRUE,"10+ Years"
)</f>
        <v>5-9 Years</v>
      </c>
      <c r="AM1114" s="1">
        <f>IF(HR_Data[[#This Row],[Attrition]]="Yes",1,0)</f>
        <v>1</v>
      </c>
    </row>
    <row r="1115" spans="1:39" x14ac:dyDescent="0.3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 cm="1">
        <f t="array" ref="AJ1115">_xlfn.IFS(
HR_Data[[#This Row],[Age]]&lt;25,"Under 25",
HR_Data[[#This Row],[Age]]&lt;35,"25-34",
HR_Data[[#This Row],[Age]]&lt;45,"35-44",
HR_Data[[#This Row],[Age]]&lt;55,"45-54",
TRUE,"55+"
)</f>
        <v>25-34</v>
      </c>
      <c r="AK1115" t="str" cm="1">
        <f t="array" ref="AK1115">_xlfn.IFS(
HR_Data[[#This Row],[MonthlyIncome]]&lt;3000,"&lt;3K",
HR_Data[[#This Row],[MonthlyIncome]]&lt;6000,"3K-6K",
HR_Data[[#This Row],[MonthlyIncome]]&lt;10000,"6K-10K",
TRUE,"10K+"
)</f>
        <v>3K-6K</v>
      </c>
      <c r="AL1115" t="str" cm="1">
        <f t="array" ref="AL1115">_xlfn.IFS(
HR_Data[[#This Row],[YearsAtCompany]]&lt;2,"&lt;2 Years",
HR_Data[[#This Row],[YearsAtCompany]]&lt;5,"2-4 Years",
HR_Data[[#This Row],[YearsAtCompany]]&lt;10,"5-9 Years",
TRUE,"10+ Years"
)</f>
        <v>5-9 Years</v>
      </c>
      <c r="AM1115" s="1">
        <f>IF(HR_Data[[#This Row],[Attrition]]="Yes",1,0)</f>
        <v>0</v>
      </c>
    </row>
    <row r="1116" spans="1:39" x14ac:dyDescent="0.3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 cm="1">
        <f t="array" ref="AJ1116">_xlfn.IFS(
HR_Data[[#This Row],[Age]]&lt;25,"Under 25",
HR_Data[[#This Row],[Age]]&lt;35,"25-34",
HR_Data[[#This Row],[Age]]&lt;45,"35-44",
HR_Data[[#This Row],[Age]]&lt;55,"45-54",
TRUE,"55+"
)</f>
        <v>45-54</v>
      </c>
      <c r="AK1116" t="str" cm="1">
        <f t="array" ref="AK1116">_xlfn.IFS(
HR_Data[[#This Row],[MonthlyIncome]]&lt;3000,"&lt;3K",
HR_Data[[#This Row],[MonthlyIncome]]&lt;6000,"3K-6K",
HR_Data[[#This Row],[MonthlyIncome]]&lt;10000,"6K-10K",
TRUE,"10K+"
)</f>
        <v>&lt;3K</v>
      </c>
      <c r="AL1116" t="str" cm="1">
        <f t="array" ref="AL1116">_xlfn.IFS(
HR_Data[[#This Row],[YearsAtCompany]]&lt;2,"&lt;2 Years",
HR_Data[[#This Row],[YearsAtCompany]]&lt;5,"2-4 Years",
HR_Data[[#This Row],[YearsAtCompany]]&lt;10,"5-9 Years",
TRUE,"10+ Years"
)</f>
        <v>5-9 Years</v>
      </c>
      <c r="AM1116" s="1">
        <f>IF(HR_Data[[#This Row],[Attrition]]="Yes",1,0)</f>
        <v>0</v>
      </c>
    </row>
    <row r="1117" spans="1:39" x14ac:dyDescent="0.3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 cm="1">
        <f t="array" ref="AJ1117">_xlfn.IFS(
HR_Data[[#This Row],[Age]]&lt;25,"Under 25",
HR_Data[[#This Row],[Age]]&lt;35,"25-34",
HR_Data[[#This Row],[Age]]&lt;45,"35-44",
HR_Data[[#This Row],[Age]]&lt;55,"45-54",
TRUE,"55+"
)</f>
        <v>25-34</v>
      </c>
      <c r="AK1117" t="str" cm="1">
        <f t="array" ref="AK1117">_xlfn.IFS(
HR_Data[[#This Row],[MonthlyIncome]]&lt;3000,"&lt;3K",
HR_Data[[#This Row],[MonthlyIncome]]&lt;6000,"3K-6K",
HR_Data[[#This Row],[MonthlyIncome]]&lt;10000,"6K-10K",
TRUE,"10K+"
)</f>
        <v>&lt;3K</v>
      </c>
      <c r="AL1117" t="str" cm="1">
        <f t="array" ref="AL1117">_xlfn.IFS(
HR_Data[[#This Row],[YearsAtCompany]]&lt;2,"&lt;2 Years",
HR_Data[[#This Row],[YearsAtCompany]]&lt;5,"2-4 Years",
HR_Data[[#This Row],[YearsAtCompany]]&lt;10,"5-9 Years",
TRUE,"10+ Years"
)</f>
        <v>&lt;2 Years</v>
      </c>
      <c r="AM1117" s="1">
        <f>IF(HR_Data[[#This Row],[Attrition]]="Yes",1,0)</f>
        <v>0</v>
      </c>
    </row>
    <row r="1118" spans="1:39" x14ac:dyDescent="0.3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 cm="1">
        <f t="array" ref="AJ1118">_xlfn.IFS(
HR_Data[[#This Row],[Age]]&lt;25,"Under 25",
HR_Data[[#This Row],[Age]]&lt;35,"25-34",
HR_Data[[#This Row],[Age]]&lt;45,"35-44",
HR_Data[[#This Row],[Age]]&lt;55,"45-54",
TRUE,"55+"
)</f>
        <v>55+</v>
      </c>
      <c r="AK1118" t="str" cm="1">
        <f t="array" ref="AK1118">_xlfn.IFS(
HR_Data[[#This Row],[MonthlyIncome]]&lt;3000,"&lt;3K",
HR_Data[[#This Row],[MonthlyIncome]]&lt;6000,"3K-6K",
HR_Data[[#This Row],[MonthlyIncome]]&lt;10000,"6K-10K",
TRUE,"10K+"
)</f>
        <v>10K+</v>
      </c>
      <c r="AL1118" t="str" cm="1">
        <f t="array" ref="AL1118">_xlfn.IFS(
HR_Data[[#This Row],[YearsAtCompany]]&lt;2,"&lt;2 Years",
HR_Data[[#This Row],[YearsAtCompany]]&lt;5,"2-4 Years",
HR_Data[[#This Row],[YearsAtCompany]]&lt;10,"5-9 Years",
TRUE,"10+ Years"
)</f>
        <v>10+ Years</v>
      </c>
      <c r="AM1118" s="1">
        <f>IF(HR_Data[[#This Row],[Attrition]]="Yes",1,0)</f>
        <v>0</v>
      </c>
    </row>
    <row r="1119" spans="1:39" x14ac:dyDescent="0.3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 cm="1">
        <f t="array" ref="AJ1119">_xlfn.IFS(
HR_Data[[#This Row],[Age]]&lt;25,"Under 25",
HR_Data[[#This Row],[Age]]&lt;35,"25-34",
HR_Data[[#This Row],[Age]]&lt;45,"35-44",
HR_Data[[#This Row],[Age]]&lt;55,"45-54",
TRUE,"55+"
)</f>
        <v>25-34</v>
      </c>
      <c r="AK1119" t="str" cm="1">
        <f t="array" ref="AK1119">_xlfn.IFS(
HR_Data[[#This Row],[MonthlyIncome]]&lt;3000,"&lt;3K",
HR_Data[[#This Row],[MonthlyIncome]]&lt;6000,"3K-6K",
HR_Data[[#This Row],[MonthlyIncome]]&lt;10000,"6K-10K",
TRUE,"10K+"
)</f>
        <v>3K-6K</v>
      </c>
      <c r="AL1119" t="str" cm="1">
        <f t="array" ref="AL1119">_xlfn.IFS(
HR_Data[[#This Row],[YearsAtCompany]]&lt;2,"&lt;2 Years",
HR_Data[[#This Row],[YearsAtCompany]]&lt;5,"2-4 Years",
HR_Data[[#This Row],[YearsAtCompany]]&lt;10,"5-9 Years",
TRUE,"10+ Years"
)</f>
        <v>2-4 Years</v>
      </c>
      <c r="AM1119" s="1">
        <f>IF(HR_Data[[#This Row],[Attrition]]="Yes",1,0)</f>
        <v>0</v>
      </c>
    </row>
    <row r="1120" spans="1:39" x14ac:dyDescent="0.3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 cm="1">
        <f t="array" ref="AJ1120">_xlfn.IFS(
HR_Data[[#This Row],[Age]]&lt;25,"Under 25",
HR_Data[[#This Row],[Age]]&lt;35,"25-34",
HR_Data[[#This Row],[Age]]&lt;45,"35-44",
HR_Data[[#This Row],[Age]]&lt;55,"45-54",
TRUE,"55+"
)</f>
        <v>25-34</v>
      </c>
      <c r="AK1120" t="str" cm="1">
        <f t="array" ref="AK1120">_xlfn.IFS(
HR_Data[[#This Row],[MonthlyIncome]]&lt;3000,"&lt;3K",
HR_Data[[#This Row],[MonthlyIncome]]&lt;6000,"3K-6K",
HR_Data[[#This Row],[MonthlyIncome]]&lt;10000,"6K-10K",
TRUE,"10K+"
)</f>
        <v>&lt;3K</v>
      </c>
      <c r="AL1120" t="str" cm="1">
        <f t="array" ref="AL1120">_xlfn.IFS(
HR_Data[[#This Row],[YearsAtCompany]]&lt;2,"&lt;2 Years",
HR_Data[[#This Row],[YearsAtCompany]]&lt;5,"2-4 Years",
HR_Data[[#This Row],[YearsAtCompany]]&lt;10,"5-9 Years",
TRUE,"10+ Years"
)</f>
        <v>&lt;2 Years</v>
      </c>
      <c r="AM1120" s="1">
        <f>IF(HR_Data[[#This Row],[Attrition]]="Yes",1,0)</f>
        <v>0</v>
      </c>
    </row>
    <row r="1121" spans="1:39" x14ac:dyDescent="0.3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 cm="1">
        <f t="array" ref="AJ1121">_xlfn.IFS(
HR_Data[[#This Row],[Age]]&lt;25,"Under 25",
HR_Data[[#This Row],[Age]]&lt;35,"25-34",
HR_Data[[#This Row],[Age]]&lt;45,"35-44",
HR_Data[[#This Row],[Age]]&lt;55,"45-54",
TRUE,"55+"
)</f>
        <v>35-44</v>
      </c>
      <c r="AK1121" t="str" cm="1">
        <f t="array" ref="AK1121">_xlfn.IFS(
HR_Data[[#This Row],[MonthlyIncome]]&lt;3000,"&lt;3K",
HR_Data[[#This Row],[MonthlyIncome]]&lt;6000,"3K-6K",
HR_Data[[#This Row],[MonthlyIncome]]&lt;10000,"6K-10K",
TRUE,"10K+"
)</f>
        <v>6K-10K</v>
      </c>
      <c r="AL1121" t="str" cm="1">
        <f t="array" ref="AL1121">_xlfn.IFS(
HR_Data[[#This Row],[YearsAtCompany]]&lt;2,"&lt;2 Years",
HR_Data[[#This Row],[YearsAtCompany]]&lt;5,"2-4 Years",
HR_Data[[#This Row],[YearsAtCompany]]&lt;10,"5-9 Years",
TRUE,"10+ Years"
)</f>
        <v>5-9 Years</v>
      </c>
      <c r="AM1121" s="1">
        <f>IF(HR_Data[[#This Row],[Attrition]]="Yes",1,0)</f>
        <v>0</v>
      </c>
    </row>
    <row r="1122" spans="1:39" x14ac:dyDescent="0.3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 cm="1">
        <f t="array" ref="AJ1122">_xlfn.IFS(
HR_Data[[#This Row],[Age]]&lt;25,"Under 25",
HR_Data[[#This Row],[Age]]&lt;35,"25-34",
HR_Data[[#This Row],[Age]]&lt;45,"35-44",
HR_Data[[#This Row],[Age]]&lt;55,"45-54",
TRUE,"55+"
)</f>
        <v>35-44</v>
      </c>
      <c r="AK1122" t="str" cm="1">
        <f t="array" ref="AK1122">_xlfn.IFS(
HR_Data[[#This Row],[MonthlyIncome]]&lt;3000,"&lt;3K",
HR_Data[[#This Row],[MonthlyIncome]]&lt;6000,"3K-6K",
HR_Data[[#This Row],[MonthlyIncome]]&lt;10000,"6K-10K",
TRUE,"10K+"
)</f>
        <v>3K-6K</v>
      </c>
      <c r="AL1122" t="str" cm="1">
        <f t="array" ref="AL1122">_xlfn.IFS(
HR_Data[[#This Row],[YearsAtCompany]]&lt;2,"&lt;2 Years",
HR_Data[[#This Row],[YearsAtCompany]]&lt;5,"2-4 Years",
HR_Data[[#This Row],[YearsAtCompany]]&lt;10,"5-9 Years",
TRUE,"10+ Years"
)</f>
        <v>2-4 Years</v>
      </c>
      <c r="AM1122" s="1">
        <f>IF(HR_Data[[#This Row],[Attrition]]="Yes",1,0)</f>
        <v>0</v>
      </c>
    </row>
    <row r="1123" spans="1:39" x14ac:dyDescent="0.3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 cm="1">
        <f t="array" ref="AJ1123">_xlfn.IFS(
HR_Data[[#This Row],[Age]]&lt;25,"Under 25",
HR_Data[[#This Row],[Age]]&lt;35,"25-34",
HR_Data[[#This Row],[Age]]&lt;45,"35-44",
HR_Data[[#This Row],[Age]]&lt;55,"45-54",
TRUE,"55+"
)</f>
        <v>35-44</v>
      </c>
      <c r="AK1123" t="str" cm="1">
        <f t="array" ref="AK1123">_xlfn.IFS(
HR_Data[[#This Row],[MonthlyIncome]]&lt;3000,"&lt;3K",
HR_Data[[#This Row],[MonthlyIncome]]&lt;6000,"3K-6K",
HR_Data[[#This Row],[MonthlyIncome]]&lt;10000,"6K-10K",
TRUE,"10K+"
)</f>
        <v>6K-10K</v>
      </c>
      <c r="AL1123" t="str" cm="1">
        <f t="array" ref="AL1123">_xlfn.IFS(
HR_Data[[#This Row],[YearsAtCompany]]&lt;2,"&lt;2 Years",
HR_Data[[#This Row],[YearsAtCompany]]&lt;5,"2-4 Years",
HR_Data[[#This Row],[YearsAtCompany]]&lt;10,"5-9 Years",
TRUE,"10+ Years"
)</f>
        <v>&lt;2 Years</v>
      </c>
      <c r="AM1123" s="1">
        <f>IF(HR_Data[[#This Row],[Attrition]]="Yes",1,0)</f>
        <v>0</v>
      </c>
    </row>
    <row r="1124" spans="1:39" x14ac:dyDescent="0.3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 cm="1">
        <f t="array" ref="AJ1124">_xlfn.IFS(
HR_Data[[#This Row],[Age]]&lt;25,"Under 25",
HR_Data[[#This Row],[Age]]&lt;35,"25-34",
HR_Data[[#This Row],[Age]]&lt;45,"35-44",
HR_Data[[#This Row],[Age]]&lt;55,"45-54",
TRUE,"55+"
)</f>
        <v>25-34</v>
      </c>
      <c r="AK1124" t="str" cm="1">
        <f t="array" ref="AK1124">_xlfn.IFS(
HR_Data[[#This Row],[MonthlyIncome]]&lt;3000,"&lt;3K",
HR_Data[[#This Row],[MonthlyIncome]]&lt;6000,"3K-6K",
HR_Data[[#This Row],[MonthlyIncome]]&lt;10000,"6K-10K",
TRUE,"10K+"
)</f>
        <v>3K-6K</v>
      </c>
      <c r="AL1124" t="str" cm="1">
        <f t="array" ref="AL1124">_xlfn.IFS(
HR_Data[[#This Row],[YearsAtCompany]]&lt;2,"&lt;2 Years",
HR_Data[[#This Row],[YearsAtCompany]]&lt;5,"2-4 Years",
HR_Data[[#This Row],[YearsAtCompany]]&lt;10,"5-9 Years",
TRUE,"10+ Years"
)</f>
        <v>10+ Years</v>
      </c>
      <c r="AM1124" s="1">
        <f>IF(HR_Data[[#This Row],[Attrition]]="Yes",1,0)</f>
        <v>0</v>
      </c>
    </row>
    <row r="1125" spans="1:39" x14ac:dyDescent="0.3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 cm="1">
        <f t="array" ref="AJ1125">_xlfn.IFS(
HR_Data[[#This Row],[Age]]&lt;25,"Under 25",
HR_Data[[#This Row],[Age]]&lt;35,"25-34",
HR_Data[[#This Row],[Age]]&lt;45,"35-44",
HR_Data[[#This Row],[Age]]&lt;55,"45-54",
TRUE,"55+"
)</f>
        <v>35-44</v>
      </c>
      <c r="AK1125" t="str" cm="1">
        <f t="array" ref="AK1125">_xlfn.IFS(
HR_Data[[#This Row],[MonthlyIncome]]&lt;3000,"&lt;3K",
HR_Data[[#This Row],[MonthlyIncome]]&lt;6000,"3K-6K",
HR_Data[[#This Row],[MonthlyIncome]]&lt;10000,"6K-10K",
TRUE,"10K+"
)</f>
        <v>6K-10K</v>
      </c>
      <c r="AL1125" t="str" cm="1">
        <f t="array" ref="AL1125">_xlfn.IFS(
HR_Data[[#This Row],[YearsAtCompany]]&lt;2,"&lt;2 Years",
HR_Data[[#This Row],[YearsAtCompany]]&lt;5,"2-4 Years",
HR_Data[[#This Row],[YearsAtCompany]]&lt;10,"5-9 Years",
TRUE,"10+ Years"
)</f>
        <v>5-9 Years</v>
      </c>
      <c r="AM1125" s="1">
        <f>IF(HR_Data[[#This Row],[Attrition]]="Yes",1,0)</f>
        <v>0</v>
      </c>
    </row>
    <row r="1126" spans="1:39" x14ac:dyDescent="0.3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 cm="1">
        <f t="array" ref="AJ1126">_xlfn.IFS(
HR_Data[[#This Row],[Age]]&lt;25,"Under 25",
HR_Data[[#This Row],[Age]]&lt;35,"25-34",
HR_Data[[#This Row],[Age]]&lt;45,"35-44",
HR_Data[[#This Row],[Age]]&lt;55,"45-54",
TRUE,"55+"
)</f>
        <v>35-44</v>
      </c>
      <c r="AK1126" t="str" cm="1">
        <f t="array" ref="AK1126">_xlfn.IFS(
HR_Data[[#This Row],[MonthlyIncome]]&lt;3000,"&lt;3K",
HR_Data[[#This Row],[MonthlyIncome]]&lt;6000,"3K-6K",
HR_Data[[#This Row],[MonthlyIncome]]&lt;10000,"6K-10K",
TRUE,"10K+"
)</f>
        <v>6K-10K</v>
      </c>
      <c r="AL1126" t="str" cm="1">
        <f t="array" ref="AL1126">_xlfn.IFS(
HR_Data[[#This Row],[YearsAtCompany]]&lt;2,"&lt;2 Years",
HR_Data[[#This Row],[YearsAtCompany]]&lt;5,"2-4 Years",
HR_Data[[#This Row],[YearsAtCompany]]&lt;10,"5-9 Years",
TRUE,"10+ Years"
)</f>
        <v>5-9 Years</v>
      </c>
      <c r="AM1126" s="1">
        <f>IF(HR_Data[[#This Row],[Attrition]]="Yes",1,0)</f>
        <v>0</v>
      </c>
    </row>
    <row r="1127" spans="1:39" x14ac:dyDescent="0.3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 cm="1">
        <f t="array" ref="AJ1127">_xlfn.IFS(
HR_Data[[#This Row],[Age]]&lt;25,"Under 25",
HR_Data[[#This Row],[Age]]&lt;35,"25-34",
HR_Data[[#This Row],[Age]]&lt;45,"35-44",
HR_Data[[#This Row],[Age]]&lt;55,"45-54",
TRUE,"55+"
)</f>
        <v>25-34</v>
      </c>
      <c r="AK1127" t="str" cm="1">
        <f t="array" ref="AK1127">_xlfn.IFS(
HR_Data[[#This Row],[MonthlyIncome]]&lt;3000,"&lt;3K",
HR_Data[[#This Row],[MonthlyIncome]]&lt;6000,"3K-6K",
HR_Data[[#This Row],[MonthlyIncome]]&lt;10000,"6K-10K",
TRUE,"10K+"
)</f>
        <v>6K-10K</v>
      </c>
      <c r="AL1127" t="str" cm="1">
        <f t="array" ref="AL1127">_xlfn.IFS(
HR_Data[[#This Row],[YearsAtCompany]]&lt;2,"&lt;2 Years",
HR_Data[[#This Row],[YearsAtCompany]]&lt;5,"2-4 Years",
HR_Data[[#This Row],[YearsAtCompany]]&lt;10,"5-9 Years",
TRUE,"10+ Years"
)</f>
        <v>5-9 Years</v>
      </c>
      <c r="AM1127" s="1">
        <f>IF(HR_Data[[#This Row],[Attrition]]="Yes",1,0)</f>
        <v>0</v>
      </c>
    </row>
    <row r="1128" spans="1:39" x14ac:dyDescent="0.3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 cm="1">
        <f t="array" ref="AJ1128">_xlfn.IFS(
HR_Data[[#This Row],[Age]]&lt;25,"Under 25",
HR_Data[[#This Row],[Age]]&lt;35,"25-34",
HR_Data[[#This Row],[Age]]&lt;45,"35-44",
HR_Data[[#This Row],[Age]]&lt;55,"45-54",
TRUE,"55+"
)</f>
        <v>45-54</v>
      </c>
      <c r="AK1128" t="str" cm="1">
        <f t="array" ref="AK1128">_xlfn.IFS(
HR_Data[[#This Row],[MonthlyIncome]]&lt;3000,"&lt;3K",
HR_Data[[#This Row],[MonthlyIncome]]&lt;6000,"3K-6K",
HR_Data[[#This Row],[MonthlyIncome]]&lt;10000,"6K-10K",
TRUE,"10K+"
)</f>
        <v>10K+</v>
      </c>
      <c r="AL1128" t="str" cm="1">
        <f t="array" ref="AL1128">_xlfn.IFS(
HR_Data[[#This Row],[YearsAtCompany]]&lt;2,"&lt;2 Years",
HR_Data[[#This Row],[YearsAtCompany]]&lt;5,"2-4 Years",
HR_Data[[#This Row],[YearsAtCompany]]&lt;10,"5-9 Years",
TRUE,"10+ Years"
)</f>
        <v>&lt;2 Years</v>
      </c>
      <c r="AM1128" s="1">
        <f>IF(HR_Data[[#This Row],[Attrition]]="Yes",1,0)</f>
        <v>0</v>
      </c>
    </row>
    <row r="1129" spans="1:39" x14ac:dyDescent="0.3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 cm="1">
        <f t="array" ref="AJ1129">_xlfn.IFS(
HR_Data[[#This Row],[Age]]&lt;25,"Under 25",
HR_Data[[#This Row],[Age]]&lt;35,"25-34",
HR_Data[[#This Row],[Age]]&lt;45,"35-44",
HR_Data[[#This Row],[Age]]&lt;55,"45-54",
TRUE,"55+"
)</f>
        <v>Under 25</v>
      </c>
      <c r="AK1129" t="str" cm="1">
        <f t="array" ref="AK1129">_xlfn.IFS(
HR_Data[[#This Row],[MonthlyIncome]]&lt;3000,"&lt;3K",
HR_Data[[#This Row],[MonthlyIncome]]&lt;6000,"3K-6K",
HR_Data[[#This Row],[MonthlyIncome]]&lt;10000,"6K-10K",
TRUE,"10K+"
)</f>
        <v>&lt;3K</v>
      </c>
      <c r="AL1129" t="str" cm="1">
        <f t="array" ref="AL1129">_xlfn.IFS(
HR_Data[[#This Row],[YearsAtCompany]]&lt;2,"&lt;2 Years",
HR_Data[[#This Row],[YearsAtCompany]]&lt;5,"2-4 Years",
HR_Data[[#This Row],[YearsAtCompany]]&lt;10,"5-9 Years",
TRUE,"10+ Years"
)</f>
        <v>2-4 Years</v>
      </c>
      <c r="AM1129" s="1">
        <f>IF(HR_Data[[#This Row],[Attrition]]="Yes",1,0)</f>
        <v>0</v>
      </c>
    </row>
    <row r="1130" spans="1:39" x14ac:dyDescent="0.3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 cm="1">
        <f t="array" ref="AJ1130">_xlfn.IFS(
HR_Data[[#This Row],[Age]]&lt;25,"Under 25",
HR_Data[[#This Row],[Age]]&lt;35,"25-34",
HR_Data[[#This Row],[Age]]&lt;45,"35-44",
HR_Data[[#This Row],[Age]]&lt;55,"45-54",
TRUE,"55+"
)</f>
        <v>35-44</v>
      </c>
      <c r="AK1130" t="str" cm="1">
        <f t="array" ref="AK1130">_xlfn.IFS(
HR_Data[[#This Row],[MonthlyIncome]]&lt;3000,"&lt;3K",
HR_Data[[#This Row],[MonthlyIncome]]&lt;6000,"3K-6K",
HR_Data[[#This Row],[MonthlyIncome]]&lt;10000,"6K-10K",
TRUE,"10K+"
)</f>
        <v>3K-6K</v>
      </c>
      <c r="AL1130" t="str" cm="1">
        <f t="array" ref="AL1130">_xlfn.IFS(
HR_Data[[#This Row],[YearsAtCompany]]&lt;2,"&lt;2 Years",
HR_Data[[#This Row],[YearsAtCompany]]&lt;5,"2-4 Years",
HR_Data[[#This Row],[YearsAtCompany]]&lt;10,"5-9 Years",
TRUE,"10+ Years"
)</f>
        <v>2-4 Years</v>
      </c>
      <c r="AM1130" s="1">
        <f>IF(HR_Data[[#This Row],[Attrition]]="Yes",1,0)</f>
        <v>0</v>
      </c>
    </row>
    <row r="1131" spans="1:39" x14ac:dyDescent="0.3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 cm="1">
        <f t="array" ref="AJ1131">_xlfn.IFS(
HR_Data[[#This Row],[Age]]&lt;25,"Under 25",
HR_Data[[#This Row],[Age]]&lt;35,"25-34",
HR_Data[[#This Row],[Age]]&lt;45,"35-44",
HR_Data[[#This Row],[Age]]&lt;55,"45-54",
TRUE,"55+"
)</f>
        <v>35-44</v>
      </c>
      <c r="AK1131" t="str" cm="1">
        <f t="array" ref="AK1131">_xlfn.IFS(
HR_Data[[#This Row],[MonthlyIncome]]&lt;3000,"&lt;3K",
HR_Data[[#This Row],[MonthlyIncome]]&lt;6000,"3K-6K",
HR_Data[[#This Row],[MonthlyIncome]]&lt;10000,"6K-10K",
TRUE,"10K+"
)</f>
        <v>10K+</v>
      </c>
      <c r="AL1131" t="str" cm="1">
        <f t="array" ref="AL1131">_xlfn.IFS(
HR_Data[[#This Row],[YearsAtCompany]]&lt;2,"&lt;2 Years",
HR_Data[[#This Row],[YearsAtCompany]]&lt;5,"2-4 Years",
HR_Data[[#This Row],[YearsAtCompany]]&lt;10,"5-9 Years",
TRUE,"10+ Years"
)</f>
        <v>&lt;2 Years</v>
      </c>
      <c r="AM1131" s="1">
        <f>IF(HR_Data[[#This Row],[Attrition]]="Yes",1,0)</f>
        <v>0</v>
      </c>
    </row>
    <row r="1132" spans="1:39" x14ac:dyDescent="0.3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 cm="1">
        <f t="array" ref="AJ1132">_xlfn.IFS(
HR_Data[[#This Row],[Age]]&lt;25,"Under 25",
HR_Data[[#This Row],[Age]]&lt;35,"25-34",
HR_Data[[#This Row],[Age]]&lt;45,"35-44",
HR_Data[[#This Row],[Age]]&lt;55,"45-54",
TRUE,"55+"
)</f>
        <v>35-44</v>
      </c>
      <c r="AK1132" t="str" cm="1">
        <f t="array" ref="AK1132">_xlfn.IFS(
HR_Data[[#This Row],[MonthlyIncome]]&lt;3000,"&lt;3K",
HR_Data[[#This Row],[MonthlyIncome]]&lt;6000,"3K-6K",
HR_Data[[#This Row],[MonthlyIncome]]&lt;10000,"6K-10K",
TRUE,"10K+"
)</f>
        <v>3K-6K</v>
      </c>
      <c r="AL1132" t="str" cm="1">
        <f t="array" ref="AL1132">_xlfn.IFS(
HR_Data[[#This Row],[YearsAtCompany]]&lt;2,"&lt;2 Years",
HR_Data[[#This Row],[YearsAtCompany]]&lt;5,"2-4 Years",
HR_Data[[#This Row],[YearsAtCompany]]&lt;10,"5-9 Years",
TRUE,"10+ Years"
)</f>
        <v>10+ Years</v>
      </c>
      <c r="AM1132" s="1">
        <f>IF(HR_Data[[#This Row],[Attrition]]="Yes",1,0)</f>
        <v>0</v>
      </c>
    </row>
    <row r="1133" spans="1:39" x14ac:dyDescent="0.3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 cm="1">
        <f t="array" ref="AJ1133">_xlfn.IFS(
HR_Data[[#This Row],[Age]]&lt;25,"Under 25",
HR_Data[[#This Row],[Age]]&lt;35,"25-34",
HR_Data[[#This Row],[Age]]&lt;45,"35-44",
HR_Data[[#This Row],[Age]]&lt;55,"45-54",
TRUE,"55+"
)</f>
        <v>25-34</v>
      </c>
      <c r="AK1133" t="str" cm="1">
        <f t="array" ref="AK1133">_xlfn.IFS(
HR_Data[[#This Row],[MonthlyIncome]]&lt;3000,"&lt;3K",
HR_Data[[#This Row],[MonthlyIncome]]&lt;6000,"3K-6K",
HR_Data[[#This Row],[MonthlyIncome]]&lt;10000,"6K-10K",
TRUE,"10K+"
)</f>
        <v>3K-6K</v>
      </c>
      <c r="AL1133" t="str" cm="1">
        <f t="array" ref="AL1133">_xlfn.IFS(
HR_Data[[#This Row],[YearsAtCompany]]&lt;2,"&lt;2 Years",
HR_Data[[#This Row],[YearsAtCompany]]&lt;5,"2-4 Years",
HR_Data[[#This Row],[YearsAtCompany]]&lt;10,"5-9 Years",
TRUE,"10+ Years"
)</f>
        <v>5-9 Years</v>
      </c>
      <c r="AM1133" s="1">
        <f>IF(HR_Data[[#This Row],[Attrition]]="Yes",1,0)</f>
        <v>0</v>
      </c>
    </row>
    <row r="1134" spans="1:39" x14ac:dyDescent="0.3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 cm="1">
        <f t="array" ref="AJ1134">_xlfn.IFS(
HR_Data[[#This Row],[Age]]&lt;25,"Under 25",
HR_Data[[#This Row],[Age]]&lt;35,"25-34",
HR_Data[[#This Row],[Age]]&lt;45,"35-44",
HR_Data[[#This Row],[Age]]&lt;55,"45-54",
TRUE,"55+"
)</f>
        <v>35-44</v>
      </c>
      <c r="AK1134" t="str" cm="1">
        <f t="array" ref="AK1134">_xlfn.IFS(
HR_Data[[#This Row],[MonthlyIncome]]&lt;3000,"&lt;3K",
HR_Data[[#This Row],[MonthlyIncome]]&lt;6000,"3K-6K",
HR_Data[[#This Row],[MonthlyIncome]]&lt;10000,"6K-10K",
TRUE,"10K+"
)</f>
        <v>3K-6K</v>
      </c>
      <c r="AL1134" t="str" cm="1">
        <f t="array" ref="AL1134">_xlfn.IFS(
HR_Data[[#This Row],[YearsAtCompany]]&lt;2,"&lt;2 Years",
HR_Data[[#This Row],[YearsAtCompany]]&lt;5,"2-4 Years",
HR_Data[[#This Row],[YearsAtCompany]]&lt;10,"5-9 Years",
TRUE,"10+ Years"
)</f>
        <v>5-9 Years</v>
      </c>
      <c r="AM1134" s="1">
        <f>IF(HR_Data[[#This Row],[Attrition]]="Yes",1,0)</f>
        <v>0</v>
      </c>
    </row>
    <row r="1135" spans="1:39" x14ac:dyDescent="0.3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 cm="1">
        <f t="array" ref="AJ1135">_xlfn.IFS(
HR_Data[[#This Row],[Age]]&lt;25,"Under 25",
HR_Data[[#This Row],[Age]]&lt;35,"25-34",
HR_Data[[#This Row],[Age]]&lt;45,"35-44",
HR_Data[[#This Row],[Age]]&lt;55,"45-54",
TRUE,"55+"
)</f>
        <v>35-44</v>
      </c>
      <c r="AK1135" t="str" cm="1">
        <f t="array" ref="AK1135">_xlfn.IFS(
HR_Data[[#This Row],[MonthlyIncome]]&lt;3000,"&lt;3K",
HR_Data[[#This Row],[MonthlyIncome]]&lt;6000,"3K-6K",
HR_Data[[#This Row],[MonthlyIncome]]&lt;10000,"6K-10K",
TRUE,"10K+"
)</f>
        <v>3K-6K</v>
      </c>
      <c r="AL1135" t="str" cm="1">
        <f t="array" ref="AL1135">_xlfn.IFS(
HR_Data[[#This Row],[YearsAtCompany]]&lt;2,"&lt;2 Years",
HR_Data[[#This Row],[YearsAtCompany]]&lt;5,"2-4 Years",
HR_Data[[#This Row],[YearsAtCompany]]&lt;10,"5-9 Years",
TRUE,"10+ Years"
)</f>
        <v>5-9 Years</v>
      </c>
      <c r="AM1135" s="1">
        <f>IF(HR_Data[[#This Row],[Attrition]]="Yes",1,0)</f>
        <v>0</v>
      </c>
    </row>
    <row r="1136" spans="1:39" x14ac:dyDescent="0.3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 cm="1">
        <f t="array" ref="AJ1136">_xlfn.IFS(
HR_Data[[#This Row],[Age]]&lt;25,"Under 25",
HR_Data[[#This Row],[Age]]&lt;35,"25-34",
HR_Data[[#This Row],[Age]]&lt;45,"35-44",
HR_Data[[#This Row],[Age]]&lt;55,"45-54",
TRUE,"55+"
)</f>
        <v>35-44</v>
      </c>
      <c r="AK1136" t="str" cm="1">
        <f t="array" ref="AK1136">_xlfn.IFS(
HR_Data[[#This Row],[MonthlyIncome]]&lt;3000,"&lt;3K",
HR_Data[[#This Row],[MonthlyIncome]]&lt;6000,"3K-6K",
HR_Data[[#This Row],[MonthlyIncome]]&lt;10000,"6K-10K",
TRUE,"10K+"
)</f>
        <v>&lt;3K</v>
      </c>
      <c r="AL1136" t="str" cm="1">
        <f t="array" ref="AL1136">_xlfn.IFS(
HR_Data[[#This Row],[YearsAtCompany]]&lt;2,"&lt;2 Years",
HR_Data[[#This Row],[YearsAtCompany]]&lt;5,"2-4 Years",
HR_Data[[#This Row],[YearsAtCompany]]&lt;10,"5-9 Years",
TRUE,"10+ Years"
)</f>
        <v>&lt;2 Years</v>
      </c>
      <c r="AM1136" s="1">
        <f>IF(HR_Data[[#This Row],[Attrition]]="Yes",1,0)</f>
        <v>0</v>
      </c>
    </row>
    <row r="1137" spans="1:39" x14ac:dyDescent="0.3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 cm="1">
        <f t="array" ref="AJ1137">_xlfn.IFS(
HR_Data[[#This Row],[Age]]&lt;25,"Under 25",
HR_Data[[#This Row],[Age]]&lt;35,"25-34",
HR_Data[[#This Row],[Age]]&lt;45,"35-44",
HR_Data[[#This Row],[Age]]&lt;55,"45-54",
TRUE,"55+"
)</f>
        <v>45-54</v>
      </c>
      <c r="AK1137" t="str" cm="1">
        <f t="array" ref="AK1137">_xlfn.IFS(
HR_Data[[#This Row],[MonthlyIncome]]&lt;3000,"&lt;3K",
HR_Data[[#This Row],[MonthlyIncome]]&lt;6000,"3K-6K",
HR_Data[[#This Row],[MonthlyIncome]]&lt;10000,"6K-10K",
TRUE,"10K+"
)</f>
        <v>10K+</v>
      </c>
      <c r="AL1137" t="str" cm="1">
        <f t="array" ref="AL1137">_xlfn.IFS(
HR_Data[[#This Row],[YearsAtCompany]]&lt;2,"&lt;2 Years",
HR_Data[[#This Row],[YearsAtCompany]]&lt;5,"2-4 Years",
HR_Data[[#This Row],[YearsAtCompany]]&lt;10,"5-9 Years",
TRUE,"10+ Years"
)</f>
        <v>10+ Years</v>
      </c>
      <c r="AM1137" s="1">
        <f>IF(HR_Data[[#This Row],[Attrition]]="Yes",1,0)</f>
        <v>0</v>
      </c>
    </row>
    <row r="1138" spans="1:39" x14ac:dyDescent="0.3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 cm="1">
        <f t="array" ref="AJ1138">_xlfn.IFS(
HR_Data[[#This Row],[Age]]&lt;25,"Under 25",
HR_Data[[#This Row],[Age]]&lt;35,"25-34",
HR_Data[[#This Row],[Age]]&lt;45,"35-44",
HR_Data[[#This Row],[Age]]&lt;55,"45-54",
TRUE,"55+"
)</f>
        <v>25-34</v>
      </c>
      <c r="AK1138" t="str" cm="1">
        <f t="array" ref="AK1138">_xlfn.IFS(
HR_Data[[#This Row],[MonthlyIncome]]&lt;3000,"&lt;3K",
HR_Data[[#This Row],[MonthlyIncome]]&lt;6000,"3K-6K",
HR_Data[[#This Row],[MonthlyIncome]]&lt;10000,"6K-10K",
TRUE,"10K+"
)</f>
        <v>&lt;3K</v>
      </c>
      <c r="AL1138" t="str" cm="1">
        <f t="array" ref="AL1138">_xlfn.IFS(
HR_Data[[#This Row],[YearsAtCompany]]&lt;2,"&lt;2 Years",
HR_Data[[#This Row],[YearsAtCompany]]&lt;5,"2-4 Years",
HR_Data[[#This Row],[YearsAtCompany]]&lt;10,"5-9 Years",
TRUE,"10+ Years"
)</f>
        <v>&lt;2 Years</v>
      </c>
      <c r="AM1138" s="1">
        <f>IF(HR_Data[[#This Row],[Attrition]]="Yes",1,0)</f>
        <v>1</v>
      </c>
    </row>
    <row r="1139" spans="1:39" x14ac:dyDescent="0.3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 cm="1">
        <f t="array" ref="AJ1139">_xlfn.IFS(
HR_Data[[#This Row],[Age]]&lt;25,"Under 25",
HR_Data[[#This Row],[Age]]&lt;35,"25-34",
HR_Data[[#This Row],[Age]]&lt;45,"35-44",
HR_Data[[#This Row],[Age]]&lt;55,"45-54",
TRUE,"55+"
)</f>
        <v>Under 25</v>
      </c>
      <c r="AK1139" t="str" cm="1">
        <f t="array" ref="AK1139">_xlfn.IFS(
HR_Data[[#This Row],[MonthlyIncome]]&lt;3000,"&lt;3K",
HR_Data[[#This Row],[MonthlyIncome]]&lt;6000,"3K-6K",
HR_Data[[#This Row],[MonthlyIncome]]&lt;10000,"6K-10K",
TRUE,"10K+"
)</f>
        <v>&lt;3K</v>
      </c>
      <c r="AL1139" t="str" cm="1">
        <f t="array" ref="AL1139">_xlfn.IFS(
HR_Data[[#This Row],[YearsAtCompany]]&lt;2,"&lt;2 Years",
HR_Data[[#This Row],[YearsAtCompany]]&lt;5,"2-4 Years",
HR_Data[[#This Row],[YearsAtCompany]]&lt;10,"5-9 Years",
TRUE,"10+ Years"
)</f>
        <v>2-4 Years</v>
      </c>
      <c r="AM1139" s="1">
        <f>IF(HR_Data[[#This Row],[Attrition]]="Yes",1,0)</f>
        <v>0</v>
      </c>
    </row>
    <row r="1140" spans="1:39" x14ac:dyDescent="0.3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 cm="1">
        <f t="array" ref="AJ1140">_xlfn.IFS(
HR_Data[[#This Row],[Age]]&lt;25,"Under 25",
HR_Data[[#This Row],[Age]]&lt;35,"25-34",
HR_Data[[#This Row],[Age]]&lt;45,"35-44",
HR_Data[[#This Row],[Age]]&lt;55,"45-54",
TRUE,"55+"
)</f>
        <v>45-54</v>
      </c>
      <c r="AK1140" t="str" cm="1">
        <f t="array" ref="AK1140">_xlfn.IFS(
HR_Data[[#This Row],[MonthlyIncome]]&lt;3000,"&lt;3K",
HR_Data[[#This Row],[MonthlyIncome]]&lt;6000,"3K-6K",
HR_Data[[#This Row],[MonthlyIncome]]&lt;10000,"6K-10K",
TRUE,"10K+"
)</f>
        <v>10K+</v>
      </c>
      <c r="AL1140" t="str" cm="1">
        <f t="array" ref="AL1140">_xlfn.IFS(
HR_Data[[#This Row],[YearsAtCompany]]&lt;2,"&lt;2 Years",
HR_Data[[#This Row],[YearsAtCompany]]&lt;5,"2-4 Years",
HR_Data[[#This Row],[YearsAtCompany]]&lt;10,"5-9 Years",
TRUE,"10+ Years"
)</f>
        <v>10+ Years</v>
      </c>
      <c r="AM1140" s="1">
        <f>IF(HR_Data[[#This Row],[Attrition]]="Yes",1,0)</f>
        <v>0</v>
      </c>
    </row>
    <row r="1141" spans="1:39" x14ac:dyDescent="0.3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 cm="1">
        <f t="array" ref="AJ1141">_xlfn.IFS(
HR_Data[[#This Row],[Age]]&lt;25,"Under 25",
HR_Data[[#This Row],[Age]]&lt;35,"25-34",
HR_Data[[#This Row],[Age]]&lt;45,"35-44",
HR_Data[[#This Row],[Age]]&lt;55,"45-54",
TRUE,"55+"
)</f>
        <v>25-34</v>
      </c>
      <c r="AK1141" t="str" cm="1">
        <f t="array" ref="AK1141">_xlfn.IFS(
HR_Data[[#This Row],[MonthlyIncome]]&lt;3000,"&lt;3K",
HR_Data[[#This Row],[MonthlyIncome]]&lt;6000,"3K-6K",
HR_Data[[#This Row],[MonthlyIncome]]&lt;10000,"6K-10K",
TRUE,"10K+"
)</f>
        <v>3K-6K</v>
      </c>
      <c r="AL1141" t="str" cm="1">
        <f t="array" ref="AL1141">_xlfn.IFS(
HR_Data[[#This Row],[YearsAtCompany]]&lt;2,"&lt;2 Years",
HR_Data[[#This Row],[YearsAtCompany]]&lt;5,"2-4 Years",
HR_Data[[#This Row],[YearsAtCompany]]&lt;10,"5-9 Years",
TRUE,"10+ Years"
)</f>
        <v>2-4 Years</v>
      </c>
      <c r="AM1141" s="1">
        <f>IF(HR_Data[[#This Row],[Attrition]]="Yes",1,0)</f>
        <v>0</v>
      </c>
    </row>
    <row r="1142" spans="1:39" x14ac:dyDescent="0.3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 cm="1">
        <f t="array" ref="AJ1142">_xlfn.IFS(
HR_Data[[#This Row],[Age]]&lt;25,"Under 25",
HR_Data[[#This Row],[Age]]&lt;35,"25-34",
HR_Data[[#This Row],[Age]]&lt;45,"35-44",
HR_Data[[#This Row],[Age]]&lt;55,"45-54",
TRUE,"55+"
)</f>
        <v>35-44</v>
      </c>
      <c r="AK1142" t="str" cm="1">
        <f t="array" ref="AK1142">_xlfn.IFS(
HR_Data[[#This Row],[MonthlyIncome]]&lt;3000,"&lt;3K",
HR_Data[[#This Row],[MonthlyIncome]]&lt;6000,"3K-6K",
HR_Data[[#This Row],[MonthlyIncome]]&lt;10000,"6K-10K",
TRUE,"10K+"
)</f>
        <v>10K+</v>
      </c>
      <c r="AL1142" t="str" cm="1">
        <f t="array" ref="AL1142">_xlfn.IFS(
HR_Data[[#This Row],[YearsAtCompany]]&lt;2,"&lt;2 Years",
HR_Data[[#This Row],[YearsAtCompany]]&lt;5,"2-4 Years",
HR_Data[[#This Row],[YearsAtCompany]]&lt;10,"5-9 Years",
TRUE,"10+ Years"
)</f>
        <v>10+ Years</v>
      </c>
      <c r="AM1142" s="1">
        <f>IF(HR_Data[[#This Row],[Attrition]]="Yes",1,0)</f>
        <v>0</v>
      </c>
    </row>
    <row r="1143" spans="1:39" x14ac:dyDescent="0.3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 cm="1">
        <f t="array" ref="AJ1143">_xlfn.IFS(
HR_Data[[#This Row],[Age]]&lt;25,"Under 25",
HR_Data[[#This Row],[Age]]&lt;35,"25-34",
HR_Data[[#This Row],[Age]]&lt;45,"35-44",
HR_Data[[#This Row],[Age]]&lt;55,"45-54",
TRUE,"55+"
)</f>
        <v>25-34</v>
      </c>
      <c r="AK1143" t="str" cm="1">
        <f t="array" ref="AK1143">_xlfn.IFS(
HR_Data[[#This Row],[MonthlyIncome]]&lt;3000,"&lt;3K",
HR_Data[[#This Row],[MonthlyIncome]]&lt;6000,"3K-6K",
HR_Data[[#This Row],[MonthlyIncome]]&lt;10000,"6K-10K",
TRUE,"10K+"
)</f>
        <v>&lt;3K</v>
      </c>
      <c r="AL1143" t="str" cm="1">
        <f t="array" ref="AL1143">_xlfn.IFS(
HR_Data[[#This Row],[YearsAtCompany]]&lt;2,"&lt;2 Years",
HR_Data[[#This Row],[YearsAtCompany]]&lt;5,"2-4 Years",
HR_Data[[#This Row],[YearsAtCompany]]&lt;10,"5-9 Years",
TRUE,"10+ Years"
)</f>
        <v>5-9 Years</v>
      </c>
      <c r="AM1143" s="1">
        <f>IF(HR_Data[[#This Row],[Attrition]]="Yes",1,0)</f>
        <v>0</v>
      </c>
    </row>
    <row r="1144" spans="1:39" x14ac:dyDescent="0.3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 cm="1">
        <f t="array" ref="AJ1144">_xlfn.IFS(
HR_Data[[#This Row],[Age]]&lt;25,"Under 25",
HR_Data[[#This Row],[Age]]&lt;35,"25-34",
HR_Data[[#This Row],[Age]]&lt;45,"35-44",
HR_Data[[#This Row],[Age]]&lt;55,"45-54",
TRUE,"55+"
)</f>
        <v>45-54</v>
      </c>
      <c r="AK1144" t="str" cm="1">
        <f t="array" ref="AK1144">_xlfn.IFS(
HR_Data[[#This Row],[MonthlyIncome]]&lt;3000,"&lt;3K",
HR_Data[[#This Row],[MonthlyIncome]]&lt;6000,"3K-6K",
HR_Data[[#This Row],[MonthlyIncome]]&lt;10000,"6K-10K",
TRUE,"10K+"
)</f>
        <v>3K-6K</v>
      </c>
      <c r="AL1144" t="str" cm="1">
        <f t="array" ref="AL1144">_xlfn.IFS(
HR_Data[[#This Row],[YearsAtCompany]]&lt;2,"&lt;2 Years",
HR_Data[[#This Row],[YearsAtCompany]]&lt;5,"2-4 Years",
HR_Data[[#This Row],[YearsAtCompany]]&lt;10,"5-9 Years",
TRUE,"10+ Years"
)</f>
        <v>10+ Years</v>
      </c>
      <c r="AM1144" s="1">
        <f>IF(HR_Data[[#This Row],[Attrition]]="Yes",1,0)</f>
        <v>0</v>
      </c>
    </row>
    <row r="1145" spans="1:39" x14ac:dyDescent="0.3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 cm="1">
        <f t="array" ref="AJ1145">_xlfn.IFS(
HR_Data[[#This Row],[Age]]&lt;25,"Under 25",
HR_Data[[#This Row],[Age]]&lt;35,"25-34",
HR_Data[[#This Row],[Age]]&lt;45,"35-44",
HR_Data[[#This Row],[Age]]&lt;55,"45-54",
TRUE,"55+"
)</f>
        <v>45-54</v>
      </c>
      <c r="AK1145" t="str" cm="1">
        <f t="array" ref="AK1145">_xlfn.IFS(
HR_Data[[#This Row],[MonthlyIncome]]&lt;3000,"&lt;3K",
HR_Data[[#This Row],[MonthlyIncome]]&lt;6000,"3K-6K",
HR_Data[[#This Row],[MonthlyIncome]]&lt;10000,"6K-10K",
TRUE,"10K+"
)</f>
        <v>3K-6K</v>
      </c>
      <c r="AL1145" t="str" cm="1">
        <f t="array" ref="AL1145">_xlfn.IFS(
HR_Data[[#This Row],[YearsAtCompany]]&lt;2,"&lt;2 Years",
HR_Data[[#This Row],[YearsAtCompany]]&lt;5,"2-4 Years",
HR_Data[[#This Row],[YearsAtCompany]]&lt;10,"5-9 Years",
TRUE,"10+ Years"
)</f>
        <v>10+ Years</v>
      </c>
      <c r="AM1145" s="1">
        <f>IF(HR_Data[[#This Row],[Attrition]]="Yes",1,0)</f>
        <v>0</v>
      </c>
    </row>
    <row r="1146" spans="1:39" x14ac:dyDescent="0.3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 cm="1">
        <f t="array" ref="AJ1146">_xlfn.IFS(
HR_Data[[#This Row],[Age]]&lt;25,"Under 25",
HR_Data[[#This Row],[Age]]&lt;35,"25-34",
HR_Data[[#This Row],[Age]]&lt;45,"35-44",
HR_Data[[#This Row],[Age]]&lt;55,"45-54",
TRUE,"55+"
)</f>
        <v>25-34</v>
      </c>
      <c r="AK1146" t="str" cm="1">
        <f t="array" ref="AK1146">_xlfn.IFS(
HR_Data[[#This Row],[MonthlyIncome]]&lt;3000,"&lt;3K",
HR_Data[[#This Row],[MonthlyIncome]]&lt;6000,"3K-6K",
HR_Data[[#This Row],[MonthlyIncome]]&lt;10000,"6K-10K",
TRUE,"10K+"
)</f>
        <v>3K-6K</v>
      </c>
      <c r="AL1146" t="str" cm="1">
        <f t="array" ref="AL1146">_xlfn.IFS(
HR_Data[[#This Row],[YearsAtCompany]]&lt;2,"&lt;2 Years",
HR_Data[[#This Row],[YearsAtCompany]]&lt;5,"2-4 Years",
HR_Data[[#This Row],[YearsAtCompany]]&lt;10,"5-9 Years",
TRUE,"10+ Years"
)</f>
        <v>5-9 Years</v>
      </c>
      <c r="AM1146" s="1">
        <f>IF(HR_Data[[#This Row],[Attrition]]="Yes",1,0)</f>
        <v>0</v>
      </c>
    </row>
    <row r="1147" spans="1:39" x14ac:dyDescent="0.3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 cm="1">
        <f t="array" ref="AJ1147">_xlfn.IFS(
HR_Data[[#This Row],[Age]]&lt;25,"Under 25",
HR_Data[[#This Row],[Age]]&lt;35,"25-34",
HR_Data[[#This Row],[Age]]&lt;45,"35-44",
HR_Data[[#This Row],[Age]]&lt;55,"45-54",
TRUE,"55+"
)</f>
        <v>35-44</v>
      </c>
      <c r="AK1147" t="str" cm="1">
        <f t="array" ref="AK1147">_xlfn.IFS(
HR_Data[[#This Row],[MonthlyIncome]]&lt;3000,"&lt;3K",
HR_Data[[#This Row],[MonthlyIncome]]&lt;6000,"3K-6K",
HR_Data[[#This Row],[MonthlyIncome]]&lt;10000,"6K-10K",
TRUE,"10K+"
)</f>
        <v>3K-6K</v>
      </c>
      <c r="AL1147" t="str" cm="1">
        <f t="array" ref="AL1147">_xlfn.IFS(
HR_Data[[#This Row],[YearsAtCompany]]&lt;2,"&lt;2 Years",
HR_Data[[#This Row],[YearsAtCompany]]&lt;5,"2-4 Years",
HR_Data[[#This Row],[YearsAtCompany]]&lt;10,"5-9 Years",
TRUE,"10+ Years"
)</f>
        <v>2-4 Years</v>
      </c>
      <c r="AM1147" s="1">
        <f>IF(HR_Data[[#This Row],[Attrition]]="Yes",1,0)</f>
        <v>0</v>
      </c>
    </row>
    <row r="1148" spans="1:39" x14ac:dyDescent="0.3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 cm="1">
        <f t="array" ref="AJ1148">_xlfn.IFS(
HR_Data[[#This Row],[Age]]&lt;25,"Under 25",
HR_Data[[#This Row],[Age]]&lt;35,"25-34",
HR_Data[[#This Row],[Age]]&lt;45,"35-44",
HR_Data[[#This Row],[Age]]&lt;55,"45-54",
TRUE,"55+"
)</f>
        <v>25-34</v>
      </c>
      <c r="AK1148" t="str" cm="1">
        <f t="array" ref="AK1148">_xlfn.IFS(
HR_Data[[#This Row],[MonthlyIncome]]&lt;3000,"&lt;3K",
HR_Data[[#This Row],[MonthlyIncome]]&lt;6000,"3K-6K",
HR_Data[[#This Row],[MonthlyIncome]]&lt;10000,"6K-10K",
TRUE,"10K+"
)</f>
        <v>3K-6K</v>
      </c>
      <c r="AL1148" t="str" cm="1">
        <f t="array" ref="AL1148">_xlfn.IFS(
HR_Data[[#This Row],[YearsAtCompany]]&lt;2,"&lt;2 Years",
HR_Data[[#This Row],[YearsAtCompany]]&lt;5,"2-4 Years",
HR_Data[[#This Row],[YearsAtCompany]]&lt;10,"5-9 Years",
TRUE,"10+ Years"
)</f>
        <v>5-9 Years</v>
      </c>
      <c r="AM1148" s="1">
        <f>IF(HR_Data[[#This Row],[Attrition]]="Yes",1,0)</f>
        <v>0</v>
      </c>
    </row>
    <row r="1149" spans="1:39" x14ac:dyDescent="0.3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 cm="1">
        <f t="array" ref="AJ1149">_xlfn.IFS(
HR_Data[[#This Row],[Age]]&lt;25,"Under 25",
HR_Data[[#This Row],[Age]]&lt;35,"25-34",
HR_Data[[#This Row],[Age]]&lt;45,"35-44",
HR_Data[[#This Row],[Age]]&lt;55,"45-54",
TRUE,"55+"
)</f>
        <v>45-54</v>
      </c>
      <c r="AK1149" t="str" cm="1">
        <f t="array" ref="AK1149">_xlfn.IFS(
HR_Data[[#This Row],[MonthlyIncome]]&lt;3000,"&lt;3K",
HR_Data[[#This Row],[MonthlyIncome]]&lt;6000,"3K-6K",
HR_Data[[#This Row],[MonthlyIncome]]&lt;10000,"6K-10K",
TRUE,"10K+"
)</f>
        <v>3K-6K</v>
      </c>
      <c r="AL1149" t="str" cm="1">
        <f t="array" ref="AL1149">_xlfn.IFS(
HR_Data[[#This Row],[YearsAtCompany]]&lt;2,"&lt;2 Years",
HR_Data[[#This Row],[YearsAtCompany]]&lt;5,"2-4 Years",
HR_Data[[#This Row],[YearsAtCompany]]&lt;10,"5-9 Years",
TRUE,"10+ Years"
)</f>
        <v>5-9 Years</v>
      </c>
      <c r="AM1149" s="1">
        <f>IF(HR_Data[[#This Row],[Attrition]]="Yes",1,0)</f>
        <v>0</v>
      </c>
    </row>
    <row r="1150" spans="1:39" x14ac:dyDescent="0.3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 cm="1">
        <f t="array" ref="AJ1150">_xlfn.IFS(
HR_Data[[#This Row],[Age]]&lt;25,"Under 25",
HR_Data[[#This Row],[Age]]&lt;35,"25-34",
HR_Data[[#This Row],[Age]]&lt;45,"35-44",
HR_Data[[#This Row],[Age]]&lt;55,"45-54",
TRUE,"55+"
)</f>
        <v>35-44</v>
      </c>
      <c r="AK1150" t="str" cm="1">
        <f t="array" ref="AK1150">_xlfn.IFS(
HR_Data[[#This Row],[MonthlyIncome]]&lt;3000,"&lt;3K",
HR_Data[[#This Row],[MonthlyIncome]]&lt;6000,"3K-6K",
HR_Data[[#This Row],[MonthlyIncome]]&lt;10000,"6K-10K",
TRUE,"10K+"
)</f>
        <v>3K-6K</v>
      </c>
      <c r="AL1150" t="str" cm="1">
        <f t="array" ref="AL1150">_xlfn.IFS(
HR_Data[[#This Row],[YearsAtCompany]]&lt;2,"&lt;2 Years",
HR_Data[[#This Row],[YearsAtCompany]]&lt;5,"2-4 Years",
HR_Data[[#This Row],[YearsAtCompany]]&lt;10,"5-9 Years",
TRUE,"10+ Years"
)</f>
        <v>5-9 Years</v>
      </c>
      <c r="AM1150" s="1">
        <f>IF(HR_Data[[#This Row],[Attrition]]="Yes",1,0)</f>
        <v>0</v>
      </c>
    </row>
    <row r="1151" spans="1:39" x14ac:dyDescent="0.3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 cm="1">
        <f t="array" ref="AJ1151">_xlfn.IFS(
HR_Data[[#This Row],[Age]]&lt;25,"Under 25",
HR_Data[[#This Row],[Age]]&lt;35,"25-34",
HR_Data[[#This Row],[Age]]&lt;45,"35-44",
HR_Data[[#This Row],[Age]]&lt;55,"45-54",
TRUE,"55+"
)</f>
        <v>25-34</v>
      </c>
      <c r="AK1151" t="str" cm="1">
        <f t="array" ref="AK1151">_xlfn.IFS(
HR_Data[[#This Row],[MonthlyIncome]]&lt;3000,"&lt;3K",
HR_Data[[#This Row],[MonthlyIncome]]&lt;6000,"3K-6K",
HR_Data[[#This Row],[MonthlyIncome]]&lt;10000,"6K-10K",
TRUE,"10K+"
)</f>
        <v>3K-6K</v>
      </c>
      <c r="AL1151" t="str" cm="1">
        <f t="array" ref="AL1151">_xlfn.IFS(
HR_Data[[#This Row],[YearsAtCompany]]&lt;2,"&lt;2 Years",
HR_Data[[#This Row],[YearsAtCompany]]&lt;5,"2-4 Years",
HR_Data[[#This Row],[YearsAtCompany]]&lt;10,"5-9 Years",
TRUE,"10+ Years"
)</f>
        <v>5-9 Years</v>
      </c>
      <c r="AM1151" s="1">
        <f>IF(HR_Data[[#This Row],[Attrition]]="Yes",1,0)</f>
        <v>0</v>
      </c>
    </row>
    <row r="1152" spans="1:39" x14ac:dyDescent="0.3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 cm="1">
        <f t="array" ref="AJ1152">_xlfn.IFS(
HR_Data[[#This Row],[Age]]&lt;25,"Under 25",
HR_Data[[#This Row],[Age]]&lt;35,"25-34",
HR_Data[[#This Row],[Age]]&lt;45,"35-44",
HR_Data[[#This Row],[Age]]&lt;55,"45-54",
TRUE,"55+"
)</f>
        <v>35-44</v>
      </c>
      <c r="AK1152" t="str" cm="1">
        <f t="array" ref="AK1152">_xlfn.IFS(
HR_Data[[#This Row],[MonthlyIncome]]&lt;3000,"&lt;3K",
HR_Data[[#This Row],[MonthlyIncome]]&lt;6000,"3K-6K",
HR_Data[[#This Row],[MonthlyIncome]]&lt;10000,"6K-10K",
TRUE,"10K+"
)</f>
        <v>3K-6K</v>
      </c>
      <c r="AL1152" t="str" cm="1">
        <f t="array" ref="AL1152">_xlfn.IFS(
HR_Data[[#This Row],[YearsAtCompany]]&lt;2,"&lt;2 Years",
HR_Data[[#This Row],[YearsAtCompany]]&lt;5,"2-4 Years",
HR_Data[[#This Row],[YearsAtCompany]]&lt;10,"5-9 Years",
TRUE,"10+ Years"
)</f>
        <v>10+ Years</v>
      </c>
      <c r="AM1152" s="1">
        <f>IF(HR_Data[[#This Row],[Attrition]]="Yes",1,0)</f>
        <v>0</v>
      </c>
    </row>
    <row r="1153" spans="1:39" x14ac:dyDescent="0.3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 cm="1">
        <f t="array" ref="AJ1153">_xlfn.IFS(
HR_Data[[#This Row],[Age]]&lt;25,"Under 25",
HR_Data[[#This Row],[Age]]&lt;35,"25-34",
HR_Data[[#This Row],[Age]]&lt;45,"35-44",
HR_Data[[#This Row],[Age]]&lt;55,"45-54",
TRUE,"55+"
)</f>
        <v>25-34</v>
      </c>
      <c r="AK1153" t="str" cm="1">
        <f t="array" ref="AK1153">_xlfn.IFS(
HR_Data[[#This Row],[MonthlyIncome]]&lt;3000,"&lt;3K",
HR_Data[[#This Row],[MonthlyIncome]]&lt;6000,"3K-6K",
HR_Data[[#This Row],[MonthlyIncome]]&lt;10000,"6K-10K",
TRUE,"10K+"
)</f>
        <v>3K-6K</v>
      </c>
      <c r="AL1153" t="str" cm="1">
        <f t="array" ref="AL1153">_xlfn.IFS(
HR_Data[[#This Row],[YearsAtCompany]]&lt;2,"&lt;2 Years",
HR_Data[[#This Row],[YearsAtCompany]]&lt;5,"2-4 Years",
HR_Data[[#This Row],[YearsAtCompany]]&lt;10,"5-9 Years",
TRUE,"10+ Years"
)</f>
        <v>5-9 Years</v>
      </c>
      <c r="AM1153" s="1">
        <f>IF(HR_Data[[#This Row],[Attrition]]="Yes",1,0)</f>
        <v>0</v>
      </c>
    </row>
    <row r="1154" spans="1:39" x14ac:dyDescent="0.3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 cm="1">
        <f t="array" ref="AJ1154">_xlfn.IFS(
HR_Data[[#This Row],[Age]]&lt;25,"Under 25",
HR_Data[[#This Row],[Age]]&lt;35,"25-34",
HR_Data[[#This Row],[Age]]&lt;45,"35-44",
HR_Data[[#This Row],[Age]]&lt;55,"45-54",
TRUE,"55+"
)</f>
        <v>Under 25</v>
      </c>
      <c r="AK1154" t="str" cm="1">
        <f t="array" ref="AK1154">_xlfn.IFS(
HR_Data[[#This Row],[MonthlyIncome]]&lt;3000,"&lt;3K",
HR_Data[[#This Row],[MonthlyIncome]]&lt;6000,"3K-6K",
HR_Data[[#This Row],[MonthlyIncome]]&lt;10000,"6K-10K",
TRUE,"10K+"
)</f>
        <v>3K-6K</v>
      </c>
      <c r="AL1154" t="str" cm="1">
        <f t="array" ref="AL1154">_xlfn.IFS(
HR_Data[[#This Row],[YearsAtCompany]]&lt;2,"&lt;2 Years",
HR_Data[[#This Row],[YearsAtCompany]]&lt;5,"2-4 Years",
HR_Data[[#This Row],[YearsAtCompany]]&lt;10,"5-9 Years",
TRUE,"10+ Years"
)</f>
        <v>2-4 Years</v>
      </c>
      <c r="AM1154" s="1">
        <f>IF(HR_Data[[#This Row],[Attrition]]="Yes",1,0)</f>
        <v>0</v>
      </c>
    </row>
    <row r="1155" spans="1:39" x14ac:dyDescent="0.3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 cm="1">
        <f t="array" ref="AJ1155">_xlfn.IFS(
HR_Data[[#This Row],[Age]]&lt;25,"Under 25",
HR_Data[[#This Row],[Age]]&lt;35,"25-34",
HR_Data[[#This Row],[Age]]&lt;45,"35-44",
HR_Data[[#This Row],[Age]]&lt;55,"45-54",
TRUE,"55+"
)</f>
        <v>Under 25</v>
      </c>
      <c r="AK1155" t="str" cm="1">
        <f t="array" ref="AK1155">_xlfn.IFS(
HR_Data[[#This Row],[MonthlyIncome]]&lt;3000,"&lt;3K",
HR_Data[[#This Row],[MonthlyIncome]]&lt;6000,"3K-6K",
HR_Data[[#This Row],[MonthlyIncome]]&lt;10000,"6K-10K",
TRUE,"10K+"
)</f>
        <v>&lt;3K</v>
      </c>
      <c r="AL1155" t="str" cm="1">
        <f t="array" ref="AL1155">_xlfn.IFS(
HR_Data[[#This Row],[YearsAtCompany]]&lt;2,"&lt;2 Years",
HR_Data[[#This Row],[YearsAtCompany]]&lt;5,"2-4 Years",
HR_Data[[#This Row],[YearsAtCompany]]&lt;10,"5-9 Years",
TRUE,"10+ Years"
)</f>
        <v>&lt;2 Years</v>
      </c>
      <c r="AM1155" s="1">
        <f>IF(HR_Data[[#This Row],[Attrition]]="Yes",1,0)</f>
        <v>1</v>
      </c>
    </row>
    <row r="1156" spans="1:39" x14ac:dyDescent="0.3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 cm="1">
        <f t="array" ref="AJ1156">_xlfn.IFS(
HR_Data[[#This Row],[Age]]&lt;25,"Under 25",
HR_Data[[#This Row],[Age]]&lt;35,"25-34",
HR_Data[[#This Row],[Age]]&lt;45,"35-44",
HR_Data[[#This Row],[Age]]&lt;55,"45-54",
TRUE,"55+"
)</f>
        <v>45-54</v>
      </c>
      <c r="AK1156" t="str" cm="1">
        <f t="array" ref="AK1156">_xlfn.IFS(
HR_Data[[#This Row],[MonthlyIncome]]&lt;3000,"&lt;3K",
HR_Data[[#This Row],[MonthlyIncome]]&lt;6000,"3K-6K",
HR_Data[[#This Row],[MonthlyIncome]]&lt;10000,"6K-10K",
TRUE,"10K+"
)</f>
        <v>10K+</v>
      </c>
      <c r="AL1156" t="str" cm="1">
        <f t="array" ref="AL1156">_xlfn.IFS(
HR_Data[[#This Row],[YearsAtCompany]]&lt;2,"&lt;2 Years",
HR_Data[[#This Row],[YearsAtCompany]]&lt;5,"2-4 Years",
HR_Data[[#This Row],[YearsAtCompany]]&lt;10,"5-9 Years",
TRUE,"10+ Years"
)</f>
        <v>5-9 Years</v>
      </c>
      <c r="AM1156" s="1">
        <f>IF(HR_Data[[#This Row],[Attrition]]="Yes",1,0)</f>
        <v>0</v>
      </c>
    </row>
    <row r="1157" spans="1:39" x14ac:dyDescent="0.3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 cm="1">
        <f t="array" ref="AJ1157">_xlfn.IFS(
HR_Data[[#This Row],[Age]]&lt;25,"Under 25",
HR_Data[[#This Row],[Age]]&lt;35,"25-34",
HR_Data[[#This Row],[Age]]&lt;45,"35-44",
HR_Data[[#This Row],[Age]]&lt;55,"45-54",
TRUE,"55+"
)</f>
        <v>35-44</v>
      </c>
      <c r="AK1157" t="str" cm="1">
        <f t="array" ref="AK1157">_xlfn.IFS(
HR_Data[[#This Row],[MonthlyIncome]]&lt;3000,"&lt;3K",
HR_Data[[#This Row],[MonthlyIncome]]&lt;6000,"3K-6K",
HR_Data[[#This Row],[MonthlyIncome]]&lt;10000,"6K-10K",
TRUE,"10K+"
)</f>
        <v>3K-6K</v>
      </c>
      <c r="AL1157" t="str" cm="1">
        <f t="array" ref="AL1157">_xlfn.IFS(
HR_Data[[#This Row],[YearsAtCompany]]&lt;2,"&lt;2 Years",
HR_Data[[#This Row],[YearsAtCompany]]&lt;5,"2-4 Years",
HR_Data[[#This Row],[YearsAtCompany]]&lt;10,"5-9 Years",
TRUE,"10+ Years"
)</f>
        <v>10+ Years</v>
      </c>
      <c r="AM1157" s="1">
        <f>IF(HR_Data[[#This Row],[Attrition]]="Yes",1,0)</f>
        <v>0</v>
      </c>
    </row>
    <row r="1158" spans="1:39" x14ac:dyDescent="0.3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 cm="1">
        <f t="array" ref="AJ1158">_xlfn.IFS(
HR_Data[[#This Row],[Age]]&lt;25,"Under 25",
HR_Data[[#This Row],[Age]]&lt;35,"25-34",
HR_Data[[#This Row],[Age]]&lt;45,"35-44",
HR_Data[[#This Row],[Age]]&lt;55,"45-54",
TRUE,"55+"
)</f>
        <v>35-44</v>
      </c>
      <c r="AK1158" t="str" cm="1">
        <f t="array" ref="AK1158">_xlfn.IFS(
HR_Data[[#This Row],[MonthlyIncome]]&lt;3000,"&lt;3K",
HR_Data[[#This Row],[MonthlyIncome]]&lt;6000,"3K-6K",
HR_Data[[#This Row],[MonthlyIncome]]&lt;10000,"6K-10K",
TRUE,"10K+"
)</f>
        <v>10K+</v>
      </c>
      <c r="AL1158" t="str" cm="1">
        <f t="array" ref="AL1158">_xlfn.IFS(
HR_Data[[#This Row],[YearsAtCompany]]&lt;2,"&lt;2 Years",
HR_Data[[#This Row],[YearsAtCompany]]&lt;5,"2-4 Years",
HR_Data[[#This Row],[YearsAtCompany]]&lt;10,"5-9 Years",
TRUE,"10+ Years"
)</f>
        <v>10+ Years</v>
      </c>
      <c r="AM1158" s="1">
        <f>IF(HR_Data[[#This Row],[Attrition]]="Yes",1,0)</f>
        <v>0</v>
      </c>
    </row>
    <row r="1159" spans="1:39" x14ac:dyDescent="0.3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 cm="1">
        <f t="array" ref="AJ1159">_xlfn.IFS(
HR_Data[[#This Row],[Age]]&lt;25,"Under 25",
HR_Data[[#This Row],[Age]]&lt;35,"25-34",
HR_Data[[#This Row],[Age]]&lt;45,"35-44",
HR_Data[[#This Row],[Age]]&lt;55,"45-54",
TRUE,"55+"
)</f>
        <v>35-44</v>
      </c>
      <c r="AK1159" t="str" cm="1">
        <f t="array" ref="AK1159">_xlfn.IFS(
HR_Data[[#This Row],[MonthlyIncome]]&lt;3000,"&lt;3K",
HR_Data[[#This Row],[MonthlyIncome]]&lt;6000,"3K-6K",
HR_Data[[#This Row],[MonthlyIncome]]&lt;10000,"6K-10K",
TRUE,"10K+"
)</f>
        <v>3K-6K</v>
      </c>
      <c r="AL1159" t="str" cm="1">
        <f t="array" ref="AL1159">_xlfn.IFS(
HR_Data[[#This Row],[YearsAtCompany]]&lt;2,"&lt;2 Years",
HR_Data[[#This Row],[YearsAtCompany]]&lt;5,"2-4 Years",
HR_Data[[#This Row],[YearsAtCompany]]&lt;10,"5-9 Years",
TRUE,"10+ Years"
)</f>
        <v>10+ Years</v>
      </c>
      <c r="AM1159" s="1">
        <f>IF(HR_Data[[#This Row],[Attrition]]="Yes",1,0)</f>
        <v>0</v>
      </c>
    </row>
    <row r="1160" spans="1:39" x14ac:dyDescent="0.3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 cm="1">
        <f t="array" ref="AJ1160">_xlfn.IFS(
HR_Data[[#This Row],[Age]]&lt;25,"Under 25",
HR_Data[[#This Row],[Age]]&lt;35,"25-34",
HR_Data[[#This Row],[Age]]&lt;45,"35-44",
HR_Data[[#This Row],[Age]]&lt;55,"45-54",
TRUE,"55+"
)</f>
        <v>35-44</v>
      </c>
      <c r="AK1160" t="str" cm="1">
        <f t="array" ref="AK1160">_xlfn.IFS(
HR_Data[[#This Row],[MonthlyIncome]]&lt;3000,"&lt;3K",
HR_Data[[#This Row],[MonthlyIncome]]&lt;6000,"3K-6K",
HR_Data[[#This Row],[MonthlyIncome]]&lt;10000,"6K-10K",
TRUE,"10K+"
)</f>
        <v>3K-6K</v>
      </c>
      <c r="AL1160" t="str" cm="1">
        <f t="array" ref="AL1160">_xlfn.IFS(
HR_Data[[#This Row],[YearsAtCompany]]&lt;2,"&lt;2 Years",
HR_Data[[#This Row],[YearsAtCompany]]&lt;5,"2-4 Years",
HR_Data[[#This Row],[YearsAtCompany]]&lt;10,"5-9 Years",
TRUE,"10+ Years"
)</f>
        <v>2-4 Years</v>
      </c>
      <c r="AM1160" s="1">
        <f>IF(HR_Data[[#This Row],[Attrition]]="Yes",1,0)</f>
        <v>0</v>
      </c>
    </row>
    <row r="1161" spans="1:39" x14ac:dyDescent="0.3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 cm="1">
        <f t="array" ref="AJ1161">_xlfn.IFS(
HR_Data[[#This Row],[Age]]&lt;25,"Under 25",
HR_Data[[#This Row],[Age]]&lt;35,"25-34",
HR_Data[[#This Row],[Age]]&lt;45,"35-44",
HR_Data[[#This Row],[Age]]&lt;55,"45-54",
TRUE,"55+"
)</f>
        <v>35-44</v>
      </c>
      <c r="AK1161" t="str" cm="1">
        <f t="array" ref="AK1161">_xlfn.IFS(
HR_Data[[#This Row],[MonthlyIncome]]&lt;3000,"&lt;3K",
HR_Data[[#This Row],[MonthlyIncome]]&lt;6000,"3K-6K",
HR_Data[[#This Row],[MonthlyIncome]]&lt;10000,"6K-10K",
TRUE,"10K+"
)</f>
        <v>3K-6K</v>
      </c>
      <c r="AL1161" t="str" cm="1">
        <f t="array" ref="AL1161">_xlfn.IFS(
HR_Data[[#This Row],[YearsAtCompany]]&lt;2,"&lt;2 Years",
HR_Data[[#This Row],[YearsAtCompany]]&lt;5,"2-4 Years",
HR_Data[[#This Row],[YearsAtCompany]]&lt;10,"5-9 Years",
TRUE,"10+ Years"
)</f>
        <v>5-9 Years</v>
      </c>
      <c r="AM1161" s="1">
        <f>IF(HR_Data[[#This Row],[Attrition]]="Yes",1,0)</f>
        <v>0</v>
      </c>
    </row>
    <row r="1162" spans="1:39" x14ac:dyDescent="0.3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 cm="1">
        <f t="array" ref="AJ1162">_xlfn.IFS(
HR_Data[[#This Row],[Age]]&lt;25,"Under 25",
HR_Data[[#This Row],[Age]]&lt;35,"25-34",
HR_Data[[#This Row],[Age]]&lt;45,"35-44",
HR_Data[[#This Row],[Age]]&lt;55,"45-54",
TRUE,"55+"
)</f>
        <v>45-54</v>
      </c>
      <c r="AK1162" t="str" cm="1">
        <f t="array" ref="AK1162">_xlfn.IFS(
HR_Data[[#This Row],[MonthlyIncome]]&lt;3000,"&lt;3K",
HR_Data[[#This Row],[MonthlyIncome]]&lt;6000,"3K-6K",
HR_Data[[#This Row],[MonthlyIncome]]&lt;10000,"6K-10K",
TRUE,"10K+"
)</f>
        <v>3K-6K</v>
      </c>
      <c r="AL1162" t="str" cm="1">
        <f t="array" ref="AL1162">_xlfn.IFS(
HR_Data[[#This Row],[YearsAtCompany]]&lt;2,"&lt;2 Years",
HR_Data[[#This Row],[YearsAtCompany]]&lt;5,"2-4 Years",
HR_Data[[#This Row],[YearsAtCompany]]&lt;10,"5-9 Years",
TRUE,"10+ Years"
)</f>
        <v>10+ Years</v>
      </c>
      <c r="AM1162" s="1">
        <f>IF(HR_Data[[#This Row],[Attrition]]="Yes",1,0)</f>
        <v>0</v>
      </c>
    </row>
    <row r="1163" spans="1:39" x14ac:dyDescent="0.3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 cm="1">
        <f t="array" ref="AJ1163">_xlfn.IFS(
HR_Data[[#This Row],[Age]]&lt;25,"Under 25",
HR_Data[[#This Row],[Age]]&lt;35,"25-34",
HR_Data[[#This Row],[Age]]&lt;45,"35-44",
HR_Data[[#This Row],[Age]]&lt;55,"45-54",
TRUE,"55+"
)</f>
        <v>35-44</v>
      </c>
      <c r="AK1163" t="str" cm="1">
        <f t="array" ref="AK1163">_xlfn.IFS(
HR_Data[[#This Row],[MonthlyIncome]]&lt;3000,"&lt;3K",
HR_Data[[#This Row],[MonthlyIncome]]&lt;6000,"3K-6K",
HR_Data[[#This Row],[MonthlyIncome]]&lt;10000,"6K-10K",
TRUE,"10K+"
)</f>
        <v>6K-10K</v>
      </c>
      <c r="AL1163" t="str" cm="1">
        <f t="array" ref="AL1163">_xlfn.IFS(
HR_Data[[#This Row],[YearsAtCompany]]&lt;2,"&lt;2 Years",
HR_Data[[#This Row],[YearsAtCompany]]&lt;5,"2-4 Years",
HR_Data[[#This Row],[YearsAtCompany]]&lt;10,"5-9 Years",
TRUE,"10+ Years"
)</f>
        <v>5-9 Years</v>
      </c>
      <c r="AM1163" s="1">
        <f>IF(HR_Data[[#This Row],[Attrition]]="Yes",1,0)</f>
        <v>0</v>
      </c>
    </row>
    <row r="1164" spans="1:39" x14ac:dyDescent="0.3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 cm="1">
        <f t="array" ref="AJ1164">_xlfn.IFS(
HR_Data[[#This Row],[Age]]&lt;25,"Under 25",
HR_Data[[#This Row],[Age]]&lt;35,"25-34",
HR_Data[[#This Row],[Age]]&lt;45,"35-44",
HR_Data[[#This Row],[Age]]&lt;55,"45-54",
TRUE,"55+"
)</f>
        <v>35-44</v>
      </c>
      <c r="AK1164" t="str" cm="1">
        <f t="array" ref="AK1164">_xlfn.IFS(
HR_Data[[#This Row],[MonthlyIncome]]&lt;3000,"&lt;3K",
HR_Data[[#This Row],[MonthlyIncome]]&lt;6000,"3K-6K",
HR_Data[[#This Row],[MonthlyIncome]]&lt;10000,"6K-10K",
TRUE,"10K+"
)</f>
        <v>10K+</v>
      </c>
      <c r="AL1164" t="str" cm="1">
        <f t="array" ref="AL1164">_xlfn.IFS(
HR_Data[[#This Row],[YearsAtCompany]]&lt;2,"&lt;2 Years",
HR_Data[[#This Row],[YearsAtCompany]]&lt;5,"2-4 Years",
HR_Data[[#This Row],[YearsAtCompany]]&lt;10,"5-9 Years",
TRUE,"10+ Years"
)</f>
        <v>10+ Years</v>
      </c>
      <c r="AM1164" s="1">
        <f>IF(HR_Data[[#This Row],[Attrition]]="Yes",1,0)</f>
        <v>1</v>
      </c>
    </row>
    <row r="1165" spans="1:39" x14ac:dyDescent="0.3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 cm="1">
        <f t="array" ref="AJ1165">_xlfn.IFS(
HR_Data[[#This Row],[Age]]&lt;25,"Under 25",
HR_Data[[#This Row],[Age]]&lt;35,"25-34",
HR_Data[[#This Row],[Age]]&lt;45,"35-44",
HR_Data[[#This Row],[Age]]&lt;55,"45-54",
TRUE,"55+"
)</f>
        <v>35-44</v>
      </c>
      <c r="AK1165" t="str" cm="1">
        <f t="array" ref="AK1165">_xlfn.IFS(
HR_Data[[#This Row],[MonthlyIncome]]&lt;3000,"&lt;3K",
HR_Data[[#This Row],[MonthlyIncome]]&lt;6000,"3K-6K",
HR_Data[[#This Row],[MonthlyIncome]]&lt;10000,"6K-10K",
TRUE,"10K+"
)</f>
        <v>3K-6K</v>
      </c>
      <c r="AL1165" t="str" cm="1">
        <f t="array" ref="AL1165">_xlfn.IFS(
HR_Data[[#This Row],[YearsAtCompany]]&lt;2,"&lt;2 Years",
HR_Data[[#This Row],[YearsAtCompany]]&lt;5,"2-4 Years",
HR_Data[[#This Row],[YearsAtCompany]]&lt;10,"5-9 Years",
TRUE,"10+ Years"
)</f>
        <v>5-9 Years</v>
      </c>
      <c r="AM1165" s="1">
        <f>IF(HR_Data[[#This Row],[Attrition]]="Yes",1,0)</f>
        <v>0</v>
      </c>
    </row>
    <row r="1166" spans="1:39" x14ac:dyDescent="0.3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 cm="1">
        <f t="array" ref="AJ1166">_xlfn.IFS(
HR_Data[[#This Row],[Age]]&lt;25,"Under 25",
HR_Data[[#This Row],[Age]]&lt;35,"25-34",
HR_Data[[#This Row],[Age]]&lt;45,"35-44",
HR_Data[[#This Row],[Age]]&lt;55,"45-54",
TRUE,"55+"
)</f>
        <v>35-44</v>
      </c>
      <c r="AK1166" t="str" cm="1">
        <f t="array" ref="AK1166">_xlfn.IFS(
HR_Data[[#This Row],[MonthlyIncome]]&lt;3000,"&lt;3K",
HR_Data[[#This Row],[MonthlyIncome]]&lt;6000,"3K-6K",
HR_Data[[#This Row],[MonthlyIncome]]&lt;10000,"6K-10K",
TRUE,"10K+"
)</f>
        <v>6K-10K</v>
      </c>
      <c r="AL1166" t="str" cm="1">
        <f t="array" ref="AL1166">_xlfn.IFS(
HR_Data[[#This Row],[YearsAtCompany]]&lt;2,"&lt;2 Years",
HR_Data[[#This Row],[YearsAtCompany]]&lt;5,"2-4 Years",
HR_Data[[#This Row],[YearsAtCompany]]&lt;10,"5-9 Years",
TRUE,"10+ Years"
)</f>
        <v>2-4 Years</v>
      </c>
      <c r="AM1166" s="1">
        <f>IF(HR_Data[[#This Row],[Attrition]]="Yes",1,0)</f>
        <v>0</v>
      </c>
    </row>
    <row r="1167" spans="1:39" x14ac:dyDescent="0.3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 cm="1">
        <f t="array" ref="AJ1167">_xlfn.IFS(
HR_Data[[#This Row],[Age]]&lt;25,"Under 25",
HR_Data[[#This Row],[Age]]&lt;35,"25-34",
HR_Data[[#This Row],[Age]]&lt;45,"35-44",
HR_Data[[#This Row],[Age]]&lt;55,"45-54",
TRUE,"55+"
)</f>
        <v>35-44</v>
      </c>
      <c r="AK1167" t="str" cm="1">
        <f t="array" ref="AK1167">_xlfn.IFS(
HR_Data[[#This Row],[MonthlyIncome]]&lt;3000,"&lt;3K",
HR_Data[[#This Row],[MonthlyIncome]]&lt;6000,"3K-6K",
HR_Data[[#This Row],[MonthlyIncome]]&lt;10000,"6K-10K",
TRUE,"10K+"
)</f>
        <v>3K-6K</v>
      </c>
      <c r="AL1167" t="str" cm="1">
        <f t="array" ref="AL1167">_xlfn.IFS(
HR_Data[[#This Row],[YearsAtCompany]]&lt;2,"&lt;2 Years",
HR_Data[[#This Row],[YearsAtCompany]]&lt;5,"2-4 Years",
HR_Data[[#This Row],[YearsAtCompany]]&lt;10,"5-9 Years",
TRUE,"10+ Years"
)</f>
        <v>10+ Years</v>
      </c>
      <c r="AM1167" s="1">
        <f>IF(HR_Data[[#This Row],[Attrition]]="Yes",1,0)</f>
        <v>0</v>
      </c>
    </row>
    <row r="1168" spans="1:39" x14ac:dyDescent="0.3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 cm="1">
        <f t="array" ref="AJ1168">_xlfn.IFS(
HR_Data[[#This Row],[Age]]&lt;25,"Under 25",
HR_Data[[#This Row],[Age]]&lt;35,"25-34",
HR_Data[[#This Row],[Age]]&lt;45,"35-44",
HR_Data[[#This Row],[Age]]&lt;55,"45-54",
TRUE,"55+"
)</f>
        <v>45-54</v>
      </c>
      <c r="AK1168" t="str" cm="1">
        <f t="array" ref="AK1168">_xlfn.IFS(
HR_Data[[#This Row],[MonthlyIncome]]&lt;3000,"&lt;3K",
HR_Data[[#This Row],[MonthlyIncome]]&lt;6000,"3K-6K",
HR_Data[[#This Row],[MonthlyIncome]]&lt;10000,"6K-10K",
TRUE,"10K+"
)</f>
        <v>10K+</v>
      </c>
      <c r="AL1168" t="str" cm="1">
        <f t="array" ref="AL1168">_xlfn.IFS(
HR_Data[[#This Row],[YearsAtCompany]]&lt;2,"&lt;2 Years",
HR_Data[[#This Row],[YearsAtCompany]]&lt;5,"2-4 Years",
HR_Data[[#This Row],[YearsAtCompany]]&lt;10,"5-9 Years",
TRUE,"10+ Years"
)</f>
        <v>2-4 Years</v>
      </c>
      <c r="AM1168" s="1">
        <f>IF(HR_Data[[#This Row],[Attrition]]="Yes",1,0)</f>
        <v>0</v>
      </c>
    </row>
    <row r="1169" spans="1:39" x14ac:dyDescent="0.3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 cm="1">
        <f t="array" ref="AJ1169">_xlfn.IFS(
HR_Data[[#This Row],[Age]]&lt;25,"Under 25",
HR_Data[[#This Row],[Age]]&lt;35,"25-34",
HR_Data[[#This Row],[Age]]&lt;45,"35-44",
HR_Data[[#This Row],[Age]]&lt;55,"45-54",
TRUE,"55+"
)</f>
        <v>35-44</v>
      </c>
      <c r="AK1169" t="str" cm="1">
        <f t="array" ref="AK1169">_xlfn.IFS(
HR_Data[[#This Row],[MonthlyIncome]]&lt;3000,"&lt;3K",
HR_Data[[#This Row],[MonthlyIncome]]&lt;6000,"3K-6K",
HR_Data[[#This Row],[MonthlyIncome]]&lt;10000,"6K-10K",
TRUE,"10K+"
)</f>
        <v>3K-6K</v>
      </c>
      <c r="AL1169" t="str" cm="1">
        <f t="array" ref="AL1169">_xlfn.IFS(
HR_Data[[#This Row],[YearsAtCompany]]&lt;2,"&lt;2 Years",
HR_Data[[#This Row],[YearsAtCompany]]&lt;5,"2-4 Years",
HR_Data[[#This Row],[YearsAtCompany]]&lt;10,"5-9 Years",
TRUE,"10+ Years"
)</f>
        <v>2-4 Years</v>
      </c>
      <c r="AM1169" s="1">
        <f>IF(HR_Data[[#This Row],[Attrition]]="Yes",1,0)</f>
        <v>1</v>
      </c>
    </row>
    <row r="1170" spans="1:39" x14ac:dyDescent="0.3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 cm="1">
        <f t="array" ref="AJ1170">_xlfn.IFS(
HR_Data[[#This Row],[Age]]&lt;25,"Under 25",
HR_Data[[#This Row],[Age]]&lt;35,"25-34",
HR_Data[[#This Row],[Age]]&lt;45,"35-44",
HR_Data[[#This Row],[Age]]&lt;55,"45-54",
TRUE,"55+"
)</f>
        <v>Under 25</v>
      </c>
      <c r="AK1170" t="str" cm="1">
        <f t="array" ref="AK1170">_xlfn.IFS(
HR_Data[[#This Row],[MonthlyIncome]]&lt;3000,"&lt;3K",
HR_Data[[#This Row],[MonthlyIncome]]&lt;6000,"3K-6K",
HR_Data[[#This Row],[MonthlyIncome]]&lt;10000,"6K-10K",
TRUE,"10K+"
)</f>
        <v>3K-6K</v>
      </c>
      <c r="AL1170" t="str" cm="1">
        <f t="array" ref="AL1170">_xlfn.IFS(
HR_Data[[#This Row],[YearsAtCompany]]&lt;2,"&lt;2 Years",
HR_Data[[#This Row],[YearsAtCompany]]&lt;5,"2-4 Years",
HR_Data[[#This Row],[YearsAtCompany]]&lt;10,"5-9 Years",
TRUE,"10+ Years"
)</f>
        <v>5-9 Years</v>
      </c>
      <c r="AM1170" s="1">
        <f>IF(HR_Data[[#This Row],[Attrition]]="Yes",1,0)</f>
        <v>0</v>
      </c>
    </row>
    <row r="1171" spans="1:39" x14ac:dyDescent="0.3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 cm="1">
        <f t="array" ref="AJ1171">_xlfn.IFS(
HR_Data[[#This Row],[Age]]&lt;25,"Under 25",
HR_Data[[#This Row],[Age]]&lt;35,"25-34",
HR_Data[[#This Row],[Age]]&lt;45,"35-44",
HR_Data[[#This Row],[Age]]&lt;55,"45-54",
TRUE,"55+"
)</f>
        <v>25-34</v>
      </c>
      <c r="AK1171" t="str" cm="1">
        <f t="array" ref="AK1171">_xlfn.IFS(
HR_Data[[#This Row],[MonthlyIncome]]&lt;3000,"&lt;3K",
HR_Data[[#This Row],[MonthlyIncome]]&lt;6000,"3K-6K",
HR_Data[[#This Row],[MonthlyIncome]]&lt;10000,"6K-10K",
TRUE,"10K+"
)</f>
        <v>3K-6K</v>
      </c>
      <c r="AL1171" t="str" cm="1">
        <f t="array" ref="AL1171">_xlfn.IFS(
HR_Data[[#This Row],[YearsAtCompany]]&lt;2,"&lt;2 Years",
HR_Data[[#This Row],[YearsAtCompany]]&lt;5,"2-4 Years",
HR_Data[[#This Row],[YearsAtCompany]]&lt;10,"5-9 Years",
TRUE,"10+ Years"
)</f>
        <v>2-4 Years</v>
      </c>
      <c r="AM1171" s="1">
        <f>IF(HR_Data[[#This Row],[Attrition]]="Yes",1,0)</f>
        <v>0</v>
      </c>
    </row>
    <row r="1172" spans="1:39" x14ac:dyDescent="0.3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 cm="1">
        <f t="array" ref="AJ1172">_xlfn.IFS(
HR_Data[[#This Row],[Age]]&lt;25,"Under 25",
HR_Data[[#This Row],[Age]]&lt;35,"25-34",
HR_Data[[#This Row],[Age]]&lt;45,"35-44",
HR_Data[[#This Row],[Age]]&lt;55,"45-54",
TRUE,"55+"
)</f>
        <v>25-34</v>
      </c>
      <c r="AK1172" t="str" cm="1">
        <f t="array" ref="AK1172">_xlfn.IFS(
HR_Data[[#This Row],[MonthlyIncome]]&lt;3000,"&lt;3K",
HR_Data[[#This Row],[MonthlyIncome]]&lt;6000,"3K-6K",
HR_Data[[#This Row],[MonthlyIncome]]&lt;10000,"6K-10K",
TRUE,"10K+"
)</f>
        <v>&lt;3K</v>
      </c>
      <c r="AL1172" t="str" cm="1">
        <f t="array" ref="AL1172">_xlfn.IFS(
HR_Data[[#This Row],[YearsAtCompany]]&lt;2,"&lt;2 Years",
HR_Data[[#This Row],[YearsAtCompany]]&lt;5,"2-4 Years",
HR_Data[[#This Row],[YearsAtCompany]]&lt;10,"5-9 Years",
TRUE,"10+ Years"
)</f>
        <v>2-4 Years</v>
      </c>
      <c r="AM1172" s="1">
        <f>IF(HR_Data[[#This Row],[Attrition]]="Yes",1,0)</f>
        <v>0</v>
      </c>
    </row>
    <row r="1173" spans="1:39" x14ac:dyDescent="0.3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 cm="1">
        <f t="array" ref="AJ1173">_xlfn.IFS(
HR_Data[[#This Row],[Age]]&lt;25,"Under 25",
HR_Data[[#This Row],[Age]]&lt;35,"25-34",
HR_Data[[#This Row],[Age]]&lt;45,"35-44",
HR_Data[[#This Row],[Age]]&lt;55,"45-54",
TRUE,"55+"
)</f>
        <v>35-44</v>
      </c>
      <c r="AK1173" t="str" cm="1">
        <f t="array" ref="AK1173">_xlfn.IFS(
HR_Data[[#This Row],[MonthlyIncome]]&lt;3000,"&lt;3K",
HR_Data[[#This Row],[MonthlyIncome]]&lt;6000,"3K-6K",
HR_Data[[#This Row],[MonthlyIncome]]&lt;10000,"6K-10K",
TRUE,"10K+"
)</f>
        <v>&lt;3K</v>
      </c>
      <c r="AL1173" t="str" cm="1">
        <f t="array" ref="AL1173">_xlfn.IFS(
HR_Data[[#This Row],[YearsAtCompany]]&lt;2,"&lt;2 Years",
HR_Data[[#This Row],[YearsAtCompany]]&lt;5,"2-4 Years",
HR_Data[[#This Row],[YearsAtCompany]]&lt;10,"5-9 Years",
TRUE,"10+ Years"
)</f>
        <v>2-4 Years</v>
      </c>
      <c r="AM1173" s="1">
        <f>IF(HR_Data[[#This Row],[Attrition]]="Yes",1,0)</f>
        <v>1</v>
      </c>
    </row>
    <row r="1174" spans="1:39" x14ac:dyDescent="0.3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 cm="1">
        <f t="array" ref="AJ1174">_xlfn.IFS(
HR_Data[[#This Row],[Age]]&lt;25,"Under 25",
HR_Data[[#This Row],[Age]]&lt;35,"25-34",
HR_Data[[#This Row],[Age]]&lt;45,"35-44",
HR_Data[[#This Row],[Age]]&lt;55,"45-54",
TRUE,"55+"
)</f>
        <v>25-34</v>
      </c>
      <c r="AK1174" t="str" cm="1">
        <f t="array" ref="AK1174">_xlfn.IFS(
HR_Data[[#This Row],[MonthlyIncome]]&lt;3000,"&lt;3K",
HR_Data[[#This Row],[MonthlyIncome]]&lt;6000,"3K-6K",
HR_Data[[#This Row],[MonthlyIncome]]&lt;10000,"6K-10K",
TRUE,"10K+"
)</f>
        <v>3K-6K</v>
      </c>
      <c r="AL1174" t="str" cm="1">
        <f t="array" ref="AL1174">_xlfn.IFS(
HR_Data[[#This Row],[YearsAtCompany]]&lt;2,"&lt;2 Years",
HR_Data[[#This Row],[YearsAtCompany]]&lt;5,"2-4 Years",
HR_Data[[#This Row],[YearsAtCompany]]&lt;10,"5-9 Years",
TRUE,"10+ Years"
)</f>
        <v>5-9 Years</v>
      </c>
      <c r="AM1174" s="1">
        <f>IF(HR_Data[[#This Row],[Attrition]]="Yes",1,0)</f>
        <v>0</v>
      </c>
    </row>
    <row r="1175" spans="1:39" x14ac:dyDescent="0.3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 cm="1">
        <f t="array" ref="AJ1175">_xlfn.IFS(
HR_Data[[#This Row],[Age]]&lt;25,"Under 25",
HR_Data[[#This Row],[Age]]&lt;35,"25-34",
HR_Data[[#This Row],[Age]]&lt;45,"35-44",
HR_Data[[#This Row],[Age]]&lt;55,"45-54",
TRUE,"55+"
)</f>
        <v>35-44</v>
      </c>
      <c r="AK1175" t="str" cm="1">
        <f t="array" ref="AK1175">_xlfn.IFS(
HR_Data[[#This Row],[MonthlyIncome]]&lt;3000,"&lt;3K",
HR_Data[[#This Row],[MonthlyIncome]]&lt;6000,"3K-6K",
HR_Data[[#This Row],[MonthlyIncome]]&lt;10000,"6K-10K",
TRUE,"10K+"
)</f>
        <v>6K-10K</v>
      </c>
      <c r="AL1175" t="str" cm="1">
        <f t="array" ref="AL1175">_xlfn.IFS(
HR_Data[[#This Row],[YearsAtCompany]]&lt;2,"&lt;2 Years",
HR_Data[[#This Row],[YearsAtCompany]]&lt;5,"2-4 Years",
HR_Data[[#This Row],[YearsAtCompany]]&lt;10,"5-9 Years",
TRUE,"10+ Years"
)</f>
        <v>2-4 Years</v>
      </c>
      <c r="AM1175" s="1">
        <f>IF(HR_Data[[#This Row],[Attrition]]="Yes",1,0)</f>
        <v>0</v>
      </c>
    </row>
    <row r="1176" spans="1:39" x14ac:dyDescent="0.3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 cm="1">
        <f t="array" ref="AJ1176">_xlfn.IFS(
HR_Data[[#This Row],[Age]]&lt;25,"Under 25",
HR_Data[[#This Row],[Age]]&lt;35,"25-34",
HR_Data[[#This Row],[Age]]&lt;45,"35-44",
HR_Data[[#This Row],[Age]]&lt;55,"45-54",
TRUE,"55+"
)</f>
        <v>25-34</v>
      </c>
      <c r="AK1176" t="str" cm="1">
        <f t="array" ref="AK1176">_xlfn.IFS(
HR_Data[[#This Row],[MonthlyIncome]]&lt;3000,"&lt;3K",
HR_Data[[#This Row],[MonthlyIncome]]&lt;6000,"3K-6K",
HR_Data[[#This Row],[MonthlyIncome]]&lt;10000,"6K-10K",
TRUE,"10K+"
)</f>
        <v>3K-6K</v>
      </c>
      <c r="AL1176" t="str" cm="1">
        <f t="array" ref="AL1176">_xlfn.IFS(
HR_Data[[#This Row],[YearsAtCompany]]&lt;2,"&lt;2 Years",
HR_Data[[#This Row],[YearsAtCompany]]&lt;5,"2-4 Years",
HR_Data[[#This Row],[YearsAtCompany]]&lt;10,"5-9 Years",
TRUE,"10+ Years"
)</f>
        <v>5-9 Years</v>
      </c>
      <c r="AM1176" s="1">
        <f>IF(HR_Data[[#This Row],[Attrition]]="Yes",1,0)</f>
        <v>0</v>
      </c>
    </row>
    <row r="1177" spans="1:39" x14ac:dyDescent="0.3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 cm="1">
        <f t="array" ref="AJ1177">_xlfn.IFS(
HR_Data[[#This Row],[Age]]&lt;25,"Under 25",
HR_Data[[#This Row],[Age]]&lt;35,"25-34",
HR_Data[[#This Row],[Age]]&lt;45,"35-44",
HR_Data[[#This Row],[Age]]&lt;55,"45-54",
TRUE,"55+"
)</f>
        <v>35-44</v>
      </c>
      <c r="AK1177" t="str" cm="1">
        <f t="array" ref="AK1177">_xlfn.IFS(
HR_Data[[#This Row],[MonthlyIncome]]&lt;3000,"&lt;3K",
HR_Data[[#This Row],[MonthlyIncome]]&lt;6000,"3K-6K",
HR_Data[[#This Row],[MonthlyIncome]]&lt;10000,"6K-10K",
TRUE,"10K+"
)</f>
        <v>3K-6K</v>
      </c>
      <c r="AL1177" t="str" cm="1">
        <f t="array" ref="AL1177">_xlfn.IFS(
HR_Data[[#This Row],[YearsAtCompany]]&lt;2,"&lt;2 Years",
HR_Data[[#This Row],[YearsAtCompany]]&lt;5,"2-4 Years",
HR_Data[[#This Row],[YearsAtCompany]]&lt;10,"5-9 Years",
TRUE,"10+ Years"
)</f>
        <v>5-9 Years</v>
      </c>
      <c r="AM1177" s="1">
        <f>IF(HR_Data[[#This Row],[Attrition]]="Yes",1,0)</f>
        <v>0</v>
      </c>
    </row>
    <row r="1178" spans="1:39" x14ac:dyDescent="0.3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 cm="1">
        <f t="array" ref="AJ1178">_xlfn.IFS(
HR_Data[[#This Row],[Age]]&lt;25,"Under 25",
HR_Data[[#This Row],[Age]]&lt;35,"25-34",
HR_Data[[#This Row],[Age]]&lt;45,"35-44",
HR_Data[[#This Row],[Age]]&lt;55,"45-54",
TRUE,"55+"
)</f>
        <v>45-54</v>
      </c>
      <c r="AK1178" t="str" cm="1">
        <f t="array" ref="AK1178">_xlfn.IFS(
HR_Data[[#This Row],[MonthlyIncome]]&lt;3000,"&lt;3K",
HR_Data[[#This Row],[MonthlyIncome]]&lt;6000,"3K-6K",
HR_Data[[#This Row],[MonthlyIncome]]&lt;10000,"6K-10K",
TRUE,"10K+"
)</f>
        <v>10K+</v>
      </c>
      <c r="AL1178" t="str" cm="1">
        <f t="array" ref="AL1178">_xlfn.IFS(
HR_Data[[#This Row],[YearsAtCompany]]&lt;2,"&lt;2 Years",
HR_Data[[#This Row],[YearsAtCompany]]&lt;5,"2-4 Years",
HR_Data[[#This Row],[YearsAtCompany]]&lt;10,"5-9 Years",
TRUE,"10+ Years"
)</f>
        <v>2-4 Years</v>
      </c>
      <c r="AM1178" s="1">
        <f>IF(HR_Data[[#This Row],[Attrition]]="Yes",1,0)</f>
        <v>0</v>
      </c>
    </row>
    <row r="1179" spans="1:39" x14ac:dyDescent="0.3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 cm="1">
        <f t="array" ref="AJ1179">_xlfn.IFS(
HR_Data[[#This Row],[Age]]&lt;25,"Under 25",
HR_Data[[#This Row],[Age]]&lt;35,"25-34",
HR_Data[[#This Row],[Age]]&lt;45,"35-44",
HR_Data[[#This Row],[Age]]&lt;55,"45-54",
TRUE,"55+"
)</f>
        <v>45-54</v>
      </c>
      <c r="AK1179" t="str" cm="1">
        <f t="array" ref="AK1179">_xlfn.IFS(
HR_Data[[#This Row],[MonthlyIncome]]&lt;3000,"&lt;3K",
HR_Data[[#This Row],[MonthlyIncome]]&lt;6000,"3K-6K",
HR_Data[[#This Row],[MonthlyIncome]]&lt;10000,"6K-10K",
TRUE,"10K+"
)</f>
        <v>10K+</v>
      </c>
      <c r="AL1179" t="str" cm="1">
        <f t="array" ref="AL1179">_xlfn.IFS(
HR_Data[[#This Row],[YearsAtCompany]]&lt;2,"&lt;2 Years",
HR_Data[[#This Row],[YearsAtCompany]]&lt;5,"2-4 Years",
HR_Data[[#This Row],[YearsAtCompany]]&lt;10,"5-9 Years",
TRUE,"10+ Years"
)</f>
        <v>10+ Years</v>
      </c>
      <c r="AM1179" s="1">
        <f>IF(HR_Data[[#This Row],[Attrition]]="Yes",1,0)</f>
        <v>0</v>
      </c>
    </row>
    <row r="1180" spans="1:39" x14ac:dyDescent="0.3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 cm="1">
        <f t="array" ref="AJ1180">_xlfn.IFS(
HR_Data[[#This Row],[Age]]&lt;25,"Under 25",
HR_Data[[#This Row],[Age]]&lt;35,"25-34",
HR_Data[[#This Row],[Age]]&lt;45,"35-44",
HR_Data[[#This Row],[Age]]&lt;55,"45-54",
TRUE,"55+"
)</f>
        <v>Under 25</v>
      </c>
      <c r="AK1180" t="str" cm="1">
        <f t="array" ref="AK1180">_xlfn.IFS(
HR_Data[[#This Row],[MonthlyIncome]]&lt;3000,"&lt;3K",
HR_Data[[#This Row],[MonthlyIncome]]&lt;6000,"3K-6K",
HR_Data[[#This Row],[MonthlyIncome]]&lt;10000,"6K-10K",
TRUE,"10K+"
)</f>
        <v>&lt;3K</v>
      </c>
      <c r="AL1180" t="str" cm="1">
        <f t="array" ref="AL1180">_xlfn.IFS(
HR_Data[[#This Row],[YearsAtCompany]]&lt;2,"&lt;2 Years",
HR_Data[[#This Row],[YearsAtCompany]]&lt;5,"2-4 Years",
HR_Data[[#This Row],[YearsAtCompany]]&lt;10,"5-9 Years",
TRUE,"10+ Years"
)</f>
        <v>2-4 Years</v>
      </c>
      <c r="AM1180" s="1">
        <f>IF(HR_Data[[#This Row],[Attrition]]="Yes",1,0)</f>
        <v>0</v>
      </c>
    </row>
    <row r="1181" spans="1:39" x14ac:dyDescent="0.3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 cm="1">
        <f t="array" ref="AJ1181">_xlfn.IFS(
HR_Data[[#This Row],[Age]]&lt;25,"Under 25",
HR_Data[[#This Row],[Age]]&lt;35,"25-34",
HR_Data[[#This Row],[Age]]&lt;45,"35-44",
HR_Data[[#This Row],[Age]]&lt;55,"45-54",
TRUE,"55+"
)</f>
        <v>25-34</v>
      </c>
      <c r="AK1181" t="str" cm="1">
        <f t="array" ref="AK1181">_xlfn.IFS(
HR_Data[[#This Row],[MonthlyIncome]]&lt;3000,"&lt;3K",
HR_Data[[#This Row],[MonthlyIncome]]&lt;6000,"3K-6K",
HR_Data[[#This Row],[MonthlyIncome]]&lt;10000,"6K-10K",
TRUE,"10K+"
)</f>
        <v>3K-6K</v>
      </c>
      <c r="AL1181" t="str" cm="1">
        <f t="array" ref="AL1181">_xlfn.IFS(
HR_Data[[#This Row],[YearsAtCompany]]&lt;2,"&lt;2 Years",
HR_Data[[#This Row],[YearsAtCompany]]&lt;5,"2-4 Years",
HR_Data[[#This Row],[YearsAtCompany]]&lt;10,"5-9 Years",
TRUE,"10+ Years"
)</f>
        <v>10+ Years</v>
      </c>
      <c r="AM1181" s="1">
        <f>IF(HR_Data[[#This Row],[Attrition]]="Yes",1,0)</f>
        <v>0</v>
      </c>
    </row>
    <row r="1182" spans="1:39" x14ac:dyDescent="0.3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 cm="1">
        <f t="array" ref="AJ1182">_xlfn.IFS(
HR_Data[[#This Row],[Age]]&lt;25,"Under 25",
HR_Data[[#This Row],[Age]]&lt;35,"25-34",
HR_Data[[#This Row],[Age]]&lt;45,"35-44",
HR_Data[[#This Row],[Age]]&lt;55,"45-54",
TRUE,"55+"
)</f>
        <v>35-44</v>
      </c>
      <c r="AK1182" t="str" cm="1">
        <f t="array" ref="AK1182">_xlfn.IFS(
HR_Data[[#This Row],[MonthlyIncome]]&lt;3000,"&lt;3K",
HR_Data[[#This Row],[MonthlyIncome]]&lt;6000,"3K-6K",
HR_Data[[#This Row],[MonthlyIncome]]&lt;10000,"6K-10K",
TRUE,"10K+"
)</f>
        <v>&lt;3K</v>
      </c>
      <c r="AL1182" t="str" cm="1">
        <f t="array" ref="AL1182">_xlfn.IFS(
HR_Data[[#This Row],[YearsAtCompany]]&lt;2,"&lt;2 Years",
HR_Data[[#This Row],[YearsAtCompany]]&lt;5,"2-4 Years",
HR_Data[[#This Row],[YearsAtCompany]]&lt;10,"5-9 Years",
TRUE,"10+ Years"
)</f>
        <v>2-4 Years</v>
      </c>
      <c r="AM1182" s="1">
        <f>IF(HR_Data[[#This Row],[Attrition]]="Yes",1,0)</f>
        <v>0</v>
      </c>
    </row>
    <row r="1183" spans="1:39" x14ac:dyDescent="0.3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 cm="1">
        <f t="array" ref="AJ1183">_xlfn.IFS(
HR_Data[[#This Row],[Age]]&lt;25,"Under 25",
HR_Data[[#This Row],[Age]]&lt;35,"25-34",
HR_Data[[#This Row],[Age]]&lt;45,"35-44",
HR_Data[[#This Row],[Age]]&lt;55,"45-54",
TRUE,"55+"
)</f>
        <v>45-54</v>
      </c>
      <c r="AK1183" t="str" cm="1">
        <f t="array" ref="AK1183">_xlfn.IFS(
HR_Data[[#This Row],[MonthlyIncome]]&lt;3000,"&lt;3K",
HR_Data[[#This Row],[MonthlyIncome]]&lt;6000,"3K-6K",
HR_Data[[#This Row],[MonthlyIncome]]&lt;10000,"6K-10K",
TRUE,"10K+"
)</f>
        <v>10K+</v>
      </c>
      <c r="AL1183" t="str" cm="1">
        <f t="array" ref="AL1183">_xlfn.IFS(
HR_Data[[#This Row],[YearsAtCompany]]&lt;2,"&lt;2 Years",
HR_Data[[#This Row],[YearsAtCompany]]&lt;5,"2-4 Years",
HR_Data[[#This Row],[YearsAtCompany]]&lt;10,"5-9 Years",
TRUE,"10+ Years"
)</f>
        <v>10+ Years</v>
      </c>
      <c r="AM1183" s="1">
        <f>IF(HR_Data[[#This Row],[Attrition]]="Yes",1,0)</f>
        <v>0</v>
      </c>
    </row>
    <row r="1184" spans="1:39" x14ac:dyDescent="0.3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 cm="1">
        <f t="array" ref="AJ1184">_xlfn.IFS(
HR_Data[[#This Row],[Age]]&lt;25,"Under 25",
HR_Data[[#This Row],[Age]]&lt;35,"25-34",
HR_Data[[#This Row],[Age]]&lt;45,"35-44",
HR_Data[[#This Row],[Age]]&lt;55,"45-54",
TRUE,"55+"
)</f>
        <v>35-44</v>
      </c>
      <c r="AK1184" t="str" cm="1">
        <f t="array" ref="AK1184">_xlfn.IFS(
HR_Data[[#This Row],[MonthlyIncome]]&lt;3000,"&lt;3K",
HR_Data[[#This Row],[MonthlyIncome]]&lt;6000,"3K-6K",
HR_Data[[#This Row],[MonthlyIncome]]&lt;10000,"6K-10K",
TRUE,"10K+"
)</f>
        <v>3K-6K</v>
      </c>
      <c r="AL1184" t="str" cm="1">
        <f t="array" ref="AL1184">_xlfn.IFS(
HR_Data[[#This Row],[YearsAtCompany]]&lt;2,"&lt;2 Years",
HR_Data[[#This Row],[YearsAtCompany]]&lt;5,"2-4 Years",
HR_Data[[#This Row],[YearsAtCompany]]&lt;10,"5-9 Years",
TRUE,"10+ Years"
)</f>
        <v>2-4 Years</v>
      </c>
      <c r="AM1184" s="1">
        <f>IF(HR_Data[[#This Row],[Attrition]]="Yes",1,0)</f>
        <v>0</v>
      </c>
    </row>
    <row r="1185" spans="1:39" x14ac:dyDescent="0.3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 cm="1">
        <f t="array" ref="AJ1185">_xlfn.IFS(
HR_Data[[#This Row],[Age]]&lt;25,"Under 25",
HR_Data[[#This Row],[Age]]&lt;35,"25-34",
HR_Data[[#This Row],[Age]]&lt;45,"35-44",
HR_Data[[#This Row],[Age]]&lt;55,"45-54",
TRUE,"55+"
)</f>
        <v>35-44</v>
      </c>
      <c r="AK1185" t="str" cm="1">
        <f t="array" ref="AK1185">_xlfn.IFS(
HR_Data[[#This Row],[MonthlyIncome]]&lt;3000,"&lt;3K",
HR_Data[[#This Row],[MonthlyIncome]]&lt;6000,"3K-6K",
HR_Data[[#This Row],[MonthlyIncome]]&lt;10000,"6K-10K",
TRUE,"10K+"
)</f>
        <v>6K-10K</v>
      </c>
      <c r="AL1185" t="str" cm="1">
        <f t="array" ref="AL1185">_xlfn.IFS(
HR_Data[[#This Row],[YearsAtCompany]]&lt;2,"&lt;2 Years",
HR_Data[[#This Row],[YearsAtCompany]]&lt;5,"2-4 Years",
HR_Data[[#This Row],[YearsAtCompany]]&lt;10,"5-9 Years",
TRUE,"10+ Years"
)</f>
        <v>5-9 Years</v>
      </c>
      <c r="AM1185" s="1">
        <f>IF(HR_Data[[#This Row],[Attrition]]="Yes",1,0)</f>
        <v>0</v>
      </c>
    </row>
    <row r="1186" spans="1:39" x14ac:dyDescent="0.3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 cm="1">
        <f t="array" ref="AJ1186">_xlfn.IFS(
HR_Data[[#This Row],[Age]]&lt;25,"Under 25",
HR_Data[[#This Row],[Age]]&lt;35,"25-34",
HR_Data[[#This Row],[Age]]&lt;45,"35-44",
HR_Data[[#This Row],[Age]]&lt;55,"45-54",
TRUE,"55+"
)</f>
        <v>45-54</v>
      </c>
      <c r="AK1186" t="str" cm="1">
        <f t="array" ref="AK1186">_xlfn.IFS(
HR_Data[[#This Row],[MonthlyIncome]]&lt;3000,"&lt;3K",
HR_Data[[#This Row],[MonthlyIncome]]&lt;6000,"3K-6K",
HR_Data[[#This Row],[MonthlyIncome]]&lt;10000,"6K-10K",
TRUE,"10K+"
)</f>
        <v>10K+</v>
      </c>
      <c r="AL1186" t="str" cm="1">
        <f t="array" ref="AL1186">_xlfn.IFS(
HR_Data[[#This Row],[YearsAtCompany]]&lt;2,"&lt;2 Years",
HR_Data[[#This Row],[YearsAtCompany]]&lt;5,"2-4 Years",
HR_Data[[#This Row],[YearsAtCompany]]&lt;10,"5-9 Years",
TRUE,"10+ Years"
)</f>
        <v>10+ Years</v>
      </c>
      <c r="AM1186" s="1">
        <f>IF(HR_Data[[#This Row],[Attrition]]="Yes",1,0)</f>
        <v>0</v>
      </c>
    </row>
    <row r="1187" spans="1:39" x14ac:dyDescent="0.3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 cm="1">
        <f t="array" ref="AJ1187">_xlfn.IFS(
HR_Data[[#This Row],[Age]]&lt;25,"Under 25",
HR_Data[[#This Row],[Age]]&lt;35,"25-34",
HR_Data[[#This Row],[Age]]&lt;45,"35-44",
HR_Data[[#This Row],[Age]]&lt;55,"45-54",
TRUE,"55+"
)</f>
        <v>35-44</v>
      </c>
      <c r="AK1187" t="str" cm="1">
        <f t="array" ref="AK1187">_xlfn.IFS(
HR_Data[[#This Row],[MonthlyIncome]]&lt;3000,"&lt;3K",
HR_Data[[#This Row],[MonthlyIncome]]&lt;6000,"3K-6K",
HR_Data[[#This Row],[MonthlyIncome]]&lt;10000,"6K-10K",
TRUE,"10K+"
)</f>
        <v>10K+</v>
      </c>
      <c r="AL1187" t="str" cm="1">
        <f t="array" ref="AL1187">_xlfn.IFS(
HR_Data[[#This Row],[YearsAtCompany]]&lt;2,"&lt;2 Years",
HR_Data[[#This Row],[YearsAtCompany]]&lt;5,"2-4 Years",
HR_Data[[#This Row],[YearsAtCompany]]&lt;10,"5-9 Years",
TRUE,"10+ Years"
)</f>
        <v>10+ Years</v>
      </c>
      <c r="AM1187" s="1">
        <f>IF(HR_Data[[#This Row],[Attrition]]="Yes",1,0)</f>
        <v>0</v>
      </c>
    </row>
    <row r="1188" spans="1:39" x14ac:dyDescent="0.3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 cm="1">
        <f t="array" ref="AJ1188">_xlfn.IFS(
HR_Data[[#This Row],[Age]]&lt;25,"Under 25",
HR_Data[[#This Row],[Age]]&lt;35,"25-34",
HR_Data[[#This Row],[Age]]&lt;45,"35-44",
HR_Data[[#This Row],[Age]]&lt;55,"45-54",
TRUE,"55+"
)</f>
        <v>35-44</v>
      </c>
      <c r="AK1188" t="str" cm="1">
        <f t="array" ref="AK1188">_xlfn.IFS(
HR_Data[[#This Row],[MonthlyIncome]]&lt;3000,"&lt;3K",
HR_Data[[#This Row],[MonthlyIncome]]&lt;6000,"3K-6K",
HR_Data[[#This Row],[MonthlyIncome]]&lt;10000,"6K-10K",
TRUE,"10K+"
)</f>
        <v>3K-6K</v>
      </c>
      <c r="AL1188" t="str" cm="1">
        <f t="array" ref="AL1188">_xlfn.IFS(
HR_Data[[#This Row],[YearsAtCompany]]&lt;2,"&lt;2 Years",
HR_Data[[#This Row],[YearsAtCompany]]&lt;5,"2-4 Years",
HR_Data[[#This Row],[YearsAtCompany]]&lt;10,"5-9 Years",
TRUE,"10+ Years"
)</f>
        <v>10+ Years</v>
      </c>
      <c r="AM1188" s="1">
        <f>IF(HR_Data[[#This Row],[Attrition]]="Yes",1,0)</f>
        <v>1</v>
      </c>
    </row>
    <row r="1189" spans="1:39" x14ac:dyDescent="0.3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 cm="1">
        <f t="array" ref="AJ1189">_xlfn.IFS(
HR_Data[[#This Row],[Age]]&lt;25,"Under 25",
HR_Data[[#This Row],[Age]]&lt;35,"25-34",
HR_Data[[#This Row],[Age]]&lt;45,"35-44",
HR_Data[[#This Row],[Age]]&lt;55,"45-54",
TRUE,"55+"
)</f>
        <v>35-44</v>
      </c>
      <c r="AK1189" t="str" cm="1">
        <f t="array" ref="AK1189">_xlfn.IFS(
HR_Data[[#This Row],[MonthlyIncome]]&lt;3000,"&lt;3K",
HR_Data[[#This Row],[MonthlyIncome]]&lt;6000,"3K-6K",
HR_Data[[#This Row],[MonthlyIncome]]&lt;10000,"6K-10K",
TRUE,"10K+"
)</f>
        <v>3K-6K</v>
      </c>
      <c r="AL1189" t="str" cm="1">
        <f t="array" ref="AL1189">_xlfn.IFS(
HR_Data[[#This Row],[YearsAtCompany]]&lt;2,"&lt;2 Years",
HR_Data[[#This Row],[YearsAtCompany]]&lt;5,"2-4 Years",
HR_Data[[#This Row],[YearsAtCompany]]&lt;10,"5-9 Years",
TRUE,"10+ Years"
)</f>
        <v>10+ Years</v>
      </c>
      <c r="AM1189" s="1">
        <f>IF(HR_Data[[#This Row],[Attrition]]="Yes",1,0)</f>
        <v>0</v>
      </c>
    </row>
    <row r="1190" spans="1:39" x14ac:dyDescent="0.3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 cm="1">
        <f t="array" ref="AJ1190">_xlfn.IFS(
HR_Data[[#This Row],[Age]]&lt;25,"Under 25",
HR_Data[[#This Row],[Age]]&lt;35,"25-34",
HR_Data[[#This Row],[Age]]&lt;45,"35-44",
HR_Data[[#This Row],[Age]]&lt;55,"45-54",
TRUE,"55+"
)</f>
        <v>25-34</v>
      </c>
      <c r="AK1190" t="str" cm="1">
        <f t="array" ref="AK1190">_xlfn.IFS(
HR_Data[[#This Row],[MonthlyIncome]]&lt;3000,"&lt;3K",
HR_Data[[#This Row],[MonthlyIncome]]&lt;6000,"3K-6K",
HR_Data[[#This Row],[MonthlyIncome]]&lt;10000,"6K-10K",
TRUE,"10K+"
)</f>
        <v>3K-6K</v>
      </c>
      <c r="AL1190" t="str" cm="1">
        <f t="array" ref="AL1190">_xlfn.IFS(
HR_Data[[#This Row],[YearsAtCompany]]&lt;2,"&lt;2 Years",
HR_Data[[#This Row],[YearsAtCompany]]&lt;5,"2-4 Years",
HR_Data[[#This Row],[YearsAtCompany]]&lt;10,"5-9 Years",
TRUE,"10+ Years"
)</f>
        <v>10+ Years</v>
      </c>
      <c r="AM1190" s="1">
        <f>IF(HR_Data[[#This Row],[Attrition]]="Yes",1,0)</f>
        <v>0</v>
      </c>
    </row>
    <row r="1191" spans="1:39" x14ac:dyDescent="0.3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 cm="1">
        <f t="array" ref="AJ1191">_xlfn.IFS(
HR_Data[[#This Row],[Age]]&lt;25,"Under 25",
HR_Data[[#This Row],[Age]]&lt;35,"25-34",
HR_Data[[#This Row],[Age]]&lt;45,"35-44",
HR_Data[[#This Row],[Age]]&lt;55,"45-54",
TRUE,"55+"
)</f>
        <v>25-34</v>
      </c>
      <c r="AK1191" t="str" cm="1">
        <f t="array" ref="AK1191">_xlfn.IFS(
HR_Data[[#This Row],[MonthlyIncome]]&lt;3000,"&lt;3K",
HR_Data[[#This Row],[MonthlyIncome]]&lt;6000,"3K-6K",
HR_Data[[#This Row],[MonthlyIncome]]&lt;10000,"6K-10K",
TRUE,"10K+"
)</f>
        <v>3K-6K</v>
      </c>
      <c r="AL1191" t="str" cm="1">
        <f t="array" ref="AL1191">_xlfn.IFS(
HR_Data[[#This Row],[YearsAtCompany]]&lt;2,"&lt;2 Years",
HR_Data[[#This Row],[YearsAtCompany]]&lt;5,"2-4 Years",
HR_Data[[#This Row],[YearsAtCompany]]&lt;10,"5-9 Years",
TRUE,"10+ Years"
)</f>
        <v>5-9 Years</v>
      </c>
      <c r="AM1191" s="1">
        <f>IF(HR_Data[[#This Row],[Attrition]]="Yes",1,0)</f>
        <v>0</v>
      </c>
    </row>
    <row r="1192" spans="1:39" x14ac:dyDescent="0.3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 cm="1">
        <f t="array" ref="AJ1192">_xlfn.IFS(
HR_Data[[#This Row],[Age]]&lt;25,"Under 25",
HR_Data[[#This Row],[Age]]&lt;35,"25-34",
HR_Data[[#This Row],[Age]]&lt;45,"35-44",
HR_Data[[#This Row],[Age]]&lt;55,"45-54",
TRUE,"55+"
)</f>
        <v>25-34</v>
      </c>
      <c r="AK1192" t="str" cm="1">
        <f t="array" ref="AK1192">_xlfn.IFS(
HR_Data[[#This Row],[MonthlyIncome]]&lt;3000,"&lt;3K",
HR_Data[[#This Row],[MonthlyIncome]]&lt;6000,"3K-6K",
HR_Data[[#This Row],[MonthlyIncome]]&lt;10000,"6K-10K",
TRUE,"10K+"
)</f>
        <v>3K-6K</v>
      </c>
      <c r="AL1192" t="str" cm="1">
        <f t="array" ref="AL1192">_xlfn.IFS(
HR_Data[[#This Row],[YearsAtCompany]]&lt;2,"&lt;2 Years",
HR_Data[[#This Row],[YearsAtCompany]]&lt;5,"2-4 Years",
HR_Data[[#This Row],[YearsAtCompany]]&lt;10,"5-9 Years",
TRUE,"10+ Years"
)</f>
        <v>5-9 Years</v>
      </c>
      <c r="AM1192" s="1">
        <f>IF(HR_Data[[#This Row],[Attrition]]="Yes",1,0)</f>
        <v>0</v>
      </c>
    </row>
    <row r="1193" spans="1:39" x14ac:dyDescent="0.3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 cm="1">
        <f t="array" ref="AJ1193">_xlfn.IFS(
HR_Data[[#This Row],[Age]]&lt;25,"Under 25",
HR_Data[[#This Row],[Age]]&lt;35,"25-34",
HR_Data[[#This Row],[Age]]&lt;45,"35-44",
HR_Data[[#This Row],[Age]]&lt;55,"45-54",
TRUE,"55+"
)</f>
        <v>25-34</v>
      </c>
      <c r="AK1193" t="str" cm="1">
        <f t="array" ref="AK1193">_xlfn.IFS(
HR_Data[[#This Row],[MonthlyIncome]]&lt;3000,"&lt;3K",
HR_Data[[#This Row],[MonthlyIncome]]&lt;6000,"3K-6K",
HR_Data[[#This Row],[MonthlyIncome]]&lt;10000,"6K-10K",
TRUE,"10K+"
)</f>
        <v>3K-6K</v>
      </c>
      <c r="AL1193" t="str" cm="1">
        <f t="array" ref="AL1193">_xlfn.IFS(
HR_Data[[#This Row],[YearsAtCompany]]&lt;2,"&lt;2 Years",
HR_Data[[#This Row],[YearsAtCompany]]&lt;5,"2-4 Years",
HR_Data[[#This Row],[YearsAtCompany]]&lt;10,"5-9 Years",
TRUE,"10+ Years"
)</f>
        <v>10+ Years</v>
      </c>
      <c r="AM1193" s="1">
        <f>IF(HR_Data[[#This Row],[Attrition]]="Yes",1,0)</f>
        <v>0</v>
      </c>
    </row>
    <row r="1194" spans="1:39" x14ac:dyDescent="0.3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 cm="1">
        <f t="array" ref="AJ1194">_xlfn.IFS(
HR_Data[[#This Row],[Age]]&lt;25,"Under 25",
HR_Data[[#This Row],[Age]]&lt;35,"25-34",
HR_Data[[#This Row],[Age]]&lt;45,"35-44",
HR_Data[[#This Row],[Age]]&lt;55,"45-54",
TRUE,"55+"
)</f>
        <v>45-54</v>
      </c>
      <c r="AK1194" t="str" cm="1">
        <f t="array" ref="AK1194">_xlfn.IFS(
HR_Data[[#This Row],[MonthlyIncome]]&lt;3000,"&lt;3K",
HR_Data[[#This Row],[MonthlyIncome]]&lt;6000,"3K-6K",
HR_Data[[#This Row],[MonthlyIncome]]&lt;10000,"6K-10K",
TRUE,"10K+"
)</f>
        <v>&lt;3K</v>
      </c>
      <c r="AL1194" t="str" cm="1">
        <f t="array" ref="AL1194">_xlfn.IFS(
HR_Data[[#This Row],[YearsAtCompany]]&lt;2,"&lt;2 Years",
HR_Data[[#This Row],[YearsAtCompany]]&lt;5,"2-4 Years",
HR_Data[[#This Row],[YearsAtCompany]]&lt;10,"5-9 Years",
TRUE,"10+ Years"
)</f>
        <v>2-4 Years</v>
      </c>
      <c r="AM1194" s="1">
        <f>IF(HR_Data[[#This Row],[Attrition]]="Yes",1,0)</f>
        <v>0</v>
      </c>
    </row>
    <row r="1195" spans="1:39" x14ac:dyDescent="0.3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 cm="1">
        <f t="array" ref="AJ1195">_xlfn.IFS(
HR_Data[[#This Row],[Age]]&lt;25,"Under 25",
HR_Data[[#This Row],[Age]]&lt;35,"25-34",
HR_Data[[#This Row],[Age]]&lt;45,"35-44",
HR_Data[[#This Row],[Age]]&lt;55,"45-54",
TRUE,"55+"
)</f>
        <v>35-44</v>
      </c>
      <c r="AK1195" t="str" cm="1">
        <f t="array" ref="AK1195">_xlfn.IFS(
HR_Data[[#This Row],[MonthlyIncome]]&lt;3000,"&lt;3K",
HR_Data[[#This Row],[MonthlyIncome]]&lt;6000,"3K-6K",
HR_Data[[#This Row],[MonthlyIncome]]&lt;10000,"6K-10K",
TRUE,"10K+"
)</f>
        <v>&lt;3K</v>
      </c>
      <c r="AL1195" t="str" cm="1">
        <f t="array" ref="AL1195">_xlfn.IFS(
HR_Data[[#This Row],[YearsAtCompany]]&lt;2,"&lt;2 Years",
HR_Data[[#This Row],[YearsAtCompany]]&lt;5,"2-4 Years",
HR_Data[[#This Row],[YearsAtCompany]]&lt;10,"5-9 Years",
TRUE,"10+ Years"
)</f>
        <v>2-4 Years</v>
      </c>
      <c r="AM1195" s="1">
        <f>IF(HR_Data[[#This Row],[Attrition]]="Yes",1,0)</f>
        <v>0</v>
      </c>
    </row>
    <row r="1196" spans="1:39" x14ac:dyDescent="0.3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 cm="1">
        <f t="array" ref="AJ1196">_xlfn.IFS(
HR_Data[[#This Row],[Age]]&lt;25,"Under 25",
HR_Data[[#This Row],[Age]]&lt;35,"25-34",
HR_Data[[#This Row],[Age]]&lt;45,"35-44",
HR_Data[[#This Row],[Age]]&lt;55,"45-54",
TRUE,"55+"
)</f>
        <v>45-54</v>
      </c>
      <c r="AK1196" t="str" cm="1">
        <f t="array" ref="AK1196">_xlfn.IFS(
HR_Data[[#This Row],[MonthlyIncome]]&lt;3000,"&lt;3K",
HR_Data[[#This Row],[MonthlyIncome]]&lt;6000,"3K-6K",
HR_Data[[#This Row],[MonthlyIncome]]&lt;10000,"6K-10K",
TRUE,"10K+"
)</f>
        <v>10K+</v>
      </c>
      <c r="AL1196" t="str" cm="1">
        <f t="array" ref="AL1196">_xlfn.IFS(
HR_Data[[#This Row],[YearsAtCompany]]&lt;2,"&lt;2 Years",
HR_Data[[#This Row],[YearsAtCompany]]&lt;5,"2-4 Years",
HR_Data[[#This Row],[YearsAtCompany]]&lt;10,"5-9 Years",
TRUE,"10+ Years"
)</f>
        <v>2-4 Years</v>
      </c>
      <c r="AM1196" s="1">
        <f>IF(HR_Data[[#This Row],[Attrition]]="Yes",1,0)</f>
        <v>0</v>
      </c>
    </row>
    <row r="1197" spans="1:39" x14ac:dyDescent="0.3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 cm="1">
        <f t="array" ref="AJ1197">_xlfn.IFS(
HR_Data[[#This Row],[Age]]&lt;25,"Under 25",
HR_Data[[#This Row],[Age]]&lt;35,"25-34",
HR_Data[[#This Row],[Age]]&lt;45,"35-44",
HR_Data[[#This Row],[Age]]&lt;55,"45-54",
TRUE,"55+"
)</f>
        <v>45-54</v>
      </c>
      <c r="AK1197" t="str" cm="1">
        <f t="array" ref="AK1197">_xlfn.IFS(
HR_Data[[#This Row],[MonthlyIncome]]&lt;3000,"&lt;3K",
HR_Data[[#This Row],[MonthlyIncome]]&lt;6000,"3K-6K",
HR_Data[[#This Row],[MonthlyIncome]]&lt;10000,"6K-10K",
TRUE,"10K+"
)</f>
        <v>10K+</v>
      </c>
      <c r="AL1197" t="str" cm="1">
        <f t="array" ref="AL1197">_xlfn.IFS(
HR_Data[[#This Row],[YearsAtCompany]]&lt;2,"&lt;2 Years",
HR_Data[[#This Row],[YearsAtCompany]]&lt;5,"2-4 Years",
HR_Data[[#This Row],[YearsAtCompany]]&lt;10,"5-9 Years",
TRUE,"10+ Years"
)</f>
        <v>5-9 Years</v>
      </c>
      <c r="AM1197" s="1">
        <f>IF(HR_Data[[#This Row],[Attrition]]="Yes",1,0)</f>
        <v>0</v>
      </c>
    </row>
    <row r="1198" spans="1:39" x14ac:dyDescent="0.3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 cm="1">
        <f t="array" ref="AJ1198">_xlfn.IFS(
HR_Data[[#This Row],[Age]]&lt;25,"Under 25",
HR_Data[[#This Row],[Age]]&lt;35,"25-34",
HR_Data[[#This Row],[Age]]&lt;45,"35-44",
HR_Data[[#This Row],[Age]]&lt;55,"45-54",
TRUE,"55+"
)</f>
        <v>35-44</v>
      </c>
      <c r="AK1198" t="str" cm="1">
        <f t="array" ref="AK1198">_xlfn.IFS(
HR_Data[[#This Row],[MonthlyIncome]]&lt;3000,"&lt;3K",
HR_Data[[#This Row],[MonthlyIncome]]&lt;6000,"3K-6K",
HR_Data[[#This Row],[MonthlyIncome]]&lt;10000,"6K-10K",
TRUE,"10K+"
)</f>
        <v>6K-10K</v>
      </c>
      <c r="AL1198" t="str" cm="1">
        <f t="array" ref="AL1198">_xlfn.IFS(
HR_Data[[#This Row],[YearsAtCompany]]&lt;2,"&lt;2 Years",
HR_Data[[#This Row],[YearsAtCompany]]&lt;5,"2-4 Years",
HR_Data[[#This Row],[YearsAtCompany]]&lt;10,"5-9 Years",
TRUE,"10+ Years"
)</f>
        <v>2-4 Years</v>
      </c>
      <c r="AM1198" s="1">
        <f>IF(HR_Data[[#This Row],[Attrition]]="Yes",1,0)</f>
        <v>0</v>
      </c>
    </row>
    <row r="1199" spans="1:39" x14ac:dyDescent="0.3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 cm="1">
        <f t="array" ref="AJ1199">_xlfn.IFS(
HR_Data[[#This Row],[Age]]&lt;25,"Under 25",
HR_Data[[#This Row],[Age]]&lt;35,"25-34",
HR_Data[[#This Row],[Age]]&lt;45,"35-44",
HR_Data[[#This Row],[Age]]&lt;55,"45-54",
TRUE,"55+"
)</f>
        <v>Under 25</v>
      </c>
      <c r="AK1199" t="str" cm="1">
        <f t="array" ref="AK1199">_xlfn.IFS(
HR_Data[[#This Row],[MonthlyIncome]]&lt;3000,"&lt;3K",
HR_Data[[#This Row],[MonthlyIncome]]&lt;6000,"3K-6K",
HR_Data[[#This Row],[MonthlyIncome]]&lt;10000,"6K-10K",
TRUE,"10K+"
)</f>
        <v>&lt;3K</v>
      </c>
      <c r="AL1199" t="str" cm="1">
        <f t="array" ref="AL1199">_xlfn.IFS(
HR_Data[[#This Row],[YearsAtCompany]]&lt;2,"&lt;2 Years",
HR_Data[[#This Row],[YearsAtCompany]]&lt;5,"2-4 Years",
HR_Data[[#This Row],[YearsAtCompany]]&lt;10,"5-9 Years",
TRUE,"10+ Years"
)</f>
        <v>2-4 Years</v>
      </c>
      <c r="AM1199" s="1">
        <f>IF(HR_Data[[#This Row],[Attrition]]="Yes",1,0)</f>
        <v>0</v>
      </c>
    </row>
    <row r="1200" spans="1:39" x14ac:dyDescent="0.3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 cm="1">
        <f t="array" ref="AJ1200">_xlfn.IFS(
HR_Data[[#This Row],[Age]]&lt;25,"Under 25",
HR_Data[[#This Row],[Age]]&lt;35,"25-34",
HR_Data[[#This Row],[Age]]&lt;45,"35-44",
HR_Data[[#This Row],[Age]]&lt;55,"45-54",
TRUE,"55+"
)</f>
        <v>25-34</v>
      </c>
      <c r="AK1200" t="str" cm="1">
        <f t="array" ref="AK1200">_xlfn.IFS(
HR_Data[[#This Row],[MonthlyIncome]]&lt;3000,"&lt;3K",
HR_Data[[#This Row],[MonthlyIncome]]&lt;6000,"3K-6K",
HR_Data[[#This Row],[MonthlyIncome]]&lt;10000,"6K-10K",
TRUE,"10K+"
)</f>
        <v>3K-6K</v>
      </c>
      <c r="AL1200" t="str" cm="1">
        <f t="array" ref="AL1200">_xlfn.IFS(
HR_Data[[#This Row],[YearsAtCompany]]&lt;2,"&lt;2 Years",
HR_Data[[#This Row],[YearsAtCompany]]&lt;5,"2-4 Years",
HR_Data[[#This Row],[YearsAtCompany]]&lt;10,"5-9 Years",
TRUE,"10+ Years"
)</f>
        <v>5-9 Years</v>
      </c>
      <c r="AM1200" s="1">
        <f>IF(HR_Data[[#This Row],[Attrition]]="Yes",1,0)</f>
        <v>0</v>
      </c>
    </row>
    <row r="1201" spans="1:39" x14ac:dyDescent="0.3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 cm="1">
        <f t="array" ref="AJ1201">_xlfn.IFS(
HR_Data[[#This Row],[Age]]&lt;25,"Under 25",
HR_Data[[#This Row],[Age]]&lt;35,"25-34",
HR_Data[[#This Row],[Age]]&lt;45,"35-44",
HR_Data[[#This Row],[Age]]&lt;55,"45-54",
TRUE,"55+"
)</f>
        <v>35-44</v>
      </c>
      <c r="AK1201" t="str" cm="1">
        <f t="array" ref="AK1201">_xlfn.IFS(
HR_Data[[#This Row],[MonthlyIncome]]&lt;3000,"&lt;3K",
HR_Data[[#This Row],[MonthlyIncome]]&lt;6000,"3K-6K",
HR_Data[[#This Row],[MonthlyIncome]]&lt;10000,"6K-10K",
TRUE,"10K+"
)</f>
        <v>3K-6K</v>
      </c>
      <c r="AL1201" t="str" cm="1">
        <f t="array" ref="AL1201">_xlfn.IFS(
HR_Data[[#This Row],[YearsAtCompany]]&lt;2,"&lt;2 Years",
HR_Data[[#This Row],[YearsAtCompany]]&lt;5,"2-4 Years",
HR_Data[[#This Row],[YearsAtCompany]]&lt;10,"5-9 Years",
TRUE,"10+ Years"
)</f>
        <v>2-4 Years</v>
      </c>
      <c r="AM1201" s="1">
        <f>IF(HR_Data[[#This Row],[Attrition]]="Yes",1,0)</f>
        <v>0</v>
      </c>
    </row>
    <row r="1202" spans="1:39" x14ac:dyDescent="0.3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 cm="1">
        <f t="array" ref="AJ1202">_xlfn.IFS(
HR_Data[[#This Row],[Age]]&lt;25,"Under 25",
HR_Data[[#This Row],[Age]]&lt;35,"25-34",
HR_Data[[#This Row],[Age]]&lt;45,"35-44",
HR_Data[[#This Row],[Age]]&lt;55,"45-54",
TRUE,"55+"
)</f>
        <v>35-44</v>
      </c>
      <c r="AK1202" t="str" cm="1">
        <f t="array" ref="AK1202">_xlfn.IFS(
HR_Data[[#This Row],[MonthlyIncome]]&lt;3000,"&lt;3K",
HR_Data[[#This Row],[MonthlyIncome]]&lt;6000,"3K-6K",
HR_Data[[#This Row],[MonthlyIncome]]&lt;10000,"6K-10K",
TRUE,"10K+"
)</f>
        <v>3K-6K</v>
      </c>
      <c r="AL1202" t="str" cm="1">
        <f t="array" ref="AL1202">_xlfn.IFS(
HR_Data[[#This Row],[YearsAtCompany]]&lt;2,"&lt;2 Years",
HR_Data[[#This Row],[YearsAtCompany]]&lt;5,"2-4 Years",
HR_Data[[#This Row],[YearsAtCompany]]&lt;10,"5-9 Years",
TRUE,"10+ Years"
)</f>
        <v>2-4 Years</v>
      </c>
      <c r="AM1202" s="1">
        <f>IF(HR_Data[[#This Row],[Attrition]]="Yes",1,0)</f>
        <v>0</v>
      </c>
    </row>
    <row r="1203" spans="1:39" x14ac:dyDescent="0.3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 cm="1">
        <f t="array" ref="AJ1203">_xlfn.IFS(
HR_Data[[#This Row],[Age]]&lt;25,"Under 25",
HR_Data[[#This Row],[Age]]&lt;35,"25-34",
HR_Data[[#This Row],[Age]]&lt;45,"35-44",
HR_Data[[#This Row],[Age]]&lt;55,"45-54",
TRUE,"55+"
)</f>
        <v>Under 25</v>
      </c>
      <c r="AK1203" t="str" cm="1">
        <f t="array" ref="AK1203">_xlfn.IFS(
HR_Data[[#This Row],[MonthlyIncome]]&lt;3000,"&lt;3K",
HR_Data[[#This Row],[MonthlyIncome]]&lt;6000,"3K-6K",
HR_Data[[#This Row],[MonthlyIncome]]&lt;10000,"6K-10K",
TRUE,"10K+"
)</f>
        <v>3K-6K</v>
      </c>
      <c r="AL1203" t="str" cm="1">
        <f t="array" ref="AL1203">_xlfn.IFS(
HR_Data[[#This Row],[YearsAtCompany]]&lt;2,"&lt;2 Years",
HR_Data[[#This Row],[YearsAtCompany]]&lt;5,"2-4 Years",
HR_Data[[#This Row],[YearsAtCompany]]&lt;10,"5-9 Years",
TRUE,"10+ Years"
)</f>
        <v>5-9 Years</v>
      </c>
      <c r="AM1203" s="1">
        <f>IF(HR_Data[[#This Row],[Attrition]]="Yes",1,0)</f>
        <v>1</v>
      </c>
    </row>
    <row r="1204" spans="1:39" x14ac:dyDescent="0.3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 cm="1">
        <f t="array" ref="AJ1204">_xlfn.IFS(
HR_Data[[#This Row],[Age]]&lt;25,"Under 25",
HR_Data[[#This Row],[Age]]&lt;35,"25-34",
HR_Data[[#This Row],[Age]]&lt;45,"35-44",
HR_Data[[#This Row],[Age]]&lt;55,"45-54",
TRUE,"55+"
)</f>
        <v>35-44</v>
      </c>
      <c r="AK1204" t="str" cm="1">
        <f t="array" ref="AK1204">_xlfn.IFS(
HR_Data[[#This Row],[MonthlyIncome]]&lt;3000,"&lt;3K",
HR_Data[[#This Row],[MonthlyIncome]]&lt;6000,"3K-6K",
HR_Data[[#This Row],[MonthlyIncome]]&lt;10000,"6K-10K",
TRUE,"10K+"
)</f>
        <v>3K-6K</v>
      </c>
      <c r="AL1204" t="str" cm="1">
        <f t="array" ref="AL1204">_xlfn.IFS(
HR_Data[[#This Row],[YearsAtCompany]]&lt;2,"&lt;2 Years",
HR_Data[[#This Row],[YearsAtCompany]]&lt;5,"2-4 Years",
HR_Data[[#This Row],[YearsAtCompany]]&lt;10,"5-9 Years",
TRUE,"10+ Years"
)</f>
        <v>&lt;2 Years</v>
      </c>
      <c r="AM1204" s="1">
        <f>IF(HR_Data[[#This Row],[Attrition]]="Yes",1,0)</f>
        <v>0</v>
      </c>
    </row>
    <row r="1205" spans="1:39" x14ac:dyDescent="0.3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 cm="1">
        <f t="array" ref="AJ1205">_xlfn.IFS(
HR_Data[[#This Row],[Age]]&lt;25,"Under 25",
HR_Data[[#This Row],[Age]]&lt;35,"25-34",
HR_Data[[#This Row],[Age]]&lt;45,"35-44",
HR_Data[[#This Row],[Age]]&lt;55,"45-54",
TRUE,"55+"
)</f>
        <v>45-54</v>
      </c>
      <c r="AK1205" t="str" cm="1">
        <f t="array" ref="AK1205">_xlfn.IFS(
HR_Data[[#This Row],[MonthlyIncome]]&lt;3000,"&lt;3K",
HR_Data[[#This Row],[MonthlyIncome]]&lt;6000,"3K-6K",
HR_Data[[#This Row],[MonthlyIncome]]&lt;10000,"6K-10K",
TRUE,"10K+"
)</f>
        <v>6K-10K</v>
      </c>
      <c r="AL1205" t="str" cm="1">
        <f t="array" ref="AL1205">_xlfn.IFS(
HR_Data[[#This Row],[YearsAtCompany]]&lt;2,"&lt;2 Years",
HR_Data[[#This Row],[YearsAtCompany]]&lt;5,"2-4 Years",
HR_Data[[#This Row],[YearsAtCompany]]&lt;10,"5-9 Years",
TRUE,"10+ Years"
)</f>
        <v>2-4 Years</v>
      </c>
      <c r="AM1205" s="1">
        <f>IF(HR_Data[[#This Row],[Attrition]]="Yes",1,0)</f>
        <v>0</v>
      </c>
    </row>
    <row r="1206" spans="1:39" x14ac:dyDescent="0.3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 cm="1">
        <f t="array" ref="AJ1206">_xlfn.IFS(
HR_Data[[#This Row],[Age]]&lt;25,"Under 25",
HR_Data[[#This Row],[Age]]&lt;35,"25-34",
HR_Data[[#This Row],[Age]]&lt;45,"35-44",
HR_Data[[#This Row],[Age]]&lt;55,"45-54",
TRUE,"55+"
)</f>
        <v>45-54</v>
      </c>
      <c r="AK1206" t="str" cm="1">
        <f t="array" ref="AK1206">_xlfn.IFS(
HR_Data[[#This Row],[MonthlyIncome]]&lt;3000,"&lt;3K",
HR_Data[[#This Row],[MonthlyIncome]]&lt;6000,"3K-6K",
HR_Data[[#This Row],[MonthlyIncome]]&lt;10000,"6K-10K",
TRUE,"10K+"
)</f>
        <v>&lt;3K</v>
      </c>
      <c r="AL1206" t="str" cm="1">
        <f t="array" ref="AL1206">_xlfn.IFS(
HR_Data[[#This Row],[YearsAtCompany]]&lt;2,"&lt;2 Years",
HR_Data[[#This Row],[YearsAtCompany]]&lt;5,"2-4 Years",
HR_Data[[#This Row],[YearsAtCompany]]&lt;10,"5-9 Years",
TRUE,"10+ Years"
)</f>
        <v>5-9 Years</v>
      </c>
      <c r="AM1206" s="1">
        <f>IF(HR_Data[[#This Row],[Attrition]]="Yes",1,0)</f>
        <v>1</v>
      </c>
    </row>
    <row r="1207" spans="1:39" x14ac:dyDescent="0.3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 cm="1">
        <f t="array" ref="AJ1207">_xlfn.IFS(
HR_Data[[#This Row],[Age]]&lt;25,"Under 25",
HR_Data[[#This Row],[Age]]&lt;35,"25-34",
HR_Data[[#This Row],[Age]]&lt;45,"35-44",
HR_Data[[#This Row],[Age]]&lt;55,"45-54",
TRUE,"55+"
)</f>
        <v>25-34</v>
      </c>
      <c r="AK1207" t="str" cm="1">
        <f t="array" ref="AK1207">_xlfn.IFS(
HR_Data[[#This Row],[MonthlyIncome]]&lt;3000,"&lt;3K",
HR_Data[[#This Row],[MonthlyIncome]]&lt;6000,"3K-6K",
HR_Data[[#This Row],[MonthlyIncome]]&lt;10000,"6K-10K",
TRUE,"10K+"
)</f>
        <v>&lt;3K</v>
      </c>
      <c r="AL1207" t="str" cm="1">
        <f t="array" ref="AL1207">_xlfn.IFS(
HR_Data[[#This Row],[YearsAtCompany]]&lt;2,"&lt;2 Years",
HR_Data[[#This Row],[YearsAtCompany]]&lt;5,"2-4 Years",
HR_Data[[#This Row],[YearsAtCompany]]&lt;10,"5-9 Years",
TRUE,"10+ Years"
)</f>
        <v>&lt;2 Years</v>
      </c>
      <c r="AM1207" s="1">
        <f>IF(HR_Data[[#This Row],[Attrition]]="Yes",1,0)</f>
        <v>1</v>
      </c>
    </row>
    <row r="1208" spans="1:39" x14ac:dyDescent="0.3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 cm="1">
        <f t="array" ref="AJ1208">_xlfn.IFS(
HR_Data[[#This Row],[Age]]&lt;25,"Under 25",
HR_Data[[#This Row],[Age]]&lt;35,"25-34",
HR_Data[[#This Row],[Age]]&lt;45,"35-44",
HR_Data[[#This Row],[Age]]&lt;55,"45-54",
TRUE,"55+"
)</f>
        <v>25-34</v>
      </c>
      <c r="AK1208" t="str" cm="1">
        <f t="array" ref="AK1208">_xlfn.IFS(
HR_Data[[#This Row],[MonthlyIncome]]&lt;3000,"&lt;3K",
HR_Data[[#This Row],[MonthlyIncome]]&lt;6000,"3K-6K",
HR_Data[[#This Row],[MonthlyIncome]]&lt;10000,"6K-10K",
TRUE,"10K+"
)</f>
        <v>&lt;3K</v>
      </c>
      <c r="AL1208" t="str" cm="1">
        <f t="array" ref="AL1208">_xlfn.IFS(
HR_Data[[#This Row],[YearsAtCompany]]&lt;2,"&lt;2 Years",
HR_Data[[#This Row],[YearsAtCompany]]&lt;5,"2-4 Years",
HR_Data[[#This Row],[YearsAtCompany]]&lt;10,"5-9 Years",
TRUE,"10+ Years"
)</f>
        <v>5-9 Years</v>
      </c>
      <c r="AM1208" s="1">
        <f>IF(HR_Data[[#This Row],[Attrition]]="Yes",1,0)</f>
        <v>0</v>
      </c>
    </row>
    <row r="1209" spans="1:39" x14ac:dyDescent="0.3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 cm="1">
        <f t="array" ref="AJ1209">_xlfn.IFS(
HR_Data[[#This Row],[Age]]&lt;25,"Under 25",
HR_Data[[#This Row],[Age]]&lt;35,"25-34",
HR_Data[[#This Row],[Age]]&lt;45,"35-44",
HR_Data[[#This Row],[Age]]&lt;55,"45-54",
TRUE,"55+"
)</f>
        <v>55+</v>
      </c>
      <c r="AK1209" t="str" cm="1">
        <f t="array" ref="AK1209">_xlfn.IFS(
HR_Data[[#This Row],[MonthlyIncome]]&lt;3000,"&lt;3K",
HR_Data[[#This Row],[MonthlyIncome]]&lt;6000,"3K-6K",
HR_Data[[#This Row],[MonthlyIncome]]&lt;10000,"6K-10K",
TRUE,"10K+"
)</f>
        <v>3K-6K</v>
      </c>
      <c r="AL1209" t="str" cm="1">
        <f t="array" ref="AL1209">_xlfn.IFS(
HR_Data[[#This Row],[YearsAtCompany]]&lt;2,"&lt;2 Years",
HR_Data[[#This Row],[YearsAtCompany]]&lt;5,"2-4 Years",
HR_Data[[#This Row],[YearsAtCompany]]&lt;10,"5-9 Years",
TRUE,"10+ Years"
)</f>
        <v>2-4 Years</v>
      </c>
      <c r="AM1209" s="1">
        <f>IF(HR_Data[[#This Row],[Attrition]]="Yes",1,0)</f>
        <v>0</v>
      </c>
    </row>
    <row r="1210" spans="1:39" x14ac:dyDescent="0.3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 cm="1">
        <f t="array" ref="AJ1210">_xlfn.IFS(
HR_Data[[#This Row],[Age]]&lt;25,"Under 25",
HR_Data[[#This Row],[Age]]&lt;35,"25-34",
HR_Data[[#This Row],[Age]]&lt;45,"35-44",
HR_Data[[#This Row],[Age]]&lt;55,"45-54",
TRUE,"55+"
)</f>
        <v>25-34</v>
      </c>
      <c r="AK1210" t="str" cm="1">
        <f t="array" ref="AK1210">_xlfn.IFS(
HR_Data[[#This Row],[MonthlyIncome]]&lt;3000,"&lt;3K",
HR_Data[[#This Row],[MonthlyIncome]]&lt;6000,"3K-6K",
HR_Data[[#This Row],[MonthlyIncome]]&lt;10000,"6K-10K",
TRUE,"10K+"
)</f>
        <v>3K-6K</v>
      </c>
      <c r="AL1210" t="str" cm="1">
        <f t="array" ref="AL1210">_xlfn.IFS(
HR_Data[[#This Row],[YearsAtCompany]]&lt;2,"&lt;2 Years",
HR_Data[[#This Row],[YearsAtCompany]]&lt;5,"2-4 Years",
HR_Data[[#This Row],[YearsAtCompany]]&lt;10,"5-9 Years",
TRUE,"10+ Years"
)</f>
        <v>10+ Years</v>
      </c>
      <c r="AM1210" s="1">
        <f>IF(HR_Data[[#This Row],[Attrition]]="Yes",1,0)</f>
        <v>0</v>
      </c>
    </row>
    <row r="1211" spans="1:39" x14ac:dyDescent="0.3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 cm="1">
        <f t="array" ref="AJ1211">_xlfn.IFS(
HR_Data[[#This Row],[Age]]&lt;25,"Under 25",
HR_Data[[#This Row],[Age]]&lt;35,"25-34",
HR_Data[[#This Row],[Age]]&lt;45,"35-44",
HR_Data[[#This Row],[Age]]&lt;55,"45-54",
TRUE,"55+"
)</f>
        <v>55+</v>
      </c>
      <c r="AK1211" t="str" cm="1">
        <f t="array" ref="AK1211">_xlfn.IFS(
HR_Data[[#This Row],[MonthlyIncome]]&lt;3000,"&lt;3K",
HR_Data[[#This Row],[MonthlyIncome]]&lt;6000,"3K-6K",
HR_Data[[#This Row],[MonthlyIncome]]&lt;10000,"6K-10K",
TRUE,"10K+"
)</f>
        <v>10K+</v>
      </c>
      <c r="AL1211" t="str" cm="1">
        <f t="array" ref="AL1211">_xlfn.IFS(
HR_Data[[#This Row],[YearsAtCompany]]&lt;2,"&lt;2 Years",
HR_Data[[#This Row],[YearsAtCompany]]&lt;5,"2-4 Years",
HR_Data[[#This Row],[YearsAtCompany]]&lt;10,"5-9 Years",
TRUE,"10+ Years"
)</f>
        <v>&lt;2 Years</v>
      </c>
      <c r="AM1211" s="1">
        <f>IF(HR_Data[[#This Row],[Attrition]]="Yes",1,0)</f>
        <v>0</v>
      </c>
    </row>
    <row r="1212" spans="1:39" x14ac:dyDescent="0.3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 cm="1">
        <f t="array" ref="AJ1212">_xlfn.IFS(
HR_Data[[#This Row],[Age]]&lt;25,"Under 25",
HR_Data[[#This Row],[Age]]&lt;35,"25-34",
HR_Data[[#This Row],[Age]]&lt;45,"35-44",
HR_Data[[#This Row],[Age]]&lt;55,"45-54",
TRUE,"55+"
)</f>
        <v>25-34</v>
      </c>
      <c r="AK1212" t="str" cm="1">
        <f t="array" ref="AK1212">_xlfn.IFS(
HR_Data[[#This Row],[MonthlyIncome]]&lt;3000,"&lt;3K",
HR_Data[[#This Row],[MonthlyIncome]]&lt;6000,"3K-6K",
HR_Data[[#This Row],[MonthlyIncome]]&lt;10000,"6K-10K",
TRUE,"10K+"
)</f>
        <v>&lt;3K</v>
      </c>
      <c r="AL1212" t="str" cm="1">
        <f t="array" ref="AL1212">_xlfn.IFS(
HR_Data[[#This Row],[YearsAtCompany]]&lt;2,"&lt;2 Years",
HR_Data[[#This Row],[YearsAtCompany]]&lt;5,"2-4 Years",
HR_Data[[#This Row],[YearsAtCompany]]&lt;10,"5-9 Years",
TRUE,"10+ Years"
)</f>
        <v>10+ Years</v>
      </c>
      <c r="AM1212" s="1">
        <f>IF(HR_Data[[#This Row],[Attrition]]="Yes",1,0)</f>
        <v>0</v>
      </c>
    </row>
    <row r="1213" spans="1:39" x14ac:dyDescent="0.3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 cm="1">
        <f t="array" ref="AJ1213">_xlfn.IFS(
HR_Data[[#This Row],[Age]]&lt;25,"Under 25",
HR_Data[[#This Row],[Age]]&lt;35,"25-34",
HR_Data[[#This Row],[Age]]&lt;45,"35-44",
HR_Data[[#This Row],[Age]]&lt;55,"45-54",
TRUE,"55+"
)</f>
        <v>35-44</v>
      </c>
      <c r="AK1213" t="str" cm="1">
        <f t="array" ref="AK1213">_xlfn.IFS(
HR_Data[[#This Row],[MonthlyIncome]]&lt;3000,"&lt;3K",
HR_Data[[#This Row],[MonthlyIncome]]&lt;6000,"3K-6K",
HR_Data[[#This Row],[MonthlyIncome]]&lt;10000,"6K-10K",
TRUE,"10K+"
)</f>
        <v>6K-10K</v>
      </c>
      <c r="AL1213" t="str" cm="1">
        <f t="array" ref="AL1213">_xlfn.IFS(
HR_Data[[#This Row],[YearsAtCompany]]&lt;2,"&lt;2 Years",
HR_Data[[#This Row],[YearsAtCompany]]&lt;5,"2-4 Years",
HR_Data[[#This Row],[YearsAtCompany]]&lt;10,"5-9 Years",
TRUE,"10+ Years"
)</f>
        <v>5-9 Years</v>
      </c>
      <c r="AM1213" s="1">
        <f>IF(HR_Data[[#This Row],[Attrition]]="Yes",1,0)</f>
        <v>0</v>
      </c>
    </row>
    <row r="1214" spans="1:39" x14ac:dyDescent="0.3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 cm="1">
        <f t="array" ref="AJ1214">_xlfn.IFS(
HR_Data[[#This Row],[Age]]&lt;25,"Under 25",
HR_Data[[#This Row],[Age]]&lt;35,"25-34",
HR_Data[[#This Row],[Age]]&lt;45,"35-44",
HR_Data[[#This Row],[Age]]&lt;55,"45-54",
TRUE,"55+"
)</f>
        <v>25-34</v>
      </c>
      <c r="AK1214" t="str" cm="1">
        <f t="array" ref="AK1214">_xlfn.IFS(
HR_Data[[#This Row],[MonthlyIncome]]&lt;3000,"&lt;3K",
HR_Data[[#This Row],[MonthlyIncome]]&lt;6000,"3K-6K",
HR_Data[[#This Row],[MonthlyIncome]]&lt;10000,"6K-10K",
TRUE,"10K+"
)</f>
        <v>&lt;3K</v>
      </c>
      <c r="AL1214" t="str" cm="1">
        <f t="array" ref="AL1214">_xlfn.IFS(
HR_Data[[#This Row],[YearsAtCompany]]&lt;2,"&lt;2 Years",
HR_Data[[#This Row],[YearsAtCompany]]&lt;5,"2-4 Years",
HR_Data[[#This Row],[YearsAtCompany]]&lt;10,"5-9 Years",
TRUE,"10+ Years"
)</f>
        <v>10+ Years</v>
      </c>
      <c r="AM1214" s="1">
        <f>IF(HR_Data[[#This Row],[Attrition]]="Yes",1,0)</f>
        <v>0</v>
      </c>
    </row>
    <row r="1215" spans="1:39" x14ac:dyDescent="0.3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 cm="1">
        <f t="array" ref="AJ1215">_xlfn.IFS(
HR_Data[[#This Row],[Age]]&lt;25,"Under 25",
HR_Data[[#This Row],[Age]]&lt;35,"25-34",
HR_Data[[#This Row],[Age]]&lt;45,"35-44",
HR_Data[[#This Row],[Age]]&lt;55,"45-54",
TRUE,"55+"
)</f>
        <v>Under 25</v>
      </c>
      <c r="AK1215" t="str" cm="1">
        <f t="array" ref="AK1215">_xlfn.IFS(
HR_Data[[#This Row],[MonthlyIncome]]&lt;3000,"&lt;3K",
HR_Data[[#This Row],[MonthlyIncome]]&lt;6000,"3K-6K",
HR_Data[[#This Row],[MonthlyIncome]]&lt;10000,"6K-10K",
TRUE,"10K+"
)</f>
        <v>&lt;3K</v>
      </c>
      <c r="AL1215" t="str" cm="1">
        <f t="array" ref="AL1215">_xlfn.IFS(
HR_Data[[#This Row],[YearsAtCompany]]&lt;2,"&lt;2 Years",
HR_Data[[#This Row],[YearsAtCompany]]&lt;5,"2-4 Years",
HR_Data[[#This Row],[YearsAtCompany]]&lt;10,"5-9 Years",
TRUE,"10+ Years"
)</f>
        <v>2-4 Years</v>
      </c>
      <c r="AM1215" s="1">
        <f>IF(HR_Data[[#This Row],[Attrition]]="Yes",1,0)</f>
        <v>1</v>
      </c>
    </row>
    <row r="1216" spans="1:39" x14ac:dyDescent="0.3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 cm="1">
        <f t="array" ref="AJ1216">_xlfn.IFS(
HR_Data[[#This Row],[Age]]&lt;25,"Under 25",
HR_Data[[#This Row],[Age]]&lt;35,"25-34",
HR_Data[[#This Row],[Age]]&lt;45,"35-44",
HR_Data[[#This Row],[Age]]&lt;55,"45-54",
TRUE,"55+"
)</f>
        <v>35-44</v>
      </c>
      <c r="AK1216" t="str" cm="1">
        <f t="array" ref="AK1216">_xlfn.IFS(
HR_Data[[#This Row],[MonthlyIncome]]&lt;3000,"&lt;3K",
HR_Data[[#This Row],[MonthlyIncome]]&lt;6000,"3K-6K",
HR_Data[[#This Row],[MonthlyIncome]]&lt;10000,"6K-10K",
TRUE,"10K+"
)</f>
        <v>6K-10K</v>
      </c>
      <c r="AL1216" t="str" cm="1">
        <f t="array" ref="AL1216">_xlfn.IFS(
HR_Data[[#This Row],[YearsAtCompany]]&lt;2,"&lt;2 Years",
HR_Data[[#This Row],[YearsAtCompany]]&lt;5,"2-4 Years",
HR_Data[[#This Row],[YearsAtCompany]]&lt;10,"5-9 Years",
TRUE,"10+ Years"
)</f>
        <v>5-9 Years</v>
      </c>
      <c r="AM1216" s="1">
        <f>IF(HR_Data[[#This Row],[Attrition]]="Yes",1,0)</f>
        <v>0</v>
      </c>
    </row>
    <row r="1217" spans="1:39" x14ac:dyDescent="0.3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 cm="1">
        <f t="array" ref="AJ1217">_xlfn.IFS(
HR_Data[[#This Row],[Age]]&lt;25,"Under 25",
HR_Data[[#This Row],[Age]]&lt;35,"25-34",
HR_Data[[#This Row],[Age]]&lt;45,"35-44",
HR_Data[[#This Row],[Age]]&lt;55,"45-54",
TRUE,"55+"
)</f>
        <v>35-44</v>
      </c>
      <c r="AK1217" t="str" cm="1">
        <f t="array" ref="AK1217">_xlfn.IFS(
HR_Data[[#This Row],[MonthlyIncome]]&lt;3000,"&lt;3K",
HR_Data[[#This Row],[MonthlyIncome]]&lt;6000,"3K-6K",
HR_Data[[#This Row],[MonthlyIncome]]&lt;10000,"6K-10K",
TRUE,"10K+"
)</f>
        <v>3K-6K</v>
      </c>
      <c r="AL1217" t="str" cm="1">
        <f t="array" ref="AL1217">_xlfn.IFS(
HR_Data[[#This Row],[YearsAtCompany]]&lt;2,"&lt;2 Years",
HR_Data[[#This Row],[YearsAtCompany]]&lt;5,"2-4 Years",
HR_Data[[#This Row],[YearsAtCompany]]&lt;10,"5-9 Years",
TRUE,"10+ Years"
)</f>
        <v>5-9 Years</v>
      </c>
      <c r="AM1217" s="1">
        <f>IF(HR_Data[[#This Row],[Attrition]]="Yes",1,0)</f>
        <v>0</v>
      </c>
    </row>
    <row r="1218" spans="1:39" x14ac:dyDescent="0.3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 cm="1">
        <f t="array" ref="AJ1218">_xlfn.IFS(
HR_Data[[#This Row],[Age]]&lt;25,"Under 25",
HR_Data[[#This Row],[Age]]&lt;35,"25-34",
HR_Data[[#This Row],[Age]]&lt;45,"35-44",
HR_Data[[#This Row],[Age]]&lt;55,"45-54",
TRUE,"55+"
)</f>
        <v>35-44</v>
      </c>
      <c r="AK1218" t="str" cm="1">
        <f t="array" ref="AK1218">_xlfn.IFS(
HR_Data[[#This Row],[MonthlyIncome]]&lt;3000,"&lt;3K",
HR_Data[[#This Row],[MonthlyIncome]]&lt;6000,"3K-6K",
HR_Data[[#This Row],[MonthlyIncome]]&lt;10000,"6K-10K",
TRUE,"10K+"
)</f>
        <v>6K-10K</v>
      </c>
      <c r="AL1218" t="str" cm="1">
        <f t="array" ref="AL1218">_xlfn.IFS(
HR_Data[[#This Row],[YearsAtCompany]]&lt;2,"&lt;2 Years",
HR_Data[[#This Row],[YearsAtCompany]]&lt;5,"2-4 Years",
HR_Data[[#This Row],[YearsAtCompany]]&lt;10,"5-9 Years",
TRUE,"10+ Years"
)</f>
        <v>10+ Years</v>
      </c>
      <c r="AM1218" s="1">
        <f>IF(HR_Data[[#This Row],[Attrition]]="Yes",1,0)</f>
        <v>0</v>
      </c>
    </row>
    <row r="1219" spans="1:39" x14ac:dyDescent="0.3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 cm="1">
        <f t="array" ref="AJ1219">_xlfn.IFS(
HR_Data[[#This Row],[Age]]&lt;25,"Under 25",
HR_Data[[#This Row],[Age]]&lt;35,"25-34",
HR_Data[[#This Row],[Age]]&lt;45,"35-44",
HR_Data[[#This Row],[Age]]&lt;55,"45-54",
TRUE,"55+"
)</f>
        <v>Under 25</v>
      </c>
      <c r="AK1219" t="str" cm="1">
        <f t="array" ref="AK1219">_xlfn.IFS(
HR_Data[[#This Row],[MonthlyIncome]]&lt;3000,"&lt;3K",
HR_Data[[#This Row],[MonthlyIncome]]&lt;6000,"3K-6K",
HR_Data[[#This Row],[MonthlyIncome]]&lt;10000,"6K-10K",
TRUE,"10K+"
)</f>
        <v>3K-6K</v>
      </c>
      <c r="AL1219" t="str" cm="1">
        <f t="array" ref="AL1219">_xlfn.IFS(
HR_Data[[#This Row],[YearsAtCompany]]&lt;2,"&lt;2 Years",
HR_Data[[#This Row],[YearsAtCompany]]&lt;5,"2-4 Years",
HR_Data[[#This Row],[YearsAtCompany]]&lt;10,"5-9 Years",
TRUE,"10+ Years"
)</f>
        <v>5-9 Years</v>
      </c>
      <c r="AM1219" s="1">
        <f>IF(HR_Data[[#This Row],[Attrition]]="Yes",1,0)</f>
        <v>0</v>
      </c>
    </row>
    <row r="1220" spans="1:39" x14ac:dyDescent="0.3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 cm="1">
        <f t="array" ref="AJ1220">_xlfn.IFS(
HR_Data[[#This Row],[Age]]&lt;25,"Under 25",
HR_Data[[#This Row],[Age]]&lt;35,"25-34",
HR_Data[[#This Row],[Age]]&lt;45,"35-44",
HR_Data[[#This Row],[Age]]&lt;55,"45-54",
TRUE,"55+"
)</f>
        <v>35-44</v>
      </c>
      <c r="AK1220" t="str" cm="1">
        <f t="array" ref="AK1220">_xlfn.IFS(
HR_Data[[#This Row],[MonthlyIncome]]&lt;3000,"&lt;3K",
HR_Data[[#This Row],[MonthlyIncome]]&lt;6000,"3K-6K",
HR_Data[[#This Row],[MonthlyIncome]]&lt;10000,"6K-10K",
TRUE,"10K+"
)</f>
        <v>6K-10K</v>
      </c>
      <c r="AL1220" t="str" cm="1">
        <f t="array" ref="AL1220">_xlfn.IFS(
HR_Data[[#This Row],[YearsAtCompany]]&lt;2,"&lt;2 Years",
HR_Data[[#This Row],[YearsAtCompany]]&lt;5,"2-4 Years",
HR_Data[[#This Row],[YearsAtCompany]]&lt;10,"5-9 Years",
TRUE,"10+ Years"
)</f>
        <v>10+ Years</v>
      </c>
      <c r="AM1220" s="1">
        <f>IF(HR_Data[[#This Row],[Attrition]]="Yes",1,0)</f>
        <v>0</v>
      </c>
    </row>
    <row r="1221" spans="1:39" x14ac:dyDescent="0.3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 cm="1">
        <f t="array" ref="AJ1221">_xlfn.IFS(
HR_Data[[#This Row],[Age]]&lt;25,"Under 25",
HR_Data[[#This Row],[Age]]&lt;35,"25-34",
HR_Data[[#This Row],[Age]]&lt;45,"35-44",
HR_Data[[#This Row],[Age]]&lt;55,"45-54",
TRUE,"55+"
)</f>
        <v>25-34</v>
      </c>
      <c r="AK1221" t="str" cm="1">
        <f t="array" ref="AK1221">_xlfn.IFS(
HR_Data[[#This Row],[MonthlyIncome]]&lt;3000,"&lt;3K",
HR_Data[[#This Row],[MonthlyIncome]]&lt;6000,"3K-6K",
HR_Data[[#This Row],[MonthlyIncome]]&lt;10000,"6K-10K",
TRUE,"10K+"
)</f>
        <v>&lt;3K</v>
      </c>
      <c r="AL1221" t="str" cm="1">
        <f t="array" ref="AL1221">_xlfn.IFS(
HR_Data[[#This Row],[YearsAtCompany]]&lt;2,"&lt;2 Years",
HR_Data[[#This Row],[YearsAtCompany]]&lt;5,"2-4 Years",
HR_Data[[#This Row],[YearsAtCompany]]&lt;10,"5-9 Years",
TRUE,"10+ Years"
)</f>
        <v>5-9 Years</v>
      </c>
      <c r="AM1221" s="1">
        <f>IF(HR_Data[[#This Row],[Attrition]]="Yes",1,0)</f>
        <v>0</v>
      </c>
    </row>
    <row r="1222" spans="1:39" x14ac:dyDescent="0.3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 cm="1">
        <f t="array" ref="AJ1222">_xlfn.IFS(
HR_Data[[#This Row],[Age]]&lt;25,"Under 25",
HR_Data[[#This Row],[Age]]&lt;35,"25-34",
HR_Data[[#This Row],[Age]]&lt;45,"35-44",
HR_Data[[#This Row],[Age]]&lt;55,"45-54",
TRUE,"55+"
)</f>
        <v>35-44</v>
      </c>
      <c r="AK1222" t="str" cm="1">
        <f t="array" ref="AK1222">_xlfn.IFS(
HR_Data[[#This Row],[MonthlyIncome]]&lt;3000,"&lt;3K",
HR_Data[[#This Row],[MonthlyIncome]]&lt;6000,"3K-6K",
HR_Data[[#This Row],[MonthlyIncome]]&lt;10000,"6K-10K",
TRUE,"10K+"
)</f>
        <v>3K-6K</v>
      </c>
      <c r="AL1222" t="str" cm="1">
        <f t="array" ref="AL1222">_xlfn.IFS(
HR_Data[[#This Row],[YearsAtCompany]]&lt;2,"&lt;2 Years",
HR_Data[[#This Row],[YearsAtCompany]]&lt;5,"2-4 Years",
HR_Data[[#This Row],[YearsAtCompany]]&lt;10,"5-9 Years",
TRUE,"10+ Years"
)</f>
        <v>10+ Years</v>
      </c>
      <c r="AM1222" s="1">
        <f>IF(HR_Data[[#This Row],[Attrition]]="Yes",1,0)</f>
        <v>0</v>
      </c>
    </row>
    <row r="1223" spans="1:39" x14ac:dyDescent="0.3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 cm="1">
        <f t="array" ref="AJ1223">_xlfn.IFS(
HR_Data[[#This Row],[Age]]&lt;25,"Under 25",
HR_Data[[#This Row],[Age]]&lt;35,"25-34",
HR_Data[[#This Row],[Age]]&lt;45,"35-44",
HR_Data[[#This Row],[Age]]&lt;55,"45-54",
TRUE,"55+"
)</f>
        <v>45-54</v>
      </c>
      <c r="AK1223" t="str" cm="1">
        <f t="array" ref="AK1223">_xlfn.IFS(
HR_Data[[#This Row],[MonthlyIncome]]&lt;3000,"&lt;3K",
HR_Data[[#This Row],[MonthlyIncome]]&lt;6000,"3K-6K",
HR_Data[[#This Row],[MonthlyIncome]]&lt;10000,"6K-10K",
TRUE,"10K+"
)</f>
        <v>10K+</v>
      </c>
      <c r="AL1223" t="str" cm="1">
        <f t="array" ref="AL1223">_xlfn.IFS(
HR_Data[[#This Row],[YearsAtCompany]]&lt;2,"&lt;2 Years",
HR_Data[[#This Row],[YearsAtCompany]]&lt;5,"2-4 Years",
HR_Data[[#This Row],[YearsAtCompany]]&lt;10,"5-9 Years",
TRUE,"10+ Years"
)</f>
        <v>10+ Years</v>
      </c>
      <c r="AM1223" s="1">
        <f>IF(HR_Data[[#This Row],[Attrition]]="Yes",1,0)</f>
        <v>0</v>
      </c>
    </row>
    <row r="1224" spans="1:39" x14ac:dyDescent="0.3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 cm="1">
        <f t="array" ref="AJ1224">_xlfn.IFS(
HR_Data[[#This Row],[Age]]&lt;25,"Under 25",
HR_Data[[#This Row],[Age]]&lt;35,"25-34",
HR_Data[[#This Row],[Age]]&lt;45,"35-44",
HR_Data[[#This Row],[Age]]&lt;55,"45-54",
TRUE,"55+"
)</f>
        <v>Under 25</v>
      </c>
      <c r="AK1224" t="str" cm="1">
        <f t="array" ref="AK1224">_xlfn.IFS(
HR_Data[[#This Row],[MonthlyIncome]]&lt;3000,"&lt;3K",
HR_Data[[#This Row],[MonthlyIncome]]&lt;6000,"3K-6K",
HR_Data[[#This Row],[MonthlyIncome]]&lt;10000,"6K-10K",
TRUE,"10K+"
)</f>
        <v>&lt;3K</v>
      </c>
      <c r="AL1224" t="str" cm="1">
        <f t="array" ref="AL1224">_xlfn.IFS(
HR_Data[[#This Row],[YearsAtCompany]]&lt;2,"&lt;2 Years",
HR_Data[[#This Row],[YearsAtCompany]]&lt;5,"2-4 Years",
HR_Data[[#This Row],[YearsAtCompany]]&lt;10,"5-9 Years",
TRUE,"10+ Years"
)</f>
        <v>&lt;2 Years</v>
      </c>
      <c r="AM1224" s="1">
        <f>IF(HR_Data[[#This Row],[Attrition]]="Yes",1,0)</f>
        <v>1</v>
      </c>
    </row>
    <row r="1225" spans="1:39" x14ac:dyDescent="0.3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 cm="1">
        <f t="array" ref="AJ1225">_xlfn.IFS(
HR_Data[[#This Row],[Age]]&lt;25,"Under 25",
HR_Data[[#This Row],[Age]]&lt;35,"25-34",
HR_Data[[#This Row],[Age]]&lt;45,"35-44",
HR_Data[[#This Row],[Age]]&lt;55,"45-54",
TRUE,"55+"
)</f>
        <v>45-54</v>
      </c>
      <c r="AK1225" t="str" cm="1">
        <f t="array" ref="AK1225">_xlfn.IFS(
HR_Data[[#This Row],[MonthlyIncome]]&lt;3000,"&lt;3K",
HR_Data[[#This Row],[MonthlyIncome]]&lt;6000,"3K-6K",
HR_Data[[#This Row],[MonthlyIncome]]&lt;10000,"6K-10K",
TRUE,"10K+"
)</f>
        <v>10K+</v>
      </c>
      <c r="AL1225" t="str" cm="1">
        <f t="array" ref="AL1225">_xlfn.IFS(
HR_Data[[#This Row],[YearsAtCompany]]&lt;2,"&lt;2 Years",
HR_Data[[#This Row],[YearsAtCompany]]&lt;5,"2-4 Years",
HR_Data[[#This Row],[YearsAtCompany]]&lt;10,"5-9 Years",
TRUE,"10+ Years"
)</f>
        <v>10+ Years</v>
      </c>
      <c r="AM1225" s="1">
        <f>IF(HR_Data[[#This Row],[Attrition]]="Yes",1,0)</f>
        <v>1</v>
      </c>
    </row>
    <row r="1226" spans="1:39" x14ac:dyDescent="0.3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 cm="1">
        <f t="array" ref="AJ1226">_xlfn.IFS(
HR_Data[[#This Row],[Age]]&lt;25,"Under 25",
HR_Data[[#This Row],[Age]]&lt;35,"25-34",
HR_Data[[#This Row],[Age]]&lt;45,"35-44",
HR_Data[[#This Row],[Age]]&lt;55,"45-54",
TRUE,"55+"
)</f>
        <v>25-34</v>
      </c>
      <c r="AK1226" t="str" cm="1">
        <f t="array" ref="AK1226">_xlfn.IFS(
HR_Data[[#This Row],[MonthlyIncome]]&lt;3000,"&lt;3K",
HR_Data[[#This Row],[MonthlyIncome]]&lt;6000,"3K-6K",
HR_Data[[#This Row],[MonthlyIncome]]&lt;10000,"6K-10K",
TRUE,"10K+"
)</f>
        <v>&lt;3K</v>
      </c>
      <c r="AL1226" t="str" cm="1">
        <f t="array" ref="AL1226">_xlfn.IFS(
HR_Data[[#This Row],[YearsAtCompany]]&lt;2,"&lt;2 Years",
HR_Data[[#This Row],[YearsAtCompany]]&lt;5,"2-4 Years",
HR_Data[[#This Row],[YearsAtCompany]]&lt;10,"5-9 Years",
TRUE,"10+ Years"
)</f>
        <v>2-4 Years</v>
      </c>
      <c r="AM1226" s="1">
        <f>IF(HR_Data[[#This Row],[Attrition]]="Yes",1,0)</f>
        <v>0</v>
      </c>
    </row>
    <row r="1227" spans="1:39" x14ac:dyDescent="0.3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 cm="1">
        <f t="array" ref="AJ1227">_xlfn.IFS(
HR_Data[[#This Row],[Age]]&lt;25,"Under 25",
HR_Data[[#This Row],[Age]]&lt;35,"25-34",
HR_Data[[#This Row],[Age]]&lt;45,"35-44",
HR_Data[[#This Row],[Age]]&lt;55,"45-54",
TRUE,"55+"
)</f>
        <v>45-54</v>
      </c>
      <c r="AK1227" t="str" cm="1">
        <f t="array" ref="AK1227">_xlfn.IFS(
HR_Data[[#This Row],[MonthlyIncome]]&lt;3000,"&lt;3K",
HR_Data[[#This Row],[MonthlyIncome]]&lt;6000,"3K-6K",
HR_Data[[#This Row],[MonthlyIncome]]&lt;10000,"6K-10K",
TRUE,"10K+"
)</f>
        <v>10K+</v>
      </c>
      <c r="AL1227" t="str" cm="1">
        <f t="array" ref="AL1227">_xlfn.IFS(
HR_Data[[#This Row],[YearsAtCompany]]&lt;2,"&lt;2 Years",
HR_Data[[#This Row],[YearsAtCompany]]&lt;5,"2-4 Years",
HR_Data[[#This Row],[YearsAtCompany]]&lt;10,"5-9 Years",
TRUE,"10+ Years"
)</f>
        <v>10+ Years</v>
      </c>
      <c r="AM1227" s="1">
        <f>IF(HR_Data[[#This Row],[Attrition]]="Yes",1,0)</f>
        <v>0</v>
      </c>
    </row>
    <row r="1228" spans="1:39" x14ac:dyDescent="0.3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 cm="1">
        <f t="array" ref="AJ1228">_xlfn.IFS(
HR_Data[[#This Row],[Age]]&lt;25,"Under 25",
HR_Data[[#This Row],[Age]]&lt;35,"25-34",
HR_Data[[#This Row],[Age]]&lt;45,"35-44",
HR_Data[[#This Row],[Age]]&lt;55,"45-54",
TRUE,"55+"
)</f>
        <v>25-34</v>
      </c>
      <c r="AK1228" t="str" cm="1">
        <f t="array" ref="AK1228">_xlfn.IFS(
HR_Data[[#This Row],[MonthlyIncome]]&lt;3000,"&lt;3K",
HR_Data[[#This Row],[MonthlyIncome]]&lt;6000,"3K-6K",
HR_Data[[#This Row],[MonthlyIncome]]&lt;10000,"6K-10K",
TRUE,"10K+"
)</f>
        <v>3K-6K</v>
      </c>
      <c r="AL1228" t="str" cm="1">
        <f t="array" ref="AL1228">_xlfn.IFS(
HR_Data[[#This Row],[YearsAtCompany]]&lt;2,"&lt;2 Years",
HR_Data[[#This Row],[YearsAtCompany]]&lt;5,"2-4 Years",
HR_Data[[#This Row],[YearsAtCompany]]&lt;10,"5-9 Years",
TRUE,"10+ Years"
)</f>
        <v>5-9 Years</v>
      </c>
      <c r="AM1228" s="1">
        <f>IF(HR_Data[[#This Row],[Attrition]]="Yes",1,0)</f>
        <v>0</v>
      </c>
    </row>
    <row r="1229" spans="1:39" x14ac:dyDescent="0.3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 cm="1">
        <f t="array" ref="AJ1229">_xlfn.IFS(
HR_Data[[#This Row],[Age]]&lt;25,"Under 25",
HR_Data[[#This Row],[Age]]&lt;35,"25-34",
HR_Data[[#This Row],[Age]]&lt;45,"35-44",
HR_Data[[#This Row],[Age]]&lt;55,"45-54",
TRUE,"55+"
)</f>
        <v>25-34</v>
      </c>
      <c r="AK1229" t="str" cm="1">
        <f t="array" ref="AK1229">_xlfn.IFS(
HR_Data[[#This Row],[MonthlyIncome]]&lt;3000,"&lt;3K",
HR_Data[[#This Row],[MonthlyIncome]]&lt;6000,"3K-6K",
HR_Data[[#This Row],[MonthlyIncome]]&lt;10000,"6K-10K",
TRUE,"10K+"
)</f>
        <v>3K-6K</v>
      </c>
      <c r="AL1229" t="str" cm="1">
        <f t="array" ref="AL1229">_xlfn.IFS(
HR_Data[[#This Row],[YearsAtCompany]]&lt;2,"&lt;2 Years",
HR_Data[[#This Row],[YearsAtCompany]]&lt;5,"2-4 Years",
HR_Data[[#This Row],[YearsAtCompany]]&lt;10,"5-9 Years",
TRUE,"10+ Years"
)</f>
        <v>5-9 Years</v>
      </c>
      <c r="AM1229" s="1">
        <f>IF(HR_Data[[#This Row],[Attrition]]="Yes",1,0)</f>
        <v>0</v>
      </c>
    </row>
    <row r="1230" spans="1:39" x14ac:dyDescent="0.3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 cm="1">
        <f t="array" ref="AJ1230">_xlfn.IFS(
HR_Data[[#This Row],[Age]]&lt;25,"Under 25",
HR_Data[[#This Row],[Age]]&lt;35,"25-34",
HR_Data[[#This Row],[Age]]&lt;45,"35-44",
HR_Data[[#This Row],[Age]]&lt;55,"45-54",
TRUE,"55+"
)</f>
        <v>35-44</v>
      </c>
      <c r="AK1230" t="str" cm="1">
        <f t="array" ref="AK1230">_xlfn.IFS(
HR_Data[[#This Row],[MonthlyIncome]]&lt;3000,"&lt;3K",
HR_Data[[#This Row],[MonthlyIncome]]&lt;6000,"3K-6K",
HR_Data[[#This Row],[MonthlyIncome]]&lt;10000,"6K-10K",
TRUE,"10K+"
)</f>
        <v>6K-10K</v>
      </c>
      <c r="AL1230" t="str" cm="1">
        <f t="array" ref="AL1230">_xlfn.IFS(
HR_Data[[#This Row],[YearsAtCompany]]&lt;2,"&lt;2 Years",
HR_Data[[#This Row],[YearsAtCompany]]&lt;5,"2-4 Years",
HR_Data[[#This Row],[YearsAtCompany]]&lt;10,"5-9 Years",
TRUE,"10+ Years"
)</f>
        <v>2-4 Years</v>
      </c>
      <c r="AM1230" s="1">
        <f>IF(HR_Data[[#This Row],[Attrition]]="Yes",1,0)</f>
        <v>0</v>
      </c>
    </row>
    <row r="1231" spans="1:39" x14ac:dyDescent="0.3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 cm="1">
        <f t="array" ref="AJ1231">_xlfn.IFS(
HR_Data[[#This Row],[Age]]&lt;25,"Under 25",
HR_Data[[#This Row],[Age]]&lt;35,"25-34",
HR_Data[[#This Row],[Age]]&lt;45,"35-44",
HR_Data[[#This Row],[Age]]&lt;55,"45-54",
TRUE,"55+"
)</f>
        <v>35-44</v>
      </c>
      <c r="AK1231" t="str" cm="1">
        <f t="array" ref="AK1231">_xlfn.IFS(
HR_Data[[#This Row],[MonthlyIncome]]&lt;3000,"&lt;3K",
HR_Data[[#This Row],[MonthlyIncome]]&lt;6000,"3K-6K",
HR_Data[[#This Row],[MonthlyIncome]]&lt;10000,"6K-10K",
TRUE,"10K+"
)</f>
        <v>6K-10K</v>
      </c>
      <c r="AL1231" t="str" cm="1">
        <f t="array" ref="AL1231">_xlfn.IFS(
HR_Data[[#This Row],[YearsAtCompany]]&lt;2,"&lt;2 Years",
HR_Data[[#This Row],[YearsAtCompany]]&lt;5,"2-4 Years",
HR_Data[[#This Row],[YearsAtCompany]]&lt;10,"5-9 Years",
TRUE,"10+ Years"
)</f>
        <v>&lt;2 Years</v>
      </c>
      <c r="AM1231" s="1">
        <f>IF(HR_Data[[#This Row],[Attrition]]="Yes",1,0)</f>
        <v>0</v>
      </c>
    </row>
    <row r="1232" spans="1:39" x14ac:dyDescent="0.3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 cm="1">
        <f t="array" ref="AJ1232">_xlfn.IFS(
HR_Data[[#This Row],[Age]]&lt;25,"Under 25",
HR_Data[[#This Row],[Age]]&lt;35,"25-34",
HR_Data[[#This Row],[Age]]&lt;45,"35-44",
HR_Data[[#This Row],[Age]]&lt;55,"45-54",
TRUE,"55+"
)</f>
        <v>Under 25</v>
      </c>
      <c r="AK1232" t="str" cm="1">
        <f t="array" ref="AK1232">_xlfn.IFS(
HR_Data[[#This Row],[MonthlyIncome]]&lt;3000,"&lt;3K",
HR_Data[[#This Row],[MonthlyIncome]]&lt;6000,"3K-6K",
HR_Data[[#This Row],[MonthlyIncome]]&lt;10000,"6K-10K",
TRUE,"10K+"
)</f>
        <v>3K-6K</v>
      </c>
      <c r="AL1232" t="str" cm="1">
        <f t="array" ref="AL1232">_xlfn.IFS(
HR_Data[[#This Row],[YearsAtCompany]]&lt;2,"&lt;2 Years",
HR_Data[[#This Row],[YearsAtCompany]]&lt;5,"2-4 Years",
HR_Data[[#This Row],[YearsAtCompany]]&lt;10,"5-9 Years",
TRUE,"10+ Years"
)</f>
        <v>5-9 Years</v>
      </c>
      <c r="AM1232" s="1">
        <f>IF(HR_Data[[#This Row],[Attrition]]="Yes",1,0)</f>
        <v>0</v>
      </c>
    </row>
    <row r="1233" spans="1:39" x14ac:dyDescent="0.3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 cm="1">
        <f t="array" ref="AJ1233">_xlfn.IFS(
HR_Data[[#This Row],[Age]]&lt;25,"Under 25",
HR_Data[[#This Row],[Age]]&lt;35,"25-34",
HR_Data[[#This Row],[Age]]&lt;45,"35-44",
HR_Data[[#This Row],[Age]]&lt;55,"45-54",
TRUE,"55+"
)</f>
        <v>45-54</v>
      </c>
      <c r="AK1233" t="str" cm="1">
        <f t="array" ref="AK1233">_xlfn.IFS(
HR_Data[[#This Row],[MonthlyIncome]]&lt;3000,"&lt;3K",
HR_Data[[#This Row],[MonthlyIncome]]&lt;6000,"3K-6K",
HR_Data[[#This Row],[MonthlyIncome]]&lt;10000,"6K-10K",
TRUE,"10K+"
)</f>
        <v>3K-6K</v>
      </c>
      <c r="AL1233" t="str" cm="1">
        <f t="array" ref="AL1233">_xlfn.IFS(
HR_Data[[#This Row],[YearsAtCompany]]&lt;2,"&lt;2 Years",
HR_Data[[#This Row],[YearsAtCompany]]&lt;5,"2-4 Years",
HR_Data[[#This Row],[YearsAtCompany]]&lt;10,"5-9 Years",
TRUE,"10+ Years"
)</f>
        <v>10+ Years</v>
      </c>
      <c r="AM1233" s="1">
        <f>IF(HR_Data[[#This Row],[Attrition]]="Yes",1,0)</f>
        <v>0</v>
      </c>
    </row>
    <row r="1234" spans="1:39" x14ac:dyDescent="0.3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 cm="1">
        <f t="array" ref="AJ1234">_xlfn.IFS(
HR_Data[[#This Row],[Age]]&lt;25,"Under 25",
HR_Data[[#This Row],[Age]]&lt;35,"25-34",
HR_Data[[#This Row],[Age]]&lt;45,"35-44",
HR_Data[[#This Row],[Age]]&lt;55,"45-54",
TRUE,"55+"
)</f>
        <v>35-44</v>
      </c>
      <c r="AK1234" t="str" cm="1">
        <f t="array" ref="AK1234">_xlfn.IFS(
HR_Data[[#This Row],[MonthlyIncome]]&lt;3000,"&lt;3K",
HR_Data[[#This Row],[MonthlyIncome]]&lt;6000,"3K-6K",
HR_Data[[#This Row],[MonthlyIncome]]&lt;10000,"6K-10K",
TRUE,"10K+"
)</f>
        <v>6K-10K</v>
      </c>
      <c r="AL1234" t="str" cm="1">
        <f t="array" ref="AL1234">_xlfn.IFS(
HR_Data[[#This Row],[YearsAtCompany]]&lt;2,"&lt;2 Years",
HR_Data[[#This Row],[YearsAtCompany]]&lt;5,"2-4 Years",
HR_Data[[#This Row],[YearsAtCompany]]&lt;10,"5-9 Years",
TRUE,"10+ Years"
)</f>
        <v>5-9 Years</v>
      </c>
      <c r="AM1234" s="1">
        <f>IF(HR_Data[[#This Row],[Attrition]]="Yes",1,0)</f>
        <v>0</v>
      </c>
    </row>
    <row r="1235" spans="1:39" x14ac:dyDescent="0.3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 cm="1">
        <f t="array" ref="AJ1235">_xlfn.IFS(
HR_Data[[#This Row],[Age]]&lt;25,"Under 25",
HR_Data[[#This Row],[Age]]&lt;35,"25-34",
HR_Data[[#This Row],[Age]]&lt;45,"35-44",
HR_Data[[#This Row],[Age]]&lt;55,"45-54",
TRUE,"55+"
)</f>
        <v>25-34</v>
      </c>
      <c r="AK1235" t="str" cm="1">
        <f t="array" ref="AK1235">_xlfn.IFS(
HR_Data[[#This Row],[MonthlyIncome]]&lt;3000,"&lt;3K",
HR_Data[[#This Row],[MonthlyIncome]]&lt;6000,"3K-6K",
HR_Data[[#This Row],[MonthlyIncome]]&lt;10000,"6K-10K",
TRUE,"10K+"
)</f>
        <v>&lt;3K</v>
      </c>
      <c r="AL1235" t="str" cm="1">
        <f t="array" ref="AL1235">_xlfn.IFS(
HR_Data[[#This Row],[YearsAtCompany]]&lt;2,"&lt;2 Years",
HR_Data[[#This Row],[YearsAtCompany]]&lt;5,"2-4 Years",
HR_Data[[#This Row],[YearsAtCompany]]&lt;10,"5-9 Years",
TRUE,"10+ Years"
)</f>
        <v>10+ Years</v>
      </c>
      <c r="AM1235" s="1">
        <f>IF(HR_Data[[#This Row],[Attrition]]="Yes",1,0)</f>
        <v>0</v>
      </c>
    </row>
    <row r="1236" spans="1:39" x14ac:dyDescent="0.3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 cm="1">
        <f t="array" ref="AJ1236">_xlfn.IFS(
HR_Data[[#This Row],[Age]]&lt;25,"Under 25",
HR_Data[[#This Row],[Age]]&lt;35,"25-34",
HR_Data[[#This Row],[Age]]&lt;45,"35-44",
HR_Data[[#This Row],[Age]]&lt;55,"45-54",
TRUE,"55+"
)</f>
        <v>45-54</v>
      </c>
      <c r="AK1236" t="str" cm="1">
        <f t="array" ref="AK1236">_xlfn.IFS(
HR_Data[[#This Row],[MonthlyIncome]]&lt;3000,"&lt;3K",
HR_Data[[#This Row],[MonthlyIncome]]&lt;6000,"3K-6K",
HR_Data[[#This Row],[MonthlyIncome]]&lt;10000,"6K-10K",
TRUE,"10K+"
)</f>
        <v>3K-6K</v>
      </c>
      <c r="AL1236" t="str" cm="1">
        <f t="array" ref="AL1236">_xlfn.IFS(
HR_Data[[#This Row],[YearsAtCompany]]&lt;2,"&lt;2 Years",
HR_Data[[#This Row],[YearsAtCompany]]&lt;5,"2-4 Years",
HR_Data[[#This Row],[YearsAtCompany]]&lt;10,"5-9 Years",
TRUE,"10+ Years"
)</f>
        <v>&lt;2 Years</v>
      </c>
      <c r="AM1236" s="1">
        <f>IF(HR_Data[[#This Row],[Attrition]]="Yes",1,0)</f>
        <v>0</v>
      </c>
    </row>
    <row r="1237" spans="1:39" x14ac:dyDescent="0.3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 cm="1">
        <f t="array" ref="AJ1237">_xlfn.IFS(
HR_Data[[#This Row],[Age]]&lt;25,"Under 25",
HR_Data[[#This Row],[Age]]&lt;35,"25-34",
HR_Data[[#This Row],[Age]]&lt;45,"35-44",
HR_Data[[#This Row],[Age]]&lt;55,"45-54",
TRUE,"55+"
)</f>
        <v>45-54</v>
      </c>
      <c r="AK1237" t="str" cm="1">
        <f t="array" ref="AK1237">_xlfn.IFS(
HR_Data[[#This Row],[MonthlyIncome]]&lt;3000,"&lt;3K",
HR_Data[[#This Row],[MonthlyIncome]]&lt;6000,"3K-6K",
HR_Data[[#This Row],[MonthlyIncome]]&lt;10000,"6K-10K",
TRUE,"10K+"
)</f>
        <v>10K+</v>
      </c>
      <c r="AL1237" t="str" cm="1">
        <f t="array" ref="AL1237">_xlfn.IFS(
HR_Data[[#This Row],[YearsAtCompany]]&lt;2,"&lt;2 Years",
HR_Data[[#This Row],[YearsAtCompany]]&lt;5,"2-4 Years",
HR_Data[[#This Row],[YearsAtCompany]]&lt;10,"5-9 Years",
TRUE,"10+ Years"
)</f>
        <v>10+ Years</v>
      </c>
      <c r="AM1237" s="1">
        <f>IF(HR_Data[[#This Row],[Attrition]]="Yes",1,0)</f>
        <v>0</v>
      </c>
    </row>
    <row r="1238" spans="1:39" x14ac:dyDescent="0.3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 cm="1">
        <f t="array" ref="AJ1238">_xlfn.IFS(
HR_Data[[#This Row],[Age]]&lt;25,"Under 25",
HR_Data[[#This Row],[Age]]&lt;35,"25-34",
HR_Data[[#This Row],[Age]]&lt;45,"35-44",
HR_Data[[#This Row],[Age]]&lt;55,"45-54",
TRUE,"55+"
)</f>
        <v>35-44</v>
      </c>
      <c r="AK1238" t="str" cm="1">
        <f t="array" ref="AK1238">_xlfn.IFS(
HR_Data[[#This Row],[MonthlyIncome]]&lt;3000,"&lt;3K",
HR_Data[[#This Row],[MonthlyIncome]]&lt;6000,"3K-6K",
HR_Data[[#This Row],[MonthlyIncome]]&lt;10000,"6K-10K",
TRUE,"10K+"
)</f>
        <v>6K-10K</v>
      </c>
      <c r="AL1238" t="str" cm="1">
        <f t="array" ref="AL1238">_xlfn.IFS(
HR_Data[[#This Row],[YearsAtCompany]]&lt;2,"&lt;2 Years",
HR_Data[[#This Row],[YearsAtCompany]]&lt;5,"2-4 Years",
HR_Data[[#This Row],[YearsAtCompany]]&lt;10,"5-9 Years",
TRUE,"10+ Years"
)</f>
        <v>2-4 Years</v>
      </c>
      <c r="AM1238" s="1">
        <f>IF(HR_Data[[#This Row],[Attrition]]="Yes",1,0)</f>
        <v>1</v>
      </c>
    </row>
    <row r="1239" spans="1:39" x14ac:dyDescent="0.3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 cm="1">
        <f t="array" ref="AJ1239">_xlfn.IFS(
HR_Data[[#This Row],[Age]]&lt;25,"Under 25",
HR_Data[[#This Row],[Age]]&lt;35,"25-34",
HR_Data[[#This Row],[Age]]&lt;45,"35-44",
HR_Data[[#This Row],[Age]]&lt;55,"45-54",
TRUE,"55+"
)</f>
        <v>25-34</v>
      </c>
      <c r="AK1239" t="str" cm="1">
        <f t="array" ref="AK1239">_xlfn.IFS(
HR_Data[[#This Row],[MonthlyIncome]]&lt;3000,"&lt;3K",
HR_Data[[#This Row],[MonthlyIncome]]&lt;6000,"3K-6K",
HR_Data[[#This Row],[MonthlyIncome]]&lt;10000,"6K-10K",
TRUE,"10K+"
)</f>
        <v>6K-10K</v>
      </c>
      <c r="AL1239" t="str" cm="1">
        <f t="array" ref="AL1239">_xlfn.IFS(
HR_Data[[#This Row],[YearsAtCompany]]&lt;2,"&lt;2 Years",
HR_Data[[#This Row],[YearsAtCompany]]&lt;5,"2-4 Years",
HR_Data[[#This Row],[YearsAtCompany]]&lt;10,"5-9 Years",
TRUE,"10+ Years"
)</f>
        <v>&lt;2 Years</v>
      </c>
      <c r="AM1239" s="1">
        <f>IF(HR_Data[[#This Row],[Attrition]]="Yes",1,0)</f>
        <v>1</v>
      </c>
    </row>
    <row r="1240" spans="1:39" x14ac:dyDescent="0.3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 cm="1">
        <f t="array" ref="AJ1240">_xlfn.IFS(
HR_Data[[#This Row],[Age]]&lt;25,"Under 25",
HR_Data[[#This Row],[Age]]&lt;35,"25-34",
HR_Data[[#This Row],[Age]]&lt;45,"35-44",
HR_Data[[#This Row],[Age]]&lt;55,"45-54",
TRUE,"55+"
)</f>
        <v>Under 25</v>
      </c>
      <c r="AK1240" t="str" cm="1">
        <f t="array" ref="AK1240">_xlfn.IFS(
HR_Data[[#This Row],[MonthlyIncome]]&lt;3000,"&lt;3K",
HR_Data[[#This Row],[MonthlyIncome]]&lt;6000,"3K-6K",
HR_Data[[#This Row],[MonthlyIncome]]&lt;10000,"6K-10K",
TRUE,"10K+"
)</f>
        <v>3K-6K</v>
      </c>
      <c r="AL1240" t="str" cm="1">
        <f t="array" ref="AL1240">_xlfn.IFS(
HR_Data[[#This Row],[YearsAtCompany]]&lt;2,"&lt;2 Years",
HR_Data[[#This Row],[YearsAtCompany]]&lt;5,"2-4 Years",
HR_Data[[#This Row],[YearsAtCompany]]&lt;10,"5-9 Years",
TRUE,"10+ Years"
)</f>
        <v>2-4 Years</v>
      </c>
      <c r="AM1240" s="1">
        <f>IF(HR_Data[[#This Row],[Attrition]]="Yes",1,0)</f>
        <v>0</v>
      </c>
    </row>
    <row r="1241" spans="1:39" x14ac:dyDescent="0.3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 cm="1">
        <f t="array" ref="AJ1241">_xlfn.IFS(
HR_Data[[#This Row],[Age]]&lt;25,"Under 25",
HR_Data[[#This Row],[Age]]&lt;35,"25-34",
HR_Data[[#This Row],[Age]]&lt;45,"35-44",
HR_Data[[#This Row],[Age]]&lt;55,"45-54",
TRUE,"55+"
)</f>
        <v>25-34</v>
      </c>
      <c r="AK1241" t="str" cm="1">
        <f t="array" ref="AK1241">_xlfn.IFS(
HR_Data[[#This Row],[MonthlyIncome]]&lt;3000,"&lt;3K",
HR_Data[[#This Row],[MonthlyIncome]]&lt;6000,"3K-6K",
HR_Data[[#This Row],[MonthlyIncome]]&lt;10000,"6K-10K",
TRUE,"10K+"
)</f>
        <v>3K-6K</v>
      </c>
      <c r="AL1241" t="str" cm="1">
        <f t="array" ref="AL1241">_xlfn.IFS(
HR_Data[[#This Row],[YearsAtCompany]]&lt;2,"&lt;2 Years",
HR_Data[[#This Row],[YearsAtCompany]]&lt;5,"2-4 Years",
HR_Data[[#This Row],[YearsAtCompany]]&lt;10,"5-9 Years",
TRUE,"10+ Years"
)</f>
        <v>5-9 Years</v>
      </c>
      <c r="AM1241" s="1">
        <f>IF(HR_Data[[#This Row],[Attrition]]="Yes",1,0)</f>
        <v>0</v>
      </c>
    </row>
    <row r="1242" spans="1:39" x14ac:dyDescent="0.3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 cm="1">
        <f t="array" ref="AJ1242">_xlfn.IFS(
HR_Data[[#This Row],[Age]]&lt;25,"Under 25",
HR_Data[[#This Row],[Age]]&lt;35,"25-34",
HR_Data[[#This Row],[Age]]&lt;45,"35-44",
HR_Data[[#This Row],[Age]]&lt;55,"45-54",
TRUE,"55+"
)</f>
        <v>35-44</v>
      </c>
      <c r="AK1242" t="str" cm="1">
        <f t="array" ref="AK1242">_xlfn.IFS(
HR_Data[[#This Row],[MonthlyIncome]]&lt;3000,"&lt;3K",
HR_Data[[#This Row],[MonthlyIncome]]&lt;6000,"3K-6K",
HR_Data[[#This Row],[MonthlyIncome]]&lt;10000,"6K-10K",
TRUE,"10K+"
)</f>
        <v>6K-10K</v>
      </c>
      <c r="AL1242" t="str" cm="1">
        <f t="array" ref="AL1242">_xlfn.IFS(
HR_Data[[#This Row],[YearsAtCompany]]&lt;2,"&lt;2 Years",
HR_Data[[#This Row],[YearsAtCompany]]&lt;5,"2-4 Years",
HR_Data[[#This Row],[YearsAtCompany]]&lt;10,"5-9 Years",
TRUE,"10+ Years"
)</f>
        <v>5-9 Years</v>
      </c>
      <c r="AM1242" s="1">
        <f>IF(HR_Data[[#This Row],[Attrition]]="Yes",1,0)</f>
        <v>0</v>
      </c>
    </row>
    <row r="1243" spans="1:39" x14ac:dyDescent="0.3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 cm="1">
        <f t="array" ref="AJ1243">_xlfn.IFS(
HR_Data[[#This Row],[Age]]&lt;25,"Under 25",
HR_Data[[#This Row],[Age]]&lt;35,"25-34",
HR_Data[[#This Row],[Age]]&lt;45,"35-44",
HR_Data[[#This Row],[Age]]&lt;55,"45-54",
TRUE,"55+"
)</f>
        <v>25-34</v>
      </c>
      <c r="AK1243" t="str" cm="1">
        <f t="array" ref="AK1243">_xlfn.IFS(
HR_Data[[#This Row],[MonthlyIncome]]&lt;3000,"&lt;3K",
HR_Data[[#This Row],[MonthlyIncome]]&lt;6000,"3K-6K",
HR_Data[[#This Row],[MonthlyIncome]]&lt;10000,"6K-10K",
TRUE,"10K+"
)</f>
        <v>6K-10K</v>
      </c>
      <c r="AL1243" t="str" cm="1">
        <f t="array" ref="AL1243">_xlfn.IFS(
HR_Data[[#This Row],[YearsAtCompany]]&lt;2,"&lt;2 Years",
HR_Data[[#This Row],[YearsAtCompany]]&lt;5,"2-4 Years",
HR_Data[[#This Row],[YearsAtCompany]]&lt;10,"5-9 Years",
TRUE,"10+ Years"
)</f>
        <v>2-4 Years</v>
      </c>
      <c r="AM1243" s="1">
        <f>IF(HR_Data[[#This Row],[Attrition]]="Yes",1,0)</f>
        <v>0</v>
      </c>
    </row>
    <row r="1244" spans="1:39" x14ac:dyDescent="0.3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 cm="1">
        <f t="array" ref="AJ1244">_xlfn.IFS(
HR_Data[[#This Row],[Age]]&lt;25,"Under 25",
HR_Data[[#This Row],[Age]]&lt;35,"25-34",
HR_Data[[#This Row],[Age]]&lt;45,"35-44",
HR_Data[[#This Row],[Age]]&lt;55,"45-54",
TRUE,"55+"
)</f>
        <v>35-44</v>
      </c>
      <c r="AK1244" t="str" cm="1">
        <f t="array" ref="AK1244">_xlfn.IFS(
HR_Data[[#This Row],[MonthlyIncome]]&lt;3000,"&lt;3K",
HR_Data[[#This Row],[MonthlyIncome]]&lt;6000,"3K-6K",
HR_Data[[#This Row],[MonthlyIncome]]&lt;10000,"6K-10K",
TRUE,"10K+"
)</f>
        <v>10K+</v>
      </c>
      <c r="AL1244" t="str" cm="1">
        <f t="array" ref="AL1244">_xlfn.IFS(
HR_Data[[#This Row],[YearsAtCompany]]&lt;2,"&lt;2 Years",
HR_Data[[#This Row],[YearsAtCompany]]&lt;5,"2-4 Years",
HR_Data[[#This Row],[YearsAtCompany]]&lt;10,"5-9 Years",
TRUE,"10+ Years"
)</f>
        <v>10+ Years</v>
      </c>
      <c r="AM1244" s="1">
        <f>IF(HR_Data[[#This Row],[Attrition]]="Yes",1,0)</f>
        <v>0</v>
      </c>
    </row>
    <row r="1245" spans="1:39" x14ac:dyDescent="0.3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 cm="1">
        <f t="array" ref="AJ1245">_xlfn.IFS(
HR_Data[[#This Row],[Age]]&lt;25,"Under 25",
HR_Data[[#This Row],[Age]]&lt;35,"25-34",
HR_Data[[#This Row],[Age]]&lt;45,"35-44",
HR_Data[[#This Row],[Age]]&lt;55,"45-54",
TRUE,"55+"
)</f>
        <v>45-54</v>
      </c>
      <c r="AK1245" t="str" cm="1">
        <f t="array" ref="AK1245">_xlfn.IFS(
HR_Data[[#This Row],[MonthlyIncome]]&lt;3000,"&lt;3K",
HR_Data[[#This Row],[MonthlyIncome]]&lt;6000,"3K-6K",
HR_Data[[#This Row],[MonthlyIncome]]&lt;10000,"6K-10K",
TRUE,"10K+"
)</f>
        <v>6K-10K</v>
      </c>
      <c r="AL1245" t="str" cm="1">
        <f t="array" ref="AL1245">_xlfn.IFS(
HR_Data[[#This Row],[YearsAtCompany]]&lt;2,"&lt;2 Years",
HR_Data[[#This Row],[YearsAtCompany]]&lt;5,"2-4 Years",
HR_Data[[#This Row],[YearsAtCompany]]&lt;10,"5-9 Years",
TRUE,"10+ Years"
)</f>
        <v>5-9 Years</v>
      </c>
      <c r="AM1245" s="1">
        <f>IF(HR_Data[[#This Row],[Attrition]]="Yes",1,0)</f>
        <v>0</v>
      </c>
    </row>
    <row r="1246" spans="1:39" x14ac:dyDescent="0.3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 cm="1">
        <f t="array" ref="AJ1246">_xlfn.IFS(
HR_Data[[#This Row],[Age]]&lt;25,"Under 25",
HR_Data[[#This Row],[Age]]&lt;35,"25-34",
HR_Data[[#This Row],[Age]]&lt;45,"35-44",
HR_Data[[#This Row],[Age]]&lt;55,"45-54",
TRUE,"55+"
)</f>
        <v>25-34</v>
      </c>
      <c r="AK1246" t="str" cm="1">
        <f t="array" ref="AK1246">_xlfn.IFS(
HR_Data[[#This Row],[MonthlyIncome]]&lt;3000,"&lt;3K",
HR_Data[[#This Row],[MonthlyIncome]]&lt;6000,"3K-6K",
HR_Data[[#This Row],[MonthlyIncome]]&lt;10000,"6K-10K",
TRUE,"10K+"
)</f>
        <v>3K-6K</v>
      </c>
      <c r="AL1246" t="str" cm="1">
        <f t="array" ref="AL1246">_xlfn.IFS(
HR_Data[[#This Row],[YearsAtCompany]]&lt;2,"&lt;2 Years",
HR_Data[[#This Row],[YearsAtCompany]]&lt;5,"2-4 Years",
HR_Data[[#This Row],[YearsAtCompany]]&lt;10,"5-9 Years",
TRUE,"10+ Years"
)</f>
        <v>5-9 Years</v>
      </c>
      <c r="AM1246" s="1">
        <f>IF(HR_Data[[#This Row],[Attrition]]="Yes",1,0)</f>
        <v>0</v>
      </c>
    </row>
    <row r="1247" spans="1:39" x14ac:dyDescent="0.3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 cm="1">
        <f t="array" ref="AJ1247">_xlfn.IFS(
HR_Data[[#This Row],[Age]]&lt;25,"Under 25",
HR_Data[[#This Row],[Age]]&lt;35,"25-34",
HR_Data[[#This Row],[Age]]&lt;45,"35-44",
HR_Data[[#This Row],[Age]]&lt;55,"45-54",
TRUE,"55+"
)</f>
        <v>Under 25</v>
      </c>
      <c r="AK1247" t="str" cm="1">
        <f t="array" ref="AK1247">_xlfn.IFS(
HR_Data[[#This Row],[MonthlyIncome]]&lt;3000,"&lt;3K",
HR_Data[[#This Row],[MonthlyIncome]]&lt;6000,"3K-6K",
HR_Data[[#This Row],[MonthlyIncome]]&lt;10000,"6K-10K",
TRUE,"10K+"
)</f>
        <v>&lt;3K</v>
      </c>
      <c r="AL1247" t="str" cm="1">
        <f t="array" ref="AL1247">_xlfn.IFS(
HR_Data[[#This Row],[YearsAtCompany]]&lt;2,"&lt;2 Years",
HR_Data[[#This Row],[YearsAtCompany]]&lt;5,"2-4 Years",
HR_Data[[#This Row],[YearsAtCompany]]&lt;10,"5-9 Years",
TRUE,"10+ Years"
)</f>
        <v>2-4 Years</v>
      </c>
      <c r="AM1247" s="1">
        <f>IF(HR_Data[[#This Row],[Attrition]]="Yes",1,0)</f>
        <v>0</v>
      </c>
    </row>
    <row r="1248" spans="1:39" x14ac:dyDescent="0.3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 cm="1">
        <f t="array" ref="AJ1248">_xlfn.IFS(
HR_Data[[#This Row],[Age]]&lt;25,"Under 25",
HR_Data[[#This Row],[Age]]&lt;35,"25-34",
HR_Data[[#This Row],[Age]]&lt;45,"35-44",
HR_Data[[#This Row],[Age]]&lt;55,"45-54",
TRUE,"55+"
)</f>
        <v>25-34</v>
      </c>
      <c r="AK1248" t="str" cm="1">
        <f t="array" ref="AK1248">_xlfn.IFS(
HR_Data[[#This Row],[MonthlyIncome]]&lt;3000,"&lt;3K",
HR_Data[[#This Row],[MonthlyIncome]]&lt;6000,"3K-6K",
HR_Data[[#This Row],[MonthlyIncome]]&lt;10000,"6K-10K",
TRUE,"10K+"
)</f>
        <v>&lt;3K</v>
      </c>
      <c r="AL1248" t="str" cm="1">
        <f t="array" ref="AL1248">_xlfn.IFS(
HR_Data[[#This Row],[YearsAtCompany]]&lt;2,"&lt;2 Years",
HR_Data[[#This Row],[YearsAtCompany]]&lt;5,"2-4 Years",
HR_Data[[#This Row],[YearsAtCompany]]&lt;10,"5-9 Years",
TRUE,"10+ Years"
)</f>
        <v>2-4 Years</v>
      </c>
      <c r="AM1248" s="1">
        <f>IF(HR_Data[[#This Row],[Attrition]]="Yes",1,0)</f>
        <v>1</v>
      </c>
    </row>
    <row r="1249" spans="1:39" x14ac:dyDescent="0.3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 cm="1">
        <f t="array" ref="AJ1249">_xlfn.IFS(
HR_Data[[#This Row],[Age]]&lt;25,"Under 25",
HR_Data[[#This Row],[Age]]&lt;35,"25-34",
HR_Data[[#This Row],[Age]]&lt;45,"35-44",
HR_Data[[#This Row],[Age]]&lt;55,"45-54",
TRUE,"55+"
)</f>
        <v>25-34</v>
      </c>
      <c r="AK1249" t="str" cm="1">
        <f t="array" ref="AK1249">_xlfn.IFS(
HR_Data[[#This Row],[MonthlyIncome]]&lt;3000,"&lt;3K",
HR_Data[[#This Row],[MonthlyIncome]]&lt;6000,"3K-6K",
HR_Data[[#This Row],[MonthlyIncome]]&lt;10000,"6K-10K",
TRUE,"10K+"
)</f>
        <v>6K-10K</v>
      </c>
      <c r="AL1249" t="str" cm="1">
        <f t="array" ref="AL1249">_xlfn.IFS(
HR_Data[[#This Row],[YearsAtCompany]]&lt;2,"&lt;2 Years",
HR_Data[[#This Row],[YearsAtCompany]]&lt;5,"2-4 Years",
HR_Data[[#This Row],[YearsAtCompany]]&lt;10,"5-9 Years",
TRUE,"10+ Years"
)</f>
        <v>5-9 Years</v>
      </c>
      <c r="AM1249" s="1">
        <f>IF(HR_Data[[#This Row],[Attrition]]="Yes",1,0)</f>
        <v>0</v>
      </c>
    </row>
    <row r="1250" spans="1:39" x14ac:dyDescent="0.3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 cm="1">
        <f t="array" ref="AJ1250">_xlfn.IFS(
HR_Data[[#This Row],[Age]]&lt;25,"Under 25",
HR_Data[[#This Row],[Age]]&lt;35,"25-34",
HR_Data[[#This Row],[Age]]&lt;45,"35-44",
HR_Data[[#This Row],[Age]]&lt;55,"45-54",
TRUE,"55+"
)</f>
        <v>25-34</v>
      </c>
      <c r="AK1250" t="str" cm="1">
        <f t="array" ref="AK1250">_xlfn.IFS(
HR_Data[[#This Row],[MonthlyIncome]]&lt;3000,"&lt;3K",
HR_Data[[#This Row],[MonthlyIncome]]&lt;6000,"3K-6K",
HR_Data[[#This Row],[MonthlyIncome]]&lt;10000,"6K-10K",
TRUE,"10K+"
)</f>
        <v>3K-6K</v>
      </c>
      <c r="AL1250" t="str" cm="1">
        <f t="array" ref="AL1250">_xlfn.IFS(
HR_Data[[#This Row],[YearsAtCompany]]&lt;2,"&lt;2 Years",
HR_Data[[#This Row],[YearsAtCompany]]&lt;5,"2-4 Years",
HR_Data[[#This Row],[YearsAtCompany]]&lt;10,"5-9 Years",
TRUE,"10+ Years"
)</f>
        <v>5-9 Years</v>
      </c>
      <c r="AM1250" s="1">
        <f>IF(HR_Data[[#This Row],[Attrition]]="Yes",1,0)</f>
        <v>0</v>
      </c>
    </row>
    <row r="1251" spans="1:39" x14ac:dyDescent="0.3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 cm="1">
        <f t="array" ref="AJ1251">_xlfn.IFS(
HR_Data[[#This Row],[Age]]&lt;25,"Under 25",
HR_Data[[#This Row],[Age]]&lt;35,"25-34",
HR_Data[[#This Row],[Age]]&lt;45,"35-44",
HR_Data[[#This Row],[Age]]&lt;55,"45-54",
TRUE,"55+"
)</f>
        <v>25-34</v>
      </c>
      <c r="AK1251" t="str" cm="1">
        <f t="array" ref="AK1251">_xlfn.IFS(
HR_Data[[#This Row],[MonthlyIncome]]&lt;3000,"&lt;3K",
HR_Data[[#This Row],[MonthlyIncome]]&lt;6000,"3K-6K",
HR_Data[[#This Row],[MonthlyIncome]]&lt;10000,"6K-10K",
TRUE,"10K+"
)</f>
        <v>&lt;3K</v>
      </c>
      <c r="AL1251" t="str" cm="1">
        <f t="array" ref="AL1251">_xlfn.IFS(
HR_Data[[#This Row],[YearsAtCompany]]&lt;2,"&lt;2 Years",
HR_Data[[#This Row],[YearsAtCompany]]&lt;5,"2-4 Years",
HR_Data[[#This Row],[YearsAtCompany]]&lt;10,"5-9 Years",
TRUE,"10+ Years"
)</f>
        <v>2-4 Years</v>
      </c>
      <c r="AM1251" s="1">
        <f>IF(HR_Data[[#This Row],[Attrition]]="Yes",1,0)</f>
        <v>1</v>
      </c>
    </row>
    <row r="1252" spans="1:39" x14ac:dyDescent="0.3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 cm="1">
        <f t="array" ref="AJ1252">_xlfn.IFS(
HR_Data[[#This Row],[Age]]&lt;25,"Under 25",
HR_Data[[#This Row],[Age]]&lt;35,"25-34",
HR_Data[[#This Row],[Age]]&lt;45,"35-44",
HR_Data[[#This Row],[Age]]&lt;55,"45-54",
TRUE,"55+"
)</f>
        <v>25-34</v>
      </c>
      <c r="AK1252" t="str" cm="1">
        <f t="array" ref="AK1252">_xlfn.IFS(
HR_Data[[#This Row],[MonthlyIncome]]&lt;3000,"&lt;3K",
HR_Data[[#This Row],[MonthlyIncome]]&lt;6000,"3K-6K",
HR_Data[[#This Row],[MonthlyIncome]]&lt;10000,"6K-10K",
TRUE,"10K+"
)</f>
        <v>6K-10K</v>
      </c>
      <c r="AL1252" t="str" cm="1">
        <f t="array" ref="AL1252">_xlfn.IFS(
HR_Data[[#This Row],[YearsAtCompany]]&lt;2,"&lt;2 Years",
HR_Data[[#This Row],[YearsAtCompany]]&lt;5,"2-4 Years",
HR_Data[[#This Row],[YearsAtCompany]]&lt;10,"5-9 Years",
TRUE,"10+ Years"
)</f>
        <v>2-4 Years</v>
      </c>
      <c r="AM1252" s="1">
        <f>IF(HR_Data[[#This Row],[Attrition]]="Yes",1,0)</f>
        <v>0</v>
      </c>
    </row>
    <row r="1253" spans="1:39" x14ac:dyDescent="0.3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 cm="1">
        <f t="array" ref="AJ1253">_xlfn.IFS(
HR_Data[[#This Row],[Age]]&lt;25,"Under 25",
HR_Data[[#This Row],[Age]]&lt;35,"25-34",
HR_Data[[#This Row],[Age]]&lt;45,"35-44",
HR_Data[[#This Row],[Age]]&lt;55,"45-54",
TRUE,"55+"
)</f>
        <v>25-34</v>
      </c>
      <c r="AK1253" t="str" cm="1">
        <f t="array" ref="AK1253">_xlfn.IFS(
HR_Data[[#This Row],[MonthlyIncome]]&lt;3000,"&lt;3K",
HR_Data[[#This Row],[MonthlyIncome]]&lt;6000,"3K-6K",
HR_Data[[#This Row],[MonthlyIncome]]&lt;10000,"6K-10K",
TRUE,"10K+"
)</f>
        <v>6K-10K</v>
      </c>
      <c r="AL1253" t="str" cm="1">
        <f t="array" ref="AL1253">_xlfn.IFS(
HR_Data[[#This Row],[YearsAtCompany]]&lt;2,"&lt;2 Years",
HR_Data[[#This Row],[YearsAtCompany]]&lt;5,"2-4 Years",
HR_Data[[#This Row],[YearsAtCompany]]&lt;10,"5-9 Years",
TRUE,"10+ Years"
)</f>
        <v>5-9 Years</v>
      </c>
      <c r="AM1253" s="1">
        <f>IF(HR_Data[[#This Row],[Attrition]]="Yes",1,0)</f>
        <v>0</v>
      </c>
    </row>
    <row r="1254" spans="1:39" x14ac:dyDescent="0.3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 cm="1">
        <f t="array" ref="AJ1254">_xlfn.IFS(
HR_Data[[#This Row],[Age]]&lt;25,"Under 25",
HR_Data[[#This Row],[Age]]&lt;35,"25-34",
HR_Data[[#This Row],[Age]]&lt;45,"35-44",
HR_Data[[#This Row],[Age]]&lt;55,"45-54",
TRUE,"55+"
)</f>
        <v>25-34</v>
      </c>
      <c r="AK1254" t="str" cm="1">
        <f t="array" ref="AK1254">_xlfn.IFS(
HR_Data[[#This Row],[MonthlyIncome]]&lt;3000,"&lt;3K",
HR_Data[[#This Row],[MonthlyIncome]]&lt;6000,"3K-6K",
HR_Data[[#This Row],[MonthlyIncome]]&lt;10000,"6K-10K",
TRUE,"10K+"
)</f>
        <v>&lt;3K</v>
      </c>
      <c r="AL1254" t="str" cm="1">
        <f t="array" ref="AL1254">_xlfn.IFS(
HR_Data[[#This Row],[YearsAtCompany]]&lt;2,"&lt;2 Years",
HR_Data[[#This Row],[YearsAtCompany]]&lt;5,"2-4 Years",
HR_Data[[#This Row],[YearsAtCompany]]&lt;10,"5-9 Years",
TRUE,"10+ Years"
)</f>
        <v>5-9 Years</v>
      </c>
      <c r="AM1254" s="1">
        <f>IF(HR_Data[[#This Row],[Attrition]]="Yes",1,0)</f>
        <v>0</v>
      </c>
    </row>
    <row r="1255" spans="1:39" x14ac:dyDescent="0.3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 cm="1">
        <f t="array" ref="AJ1255">_xlfn.IFS(
HR_Data[[#This Row],[Age]]&lt;25,"Under 25",
HR_Data[[#This Row],[Age]]&lt;35,"25-34",
HR_Data[[#This Row],[Age]]&lt;45,"35-44",
HR_Data[[#This Row],[Age]]&lt;55,"45-54",
TRUE,"55+"
)</f>
        <v>25-34</v>
      </c>
      <c r="AK1255" t="str" cm="1">
        <f t="array" ref="AK1255">_xlfn.IFS(
HR_Data[[#This Row],[MonthlyIncome]]&lt;3000,"&lt;3K",
HR_Data[[#This Row],[MonthlyIncome]]&lt;6000,"3K-6K",
HR_Data[[#This Row],[MonthlyIncome]]&lt;10000,"6K-10K",
TRUE,"10K+"
)</f>
        <v>3K-6K</v>
      </c>
      <c r="AL1255" t="str" cm="1">
        <f t="array" ref="AL1255">_xlfn.IFS(
HR_Data[[#This Row],[YearsAtCompany]]&lt;2,"&lt;2 Years",
HR_Data[[#This Row],[YearsAtCompany]]&lt;5,"2-4 Years",
HR_Data[[#This Row],[YearsAtCompany]]&lt;10,"5-9 Years",
TRUE,"10+ Years"
)</f>
        <v>10+ Years</v>
      </c>
      <c r="AM1255" s="1">
        <f>IF(HR_Data[[#This Row],[Attrition]]="Yes",1,0)</f>
        <v>0</v>
      </c>
    </row>
    <row r="1256" spans="1:39" x14ac:dyDescent="0.3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 cm="1">
        <f t="array" ref="AJ1256">_xlfn.IFS(
HR_Data[[#This Row],[Age]]&lt;25,"Under 25",
HR_Data[[#This Row],[Age]]&lt;35,"25-34",
HR_Data[[#This Row],[Age]]&lt;45,"35-44",
HR_Data[[#This Row],[Age]]&lt;55,"45-54",
TRUE,"55+"
)</f>
        <v>45-54</v>
      </c>
      <c r="AK1256" t="str" cm="1">
        <f t="array" ref="AK1256">_xlfn.IFS(
HR_Data[[#This Row],[MonthlyIncome]]&lt;3000,"&lt;3K",
HR_Data[[#This Row],[MonthlyIncome]]&lt;6000,"3K-6K",
HR_Data[[#This Row],[MonthlyIncome]]&lt;10000,"6K-10K",
TRUE,"10K+"
)</f>
        <v>3K-6K</v>
      </c>
      <c r="AL1256" t="str" cm="1">
        <f t="array" ref="AL1256">_xlfn.IFS(
HR_Data[[#This Row],[YearsAtCompany]]&lt;2,"&lt;2 Years",
HR_Data[[#This Row],[YearsAtCompany]]&lt;5,"2-4 Years",
HR_Data[[#This Row],[YearsAtCompany]]&lt;10,"5-9 Years",
TRUE,"10+ Years"
)</f>
        <v>5-9 Years</v>
      </c>
      <c r="AM1256" s="1">
        <f>IF(HR_Data[[#This Row],[Attrition]]="Yes",1,0)</f>
        <v>0</v>
      </c>
    </row>
    <row r="1257" spans="1:39" x14ac:dyDescent="0.3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 cm="1">
        <f t="array" ref="AJ1257">_xlfn.IFS(
HR_Data[[#This Row],[Age]]&lt;25,"Under 25",
HR_Data[[#This Row],[Age]]&lt;35,"25-34",
HR_Data[[#This Row],[Age]]&lt;45,"35-44",
HR_Data[[#This Row],[Age]]&lt;55,"45-54",
TRUE,"55+"
)</f>
        <v>25-34</v>
      </c>
      <c r="AK1257" t="str" cm="1">
        <f t="array" ref="AK1257">_xlfn.IFS(
HR_Data[[#This Row],[MonthlyIncome]]&lt;3000,"&lt;3K",
HR_Data[[#This Row],[MonthlyIncome]]&lt;6000,"3K-6K",
HR_Data[[#This Row],[MonthlyIncome]]&lt;10000,"6K-10K",
TRUE,"10K+"
)</f>
        <v>6K-10K</v>
      </c>
      <c r="AL1257" t="str" cm="1">
        <f t="array" ref="AL1257">_xlfn.IFS(
HR_Data[[#This Row],[YearsAtCompany]]&lt;2,"&lt;2 Years",
HR_Data[[#This Row],[YearsAtCompany]]&lt;5,"2-4 Years",
HR_Data[[#This Row],[YearsAtCompany]]&lt;10,"5-9 Years",
TRUE,"10+ Years"
)</f>
        <v>&lt;2 Years</v>
      </c>
      <c r="AM1257" s="1">
        <f>IF(HR_Data[[#This Row],[Attrition]]="Yes",1,0)</f>
        <v>1</v>
      </c>
    </row>
    <row r="1258" spans="1:39" x14ac:dyDescent="0.3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 cm="1">
        <f t="array" ref="AJ1258">_xlfn.IFS(
HR_Data[[#This Row],[Age]]&lt;25,"Under 25",
HR_Data[[#This Row],[Age]]&lt;35,"25-34",
HR_Data[[#This Row],[Age]]&lt;45,"35-44",
HR_Data[[#This Row],[Age]]&lt;55,"45-54",
TRUE,"55+"
)</f>
        <v>35-44</v>
      </c>
      <c r="AK1258" t="str" cm="1">
        <f t="array" ref="AK1258">_xlfn.IFS(
HR_Data[[#This Row],[MonthlyIncome]]&lt;3000,"&lt;3K",
HR_Data[[#This Row],[MonthlyIncome]]&lt;6000,"3K-6K",
HR_Data[[#This Row],[MonthlyIncome]]&lt;10000,"6K-10K",
TRUE,"10K+"
)</f>
        <v>&lt;3K</v>
      </c>
      <c r="AL1258" t="str" cm="1">
        <f t="array" ref="AL1258">_xlfn.IFS(
HR_Data[[#This Row],[YearsAtCompany]]&lt;2,"&lt;2 Years",
HR_Data[[#This Row],[YearsAtCompany]]&lt;5,"2-4 Years",
HR_Data[[#This Row],[YearsAtCompany]]&lt;10,"5-9 Years",
TRUE,"10+ Years"
)</f>
        <v>5-9 Years</v>
      </c>
      <c r="AM1258" s="1">
        <f>IF(HR_Data[[#This Row],[Attrition]]="Yes",1,0)</f>
        <v>0</v>
      </c>
    </row>
    <row r="1259" spans="1:39" x14ac:dyDescent="0.3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 cm="1">
        <f t="array" ref="AJ1259">_xlfn.IFS(
HR_Data[[#This Row],[Age]]&lt;25,"Under 25",
HR_Data[[#This Row],[Age]]&lt;35,"25-34",
HR_Data[[#This Row],[Age]]&lt;45,"35-44",
HR_Data[[#This Row],[Age]]&lt;55,"45-54",
TRUE,"55+"
)</f>
        <v>25-34</v>
      </c>
      <c r="AK1259" t="str" cm="1">
        <f t="array" ref="AK1259">_xlfn.IFS(
HR_Data[[#This Row],[MonthlyIncome]]&lt;3000,"&lt;3K",
HR_Data[[#This Row],[MonthlyIncome]]&lt;6000,"3K-6K",
HR_Data[[#This Row],[MonthlyIncome]]&lt;10000,"6K-10K",
TRUE,"10K+"
)</f>
        <v>6K-10K</v>
      </c>
      <c r="AL1259" t="str" cm="1">
        <f t="array" ref="AL1259">_xlfn.IFS(
HR_Data[[#This Row],[YearsAtCompany]]&lt;2,"&lt;2 Years",
HR_Data[[#This Row],[YearsAtCompany]]&lt;5,"2-4 Years",
HR_Data[[#This Row],[YearsAtCompany]]&lt;10,"5-9 Years",
TRUE,"10+ Years"
)</f>
        <v>&lt;2 Years</v>
      </c>
      <c r="AM1259" s="1">
        <f>IF(HR_Data[[#This Row],[Attrition]]="Yes",1,0)</f>
        <v>1</v>
      </c>
    </row>
    <row r="1260" spans="1:39" x14ac:dyDescent="0.3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 cm="1">
        <f t="array" ref="AJ1260">_xlfn.IFS(
HR_Data[[#This Row],[Age]]&lt;25,"Under 25",
HR_Data[[#This Row],[Age]]&lt;35,"25-34",
HR_Data[[#This Row],[Age]]&lt;45,"35-44",
HR_Data[[#This Row],[Age]]&lt;55,"45-54",
TRUE,"55+"
)</f>
        <v>25-34</v>
      </c>
      <c r="AK1260" t="str" cm="1">
        <f t="array" ref="AK1260">_xlfn.IFS(
HR_Data[[#This Row],[MonthlyIncome]]&lt;3000,"&lt;3K",
HR_Data[[#This Row],[MonthlyIncome]]&lt;6000,"3K-6K",
HR_Data[[#This Row],[MonthlyIncome]]&lt;10000,"6K-10K",
TRUE,"10K+"
)</f>
        <v>&lt;3K</v>
      </c>
      <c r="AL1260" t="str" cm="1">
        <f t="array" ref="AL1260">_xlfn.IFS(
HR_Data[[#This Row],[YearsAtCompany]]&lt;2,"&lt;2 Years",
HR_Data[[#This Row],[YearsAtCompany]]&lt;5,"2-4 Years",
HR_Data[[#This Row],[YearsAtCompany]]&lt;10,"5-9 Years",
TRUE,"10+ Years"
)</f>
        <v>&lt;2 Years</v>
      </c>
      <c r="AM1260" s="1">
        <f>IF(HR_Data[[#This Row],[Attrition]]="Yes",1,0)</f>
        <v>0</v>
      </c>
    </row>
    <row r="1261" spans="1:39" x14ac:dyDescent="0.3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 cm="1">
        <f t="array" ref="AJ1261">_xlfn.IFS(
HR_Data[[#This Row],[Age]]&lt;25,"Under 25",
HR_Data[[#This Row],[Age]]&lt;35,"25-34",
HR_Data[[#This Row],[Age]]&lt;45,"35-44",
HR_Data[[#This Row],[Age]]&lt;55,"45-54",
TRUE,"55+"
)</f>
        <v>25-34</v>
      </c>
      <c r="AK1261" t="str" cm="1">
        <f t="array" ref="AK1261">_xlfn.IFS(
HR_Data[[#This Row],[MonthlyIncome]]&lt;3000,"&lt;3K",
HR_Data[[#This Row],[MonthlyIncome]]&lt;6000,"3K-6K",
HR_Data[[#This Row],[MonthlyIncome]]&lt;10000,"6K-10K",
TRUE,"10K+"
)</f>
        <v>3K-6K</v>
      </c>
      <c r="AL1261" t="str" cm="1">
        <f t="array" ref="AL1261">_xlfn.IFS(
HR_Data[[#This Row],[YearsAtCompany]]&lt;2,"&lt;2 Years",
HR_Data[[#This Row],[YearsAtCompany]]&lt;5,"2-4 Years",
HR_Data[[#This Row],[YearsAtCompany]]&lt;10,"5-9 Years",
TRUE,"10+ Years"
)</f>
        <v>5-9 Years</v>
      </c>
      <c r="AM1261" s="1">
        <f>IF(HR_Data[[#This Row],[Attrition]]="Yes",1,0)</f>
        <v>0</v>
      </c>
    </row>
    <row r="1262" spans="1:39" x14ac:dyDescent="0.3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 cm="1">
        <f t="array" ref="AJ1262">_xlfn.IFS(
HR_Data[[#This Row],[Age]]&lt;25,"Under 25",
HR_Data[[#This Row],[Age]]&lt;35,"25-34",
HR_Data[[#This Row],[Age]]&lt;45,"35-44",
HR_Data[[#This Row],[Age]]&lt;55,"45-54",
TRUE,"55+"
)</f>
        <v>25-34</v>
      </c>
      <c r="AK1262" t="str" cm="1">
        <f t="array" ref="AK1262">_xlfn.IFS(
HR_Data[[#This Row],[MonthlyIncome]]&lt;3000,"&lt;3K",
HR_Data[[#This Row],[MonthlyIncome]]&lt;6000,"3K-6K",
HR_Data[[#This Row],[MonthlyIncome]]&lt;10000,"6K-10K",
TRUE,"10K+"
)</f>
        <v>&lt;3K</v>
      </c>
      <c r="AL1262" t="str" cm="1">
        <f t="array" ref="AL1262">_xlfn.IFS(
HR_Data[[#This Row],[YearsAtCompany]]&lt;2,"&lt;2 Years",
HR_Data[[#This Row],[YearsAtCompany]]&lt;5,"2-4 Years",
HR_Data[[#This Row],[YearsAtCompany]]&lt;10,"5-9 Years",
TRUE,"10+ Years"
)</f>
        <v>5-9 Years</v>
      </c>
      <c r="AM1262" s="1">
        <f>IF(HR_Data[[#This Row],[Attrition]]="Yes",1,0)</f>
        <v>0</v>
      </c>
    </row>
    <row r="1263" spans="1:39" x14ac:dyDescent="0.3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 cm="1">
        <f t="array" ref="AJ1263">_xlfn.IFS(
HR_Data[[#This Row],[Age]]&lt;25,"Under 25",
HR_Data[[#This Row],[Age]]&lt;35,"25-34",
HR_Data[[#This Row],[Age]]&lt;45,"35-44",
HR_Data[[#This Row],[Age]]&lt;55,"45-54",
TRUE,"55+"
)</f>
        <v>35-44</v>
      </c>
      <c r="AK1263" t="str" cm="1">
        <f t="array" ref="AK1263">_xlfn.IFS(
HR_Data[[#This Row],[MonthlyIncome]]&lt;3000,"&lt;3K",
HR_Data[[#This Row],[MonthlyIncome]]&lt;6000,"3K-6K",
HR_Data[[#This Row],[MonthlyIncome]]&lt;10000,"6K-10K",
TRUE,"10K+"
)</f>
        <v>3K-6K</v>
      </c>
      <c r="AL1263" t="str" cm="1">
        <f t="array" ref="AL1263">_xlfn.IFS(
HR_Data[[#This Row],[YearsAtCompany]]&lt;2,"&lt;2 Years",
HR_Data[[#This Row],[YearsAtCompany]]&lt;5,"2-4 Years",
HR_Data[[#This Row],[YearsAtCompany]]&lt;10,"5-9 Years",
TRUE,"10+ Years"
)</f>
        <v>&lt;2 Years</v>
      </c>
      <c r="AM1263" s="1">
        <f>IF(HR_Data[[#This Row],[Attrition]]="Yes",1,0)</f>
        <v>0</v>
      </c>
    </row>
    <row r="1264" spans="1:39" x14ac:dyDescent="0.3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 cm="1">
        <f t="array" ref="AJ1264">_xlfn.IFS(
HR_Data[[#This Row],[Age]]&lt;25,"Under 25",
HR_Data[[#This Row],[Age]]&lt;35,"25-34",
HR_Data[[#This Row],[Age]]&lt;45,"35-44",
HR_Data[[#This Row],[Age]]&lt;55,"45-54",
TRUE,"55+"
)</f>
        <v>35-44</v>
      </c>
      <c r="AK1264" t="str" cm="1">
        <f t="array" ref="AK1264">_xlfn.IFS(
HR_Data[[#This Row],[MonthlyIncome]]&lt;3000,"&lt;3K",
HR_Data[[#This Row],[MonthlyIncome]]&lt;6000,"3K-6K",
HR_Data[[#This Row],[MonthlyIncome]]&lt;10000,"6K-10K",
TRUE,"10K+"
)</f>
        <v>&lt;3K</v>
      </c>
      <c r="AL1264" t="str" cm="1">
        <f t="array" ref="AL1264">_xlfn.IFS(
HR_Data[[#This Row],[YearsAtCompany]]&lt;2,"&lt;2 Years",
HR_Data[[#This Row],[YearsAtCompany]]&lt;5,"2-4 Years",
HR_Data[[#This Row],[YearsAtCompany]]&lt;10,"5-9 Years",
TRUE,"10+ Years"
)</f>
        <v>&lt;2 Years</v>
      </c>
      <c r="AM1264" s="1">
        <f>IF(HR_Data[[#This Row],[Attrition]]="Yes",1,0)</f>
        <v>1</v>
      </c>
    </row>
    <row r="1265" spans="1:39" x14ac:dyDescent="0.3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 cm="1">
        <f t="array" ref="AJ1265">_xlfn.IFS(
HR_Data[[#This Row],[Age]]&lt;25,"Under 25",
HR_Data[[#This Row],[Age]]&lt;35,"25-34",
HR_Data[[#This Row],[Age]]&lt;45,"35-44",
HR_Data[[#This Row],[Age]]&lt;55,"45-54",
TRUE,"55+"
)</f>
        <v>35-44</v>
      </c>
      <c r="AK1265" t="str" cm="1">
        <f t="array" ref="AK1265">_xlfn.IFS(
HR_Data[[#This Row],[MonthlyIncome]]&lt;3000,"&lt;3K",
HR_Data[[#This Row],[MonthlyIncome]]&lt;6000,"3K-6K",
HR_Data[[#This Row],[MonthlyIncome]]&lt;10000,"6K-10K",
TRUE,"10K+"
)</f>
        <v>&lt;3K</v>
      </c>
      <c r="AL1265" t="str" cm="1">
        <f t="array" ref="AL1265">_xlfn.IFS(
HR_Data[[#This Row],[YearsAtCompany]]&lt;2,"&lt;2 Years",
HR_Data[[#This Row],[YearsAtCompany]]&lt;5,"2-4 Years",
HR_Data[[#This Row],[YearsAtCompany]]&lt;10,"5-9 Years",
TRUE,"10+ Years"
)</f>
        <v>5-9 Years</v>
      </c>
      <c r="AM1265" s="1">
        <f>IF(HR_Data[[#This Row],[Attrition]]="Yes",1,0)</f>
        <v>0</v>
      </c>
    </row>
    <row r="1266" spans="1:39" x14ac:dyDescent="0.3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 cm="1">
        <f t="array" ref="AJ1266">_xlfn.IFS(
HR_Data[[#This Row],[Age]]&lt;25,"Under 25",
HR_Data[[#This Row],[Age]]&lt;35,"25-34",
HR_Data[[#This Row],[Age]]&lt;45,"35-44",
HR_Data[[#This Row],[Age]]&lt;55,"45-54",
TRUE,"55+"
)</f>
        <v>55+</v>
      </c>
      <c r="AK1266" t="str" cm="1">
        <f t="array" ref="AK1266">_xlfn.IFS(
HR_Data[[#This Row],[MonthlyIncome]]&lt;3000,"&lt;3K",
HR_Data[[#This Row],[MonthlyIncome]]&lt;6000,"3K-6K",
HR_Data[[#This Row],[MonthlyIncome]]&lt;10000,"6K-10K",
TRUE,"10K+"
)</f>
        <v>10K+</v>
      </c>
      <c r="AL1266" t="str" cm="1">
        <f t="array" ref="AL1266">_xlfn.IFS(
HR_Data[[#This Row],[YearsAtCompany]]&lt;2,"&lt;2 Years",
HR_Data[[#This Row],[YearsAtCompany]]&lt;5,"2-4 Years",
HR_Data[[#This Row],[YearsAtCompany]]&lt;10,"5-9 Years",
TRUE,"10+ Years"
)</f>
        <v>&lt;2 Years</v>
      </c>
      <c r="AM1266" s="1">
        <f>IF(HR_Data[[#This Row],[Attrition]]="Yes",1,0)</f>
        <v>0</v>
      </c>
    </row>
    <row r="1267" spans="1:39" x14ac:dyDescent="0.3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 cm="1">
        <f t="array" ref="AJ1267">_xlfn.IFS(
HR_Data[[#This Row],[Age]]&lt;25,"Under 25",
HR_Data[[#This Row],[Age]]&lt;35,"25-34",
HR_Data[[#This Row],[Age]]&lt;45,"35-44",
HR_Data[[#This Row],[Age]]&lt;55,"45-54",
TRUE,"55+"
)</f>
        <v>25-34</v>
      </c>
      <c r="AK1267" t="str" cm="1">
        <f t="array" ref="AK1267">_xlfn.IFS(
HR_Data[[#This Row],[MonthlyIncome]]&lt;3000,"&lt;3K",
HR_Data[[#This Row],[MonthlyIncome]]&lt;6000,"3K-6K",
HR_Data[[#This Row],[MonthlyIncome]]&lt;10000,"6K-10K",
TRUE,"10K+"
)</f>
        <v>3K-6K</v>
      </c>
      <c r="AL1267" t="str" cm="1">
        <f t="array" ref="AL1267">_xlfn.IFS(
HR_Data[[#This Row],[YearsAtCompany]]&lt;2,"&lt;2 Years",
HR_Data[[#This Row],[YearsAtCompany]]&lt;5,"2-4 Years",
HR_Data[[#This Row],[YearsAtCompany]]&lt;10,"5-9 Years",
TRUE,"10+ Years"
)</f>
        <v>5-9 Years</v>
      </c>
      <c r="AM1267" s="1">
        <f>IF(HR_Data[[#This Row],[Attrition]]="Yes",1,0)</f>
        <v>0</v>
      </c>
    </row>
    <row r="1268" spans="1:39" x14ac:dyDescent="0.3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 cm="1">
        <f t="array" ref="AJ1268">_xlfn.IFS(
HR_Data[[#This Row],[Age]]&lt;25,"Under 25",
HR_Data[[#This Row],[Age]]&lt;35,"25-34",
HR_Data[[#This Row],[Age]]&lt;45,"35-44",
HR_Data[[#This Row],[Age]]&lt;55,"45-54",
TRUE,"55+"
)</f>
        <v>35-44</v>
      </c>
      <c r="AK1268" t="str" cm="1">
        <f t="array" ref="AK1268">_xlfn.IFS(
HR_Data[[#This Row],[MonthlyIncome]]&lt;3000,"&lt;3K",
HR_Data[[#This Row],[MonthlyIncome]]&lt;6000,"3K-6K",
HR_Data[[#This Row],[MonthlyIncome]]&lt;10000,"6K-10K",
TRUE,"10K+"
)</f>
        <v>&lt;3K</v>
      </c>
      <c r="AL1268" t="str" cm="1">
        <f t="array" ref="AL1268">_xlfn.IFS(
HR_Data[[#This Row],[YearsAtCompany]]&lt;2,"&lt;2 Years",
HR_Data[[#This Row],[YearsAtCompany]]&lt;5,"2-4 Years",
HR_Data[[#This Row],[YearsAtCompany]]&lt;10,"5-9 Years",
TRUE,"10+ Years"
)</f>
        <v>5-9 Years</v>
      </c>
      <c r="AM1268" s="1">
        <f>IF(HR_Data[[#This Row],[Attrition]]="Yes",1,0)</f>
        <v>0</v>
      </c>
    </row>
    <row r="1269" spans="1:39" x14ac:dyDescent="0.3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 cm="1">
        <f t="array" ref="AJ1269">_xlfn.IFS(
HR_Data[[#This Row],[Age]]&lt;25,"Under 25",
HR_Data[[#This Row],[Age]]&lt;35,"25-34",
HR_Data[[#This Row],[Age]]&lt;45,"35-44",
HR_Data[[#This Row],[Age]]&lt;55,"45-54",
TRUE,"55+"
)</f>
        <v>25-34</v>
      </c>
      <c r="AK1269" t="str" cm="1">
        <f t="array" ref="AK1269">_xlfn.IFS(
HR_Data[[#This Row],[MonthlyIncome]]&lt;3000,"&lt;3K",
HR_Data[[#This Row],[MonthlyIncome]]&lt;6000,"3K-6K",
HR_Data[[#This Row],[MonthlyIncome]]&lt;10000,"6K-10K",
TRUE,"10K+"
)</f>
        <v>3K-6K</v>
      </c>
      <c r="AL1269" t="str" cm="1">
        <f t="array" ref="AL1269">_xlfn.IFS(
HR_Data[[#This Row],[YearsAtCompany]]&lt;2,"&lt;2 Years",
HR_Data[[#This Row],[YearsAtCompany]]&lt;5,"2-4 Years",
HR_Data[[#This Row],[YearsAtCompany]]&lt;10,"5-9 Years",
TRUE,"10+ Years"
)</f>
        <v>10+ Years</v>
      </c>
      <c r="AM1269" s="1">
        <f>IF(HR_Data[[#This Row],[Attrition]]="Yes",1,0)</f>
        <v>0</v>
      </c>
    </row>
    <row r="1270" spans="1:39" x14ac:dyDescent="0.3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 cm="1">
        <f t="array" ref="AJ1270">_xlfn.IFS(
HR_Data[[#This Row],[Age]]&lt;25,"Under 25",
HR_Data[[#This Row],[Age]]&lt;35,"25-34",
HR_Data[[#This Row],[Age]]&lt;45,"35-44",
HR_Data[[#This Row],[Age]]&lt;55,"45-54",
TRUE,"55+"
)</f>
        <v>45-54</v>
      </c>
      <c r="AK1270" t="str" cm="1">
        <f t="array" ref="AK1270">_xlfn.IFS(
HR_Data[[#This Row],[MonthlyIncome]]&lt;3000,"&lt;3K",
HR_Data[[#This Row],[MonthlyIncome]]&lt;6000,"3K-6K",
HR_Data[[#This Row],[MonthlyIncome]]&lt;10000,"6K-10K",
TRUE,"10K+"
)</f>
        <v>10K+</v>
      </c>
      <c r="AL1270" t="str" cm="1">
        <f t="array" ref="AL1270">_xlfn.IFS(
HR_Data[[#This Row],[YearsAtCompany]]&lt;2,"&lt;2 Years",
HR_Data[[#This Row],[YearsAtCompany]]&lt;5,"2-4 Years",
HR_Data[[#This Row],[YearsAtCompany]]&lt;10,"5-9 Years",
TRUE,"10+ Years"
)</f>
        <v>2-4 Years</v>
      </c>
      <c r="AM1270" s="1">
        <f>IF(HR_Data[[#This Row],[Attrition]]="Yes",1,0)</f>
        <v>0</v>
      </c>
    </row>
    <row r="1271" spans="1:39" x14ac:dyDescent="0.3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 cm="1">
        <f t="array" ref="AJ1271">_xlfn.IFS(
HR_Data[[#This Row],[Age]]&lt;25,"Under 25",
HR_Data[[#This Row],[Age]]&lt;35,"25-34",
HR_Data[[#This Row],[Age]]&lt;45,"35-44",
HR_Data[[#This Row],[Age]]&lt;55,"45-54",
TRUE,"55+"
)</f>
        <v>35-44</v>
      </c>
      <c r="AK1271" t="str" cm="1">
        <f t="array" ref="AK1271">_xlfn.IFS(
HR_Data[[#This Row],[MonthlyIncome]]&lt;3000,"&lt;3K",
HR_Data[[#This Row],[MonthlyIncome]]&lt;6000,"3K-6K",
HR_Data[[#This Row],[MonthlyIncome]]&lt;10000,"6K-10K",
TRUE,"10K+"
)</f>
        <v>3K-6K</v>
      </c>
      <c r="AL1271" t="str" cm="1">
        <f t="array" ref="AL1271">_xlfn.IFS(
HR_Data[[#This Row],[YearsAtCompany]]&lt;2,"&lt;2 Years",
HR_Data[[#This Row],[YearsAtCompany]]&lt;5,"2-4 Years",
HR_Data[[#This Row],[YearsAtCompany]]&lt;10,"5-9 Years",
TRUE,"10+ Years"
)</f>
        <v>5-9 Years</v>
      </c>
      <c r="AM1271" s="1">
        <f>IF(HR_Data[[#This Row],[Attrition]]="Yes",1,0)</f>
        <v>0</v>
      </c>
    </row>
    <row r="1272" spans="1:39" x14ac:dyDescent="0.3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 cm="1">
        <f t="array" ref="AJ1272">_xlfn.IFS(
HR_Data[[#This Row],[Age]]&lt;25,"Under 25",
HR_Data[[#This Row],[Age]]&lt;35,"25-34",
HR_Data[[#This Row],[Age]]&lt;45,"35-44",
HR_Data[[#This Row],[Age]]&lt;55,"45-54",
TRUE,"55+"
)</f>
        <v>25-34</v>
      </c>
      <c r="AK1272" t="str" cm="1">
        <f t="array" ref="AK1272">_xlfn.IFS(
HR_Data[[#This Row],[MonthlyIncome]]&lt;3000,"&lt;3K",
HR_Data[[#This Row],[MonthlyIncome]]&lt;6000,"3K-6K",
HR_Data[[#This Row],[MonthlyIncome]]&lt;10000,"6K-10K",
TRUE,"10K+"
)</f>
        <v>6K-10K</v>
      </c>
      <c r="AL1272" t="str" cm="1">
        <f t="array" ref="AL1272">_xlfn.IFS(
HR_Data[[#This Row],[YearsAtCompany]]&lt;2,"&lt;2 Years",
HR_Data[[#This Row],[YearsAtCompany]]&lt;5,"2-4 Years",
HR_Data[[#This Row],[YearsAtCompany]]&lt;10,"5-9 Years",
TRUE,"10+ Years"
)</f>
        <v>2-4 Years</v>
      </c>
      <c r="AM1272" s="1">
        <f>IF(HR_Data[[#This Row],[Attrition]]="Yes",1,0)</f>
        <v>0</v>
      </c>
    </row>
    <row r="1273" spans="1:39" x14ac:dyDescent="0.3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 cm="1">
        <f t="array" ref="AJ1273">_xlfn.IFS(
HR_Data[[#This Row],[Age]]&lt;25,"Under 25",
HR_Data[[#This Row],[Age]]&lt;35,"25-34",
HR_Data[[#This Row],[Age]]&lt;45,"35-44",
HR_Data[[#This Row],[Age]]&lt;55,"45-54",
TRUE,"55+"
)</f>
        <v>Under 25</v>
      </c>
      <c r="AK1273" t="str" cm="1">
        <f t="array" ref="AK1273">_xlfn.IFS(
HR_Data[[#This Row],[MonthlyIncome]]&lt;3000,"&lt;3K",
HR_Data[[#This Row],[MonthlyIncome]]&lt;6000,"3K-6K",
HR_Data[[#This Row],[MonthlyIncome]]&lt;10000,"6K-10K",
TRUE,"10K+"
)</f>
        <v>&lt;3K</v>
      </c>
      <c r="AL1273" t="str" cm="1">
        <f t="array" ref="AL1273">_xlfn.IFS(
HR_Data[[#This Row],[YearsAtCompany]]&lt;2,"&lt;2 Years",
HR_Data[[#This Row],[YearsAtCompany]]&lt;5,"2-4 Years",
HR_Data[[#This Row],[YearsAtCompany]]&lt;10,"5-9 Years",
TRUE,"10+ Years"
)</f>
        <v>&lt;2 Years</v>
      </c>
      <c r="AM1273" s="1">
        <f>IF(HR_Data[[#This Row],[Attrition]]="Yes",1,0)</f>
        <v>1</v>
      </c>
    </row>
    <row r="1274" spans="1:39" x14ac:dyDescent="0.3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 cm="1">
        <f t="array" ref="AJ1274">_xlfn.IFS(
HR_Data[[#This Row],[Age]]&lt;25,"Under 25",
HR_Data[[#This Row],[Age]]&lt;35,"25-34",
HR_Data[[#This Row],[Age]]&lt;45,"35-44",
HR_Data[[#This Row],[Age]]&lt;55,"45-54",
TRUE,"55+"
)</f>
        <v>35-44</v>
      </c>
      <c r="AK1274" t="str" cm="1">
        <f t="array" ref="AK1274">_xlfn.IFS(
HR_Data[[#This Row],[MonthlyIncome]]&lt;3000,"&lt;3K",
HR_Data[[#This Row],[MonthlyIncome]]&lt;6000,"3K-6K",
HR_Data[[#This Row],[MonthlyIncome]]&lt;10000,"6K-10K",
TRUE,"10K+"
)</f>
        <v>3K-6K</v>
      </c>
      <c r="AL1274" t="str" cm="1">
        <f t="array" ref="AL1274">_xlfn.IFS(
HR_Data[[#This Row],[YearsAtCompany]]&lt;2,"&lt;2 Years",
HR_Data[[#This Row],[YearsAtCompany]]&lt;5,"2-4 Years",
HR_Data[[#This Row],[YearsAtCompany]]&lt;10,"5-9 Years",
TRUE,"10+ Years"
)</f>
        <v>5-9 Years</v>
      </c>
      <c r="AM1274" s="1">
        <f>IF(HR_Data[[#This Row],[Attrition]]="Yes",1,0)</f>
        <v>0</v>
      </c>
    </row>
    <row r="1275" spans="1:39" x14ac:dyDescent="0.3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 cm="1">
        <f t="array" ref="AJ1275">_xlfn.IFS(
HR_Data[[#This Row],[Age]]&lt;25,"Under 25",
HR_Data[[#This Row],[Age]]&lt;35,"25-34",
HR_Data[[#This Row],[Age]]&lt;45,"35-44",
HR_Data[[#This Row],[Age]]&lt;55,"45-54",
TRUE,"55+"
)</f>
        <v>Under 25</v>
      </c>
      <c r="AK1275" t="str" cm="1">
        <f t="array" ref="AK1275">_xlfn.IFS(
HR_Data[[#This Row],[MonthlyIncome]]&lt;3000,"&lt;3K",
HR_Data[[#This Row],[MonthlyIncome]]&lt;6000,"3K-6K",
HR_Data[[#This Row],[MonthlyIncome]]&lt;10000,"6K-10K",
TRUE,"10K+"
)</f>
        <v>&lt;3K</v>
      </c>
      <c r="AL1275" t="str" cm="1">
        <f t="array" ref="AL1275">_xlfn.IFS(
HR_Data[[#This Row],[YearsAtCompany]]&lt;2,"&lt;2 Years",
HR_Data[[#This Row],[YearsAtCompany]]&lt;5,"2-4 Years",
HR_Data[[#This Row],[YearsAtCompany]]&lt;10,"5-9 Years",
TRUE,"10+ Years"
)</f>
        <v>&lt;2 Years</v>
      </c>
      <c r="AM1275" s="1">
        <f>IF(HR_Data[[#This Row],[Attrition]]="Yes",1,0)</f>
        <v>1</v>
      </c>
    </row>
    <row r="1276" spans="1:39" x14ac:dyDescent="0.3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 cm="1">
        <f t="array" ref="AJ1276">_xlfn.IFS(
HR_Data[[#This Row],[Age]]&lt;25,"Under 25",
HR_Data[[#This Row],[Age]]&lt;35,"25-34",
HR_Data[[#This Row],[Age]]&lt;45,"35-44",
HR_Data[[#This Row],[Age]]&lt;55,"45-54",
TRUE,"55+"
)</f>
        <v>25-34</v>
      </c>
      <c r="AK1276" t="str" cm="1">
        <f t="array" ref="AK1276">_xlfn.IFS(
HR_Data[[#This Row],[MonthlyIncome]]&lt;3000,"&lt;3K",
HR_Data[[#This Row],[MonthlyIncome]]&lt;6000,"3K-6K",
HR_Data[[#This Row],[MonthlyIncome]]&lt;10000,"6K-10K",
TRUE,"10K+"
)</f>
        <v>3K-6K</v>
      </c>
      <c r="AL1276" t="str" cm="1">
        <f t="array" ref="AL1276">_xlfn.IFS(
HR_Data[[#This Row],[YearsAtCompany]]&lt;2,"&lt;2 Years",
HR_Data[[#This Row],[YearsAtCompany]]&lt;5,"2-4 Years",
HR_Data[[#This Row],[YearsAtCompany]]&lt;10,"5-9 Years",
TRUE,"10+ Years"
)</f>
        <v>10+ Years</v>
      </c>
      <c r="AM1276" s="1">
        <f>IF(HR_Data[[#This Row],[Attrition]]="Yes",1,0)</f>
        <v>0</v>
      </c>
    </row>
    <row r="1277" spans="1:39" x14ac:dyDescent="0.3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 cm="1">
        <f t="array" ref="AJ1277">_xlfn.IFS(
HR_Data[[#This Row],[Age]]&lt;25,"Under 25",
HR_Data[[#This Row],[Age]]&lt;35,"25-34",
HR_Data[[#This Row],[Age]]&lt;45,"35-44",
HR_Data[[#This Row],[Age]]&lt;55,"45-54",
TRUE,"55+"
)</f>
        <v>45-54</v>
      </c>
      <c r="AK1277" t="str" cm="1">
        <f t="array" ref="AK1277">_xlfn.IFS(
HR_Data[[#This Row],[MonthlyIncome]]&lt;3000,"&lt;3K",
HR_Data[[#This Row],[MonthlyIncome]]&lt;6000,"3K-6K",
HR_Data[[#This Row],[MonthlyIncome]]&lt;10000,"6K-10K",
TRUE,"10K+"
)</f>
        <v>10K+</v>
      </c>
      <c r="AL1277" t="str" cm="1">
        <f t="array" ref="AL1277">_xlfn.IFS(
HR_Data[[#This Row],[YearsAtCompany]]&lt;2,"&lt;2 Years",
HR_Data[[#This Row],[YearsAtCompany]]&lt;5,"2-4 Years",
HR_Data[[#This Row],[YearsAtCompany]]&lt;10,"5-9 Years",
TRUE,"10+ Years"
)</f>
        <v>2-4 Years</v>
      </c>
      <c r="AM1277" s="1">
        <f>IF(HR_Data[[#This Row],[Attrition]]="Yes",1,0)</f>
        <v>0</v>
      </c>
    </row>
    <row r="1278" spans="1:39" x14ac:dyDescent="0.3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 cm="1">
        <f t="array" ref="AJ1278">_xlfn.IFS(
HR_Data[[#This Row],[Age]]&lt;25,"Under 25",
HR_Data[[#This Row],[Age]]&lt;35,"25-34",
HR_Data[[#This Row],[Age]]&lt;45,"35-44",
HR_Data[[#This Row],[Age]]&lt;55,"45-54",
TRUE,"55+"
)</f>
        <v>35-44</v>
      </c>
      <c r="AK1278" t="str" cm="1">
        <f t="array" ref="AK1278">_xlfn.IFS(
HR_Data[[#This Row],[MonthlyIncome]]&lt;3000,"&lt;3K",
HR_Data[[#This Row],[MonthlyIncome]]&lt;6000,"3K-6K",
HR_Data[[#This Row],[MonthlyIncome]]&lt;10000,"6K-10K",
TRUE,"10K+"
)</f>
        <v>3K-6K</v>
      </c>
      <c r="AL1278" t="str" cm="1">
        <f t="array" ref="AL1278">_xlfn.IFS(
HR_Data[[#This Row],[YearsAtCompany]]&lt;2,"&lt;2 Years",
HR_Data[[#This Row],[YearsAtCompany]]&lt;5,"2-4 Years",
HR_Data[[#This Row],[YearsAtCompany]]&lt;10,"5-9 Years",
TRUE,"10+ Years"
)</f>
        <v>5-9 Years</v>
      </c>
      <c r="AM1278" s="1">
        <f>IF(HR_Data[[#This Row],[Attrition]]="Yes",1,0)</f>
        <v>0</v>
      </c>
    </row>
    <row r="1279" spans="1:39" x14ac:dyDescent="0.3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 cm="1">
        <f t="array" ref="AJ1279">_xlfn.IFS(
HR_Data[[#This Row],[Age]]&lt;25,"Under 25",
HR_Data[[#This Row],[Age]]&lt;35,"25-34",
HR_Data[[#This Row],[Age]]&lt;45,"35-44",
HR_Data[[#This Row],[Age]]&lt;55,"45-54",
TRUE,"55+"
)</f>
        <v>45-54</v>
      </c>
      <c r="AK1279" t="str" cm="1">
        <f t="array" ref="AK1279">_xlfn.IFS(
HR_Data[[#This Row],[MonthlyIncome]]&lt;3000,"&lt;3K",
HR_Data[[#This Row],[MonthlyIncome]]&lt;6000,"3K-6K",
HR_Data[[#This Row],[MonthlyIncome]]&lt;10000,"6K-10K",
TRUE,"10K+"
)</f>
        <v>10K+</v>
      </c>
      <c r="AL1279" t="str" cm="1">
        <f t="array" ref="AL1279">_xlfn.IFS(
HR_Data[[#This Row],[YearsAtCompany]]&lt;2,"&lt;2 Years",
HR_Data[[#This Row],[YearsAtCompany]]&lt;5,"2-4 Years",
HR_Data[[#This Row],[YearsAtCompany]]&lt;10,"5-9 Years",
TRUE,"10+ Years"
)</f>
        <v>2-4 Years</v>
      </c>
      <c r="AM1279" s="1">
        <f>IF(HR_Data[[#This Row],[Attrition]]="Yes",1,0)</f>
        <v>0</v>
      </c>
    </row>
    <row r="1280" spans="1:39" x14ac:dyDescent="0.3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 cm="1">
        <f t="array" ref="AJ1280">_xlfn.IFS(
HR_Data[[#This Row],[Age]]&lt;25,"Under 25",
HR_Data[[#This Row],[Age]]&lt;35,"25-34",
HR_Data[[#This Row],[Age]]&lt;45,"35-44",
HR_Data[[#This Row],[Age]]&lt;55,"45-54",
TRUE,"55+"
)</f>
        <v>35-44</v>
      </c>
      <c r="AK1280" t="str" cm="1">
        <f t="array" ref="AK1280">_xlfn.IFS(
HR_Data[[#This Row],[MonthlyIncome]]&lt;3000,"&lt;3K",
HR_Data[[#This Row],[MonthlyIncome]]&lt;6000,"3K-6K",
HR_Data[[#This Row],[MonthlyIncome]]&lt;10000,"6K-10K",
TRUE,"10K+"
)</f>
        <v>6K-10K</v>
      </c>
      <c r="AL1280" t="str" cm="1">
        <f t="array" ref="AL1280">_xlfn.IFS(
HR_Data[[#This Row],[YearsAtCompany]]&lt;2,"&lt;2 Years",
HR_Data[[#This Row],[YearsAtCompany]]&lt;5,"2-4 Years",
HR_Data[[#This Row],[YearsAtCompany]]&lt;10,"5-9 Years",
TRUE,"10+ Years"
)</f>
        <v>10+ Years</v>
      </c>
      <c r="AM1280" s="1">
        <f>IF(HR_Data[[#This Row],[Attrition]]="Yes",1,0)</f>
        <v>0</v>
      </c>
    </row>
    <row r="1281" spans="1:39" x14ac:dyDescent="0.3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 cm="1">
        <f t="array" ref="AJ1281">_xlfn.IFS(
HR_Data[[#This Row],[Age]]&lt;25,"Under 25",
HR_Data[[#This Row],[Age]]&lt;35,"25-34",
HR_Data[[#This Row],[Age]]&lt;45,"35-44",
HR_Data[[#This Row],[Age]]&lt;55,"45-54",
TRUE,"55+"
)</f>
        <v>35-44</v>
      </c>
      <c r="AK1281" t="str" cm="1">
        <f t="array" ref="AK1281">_xlfn.IFS(
HR_Data[[#This Row],[MonthlyIncome]]&lt;3000,"&lt;3K",
HR_Data[[#This Row],[MonthlyIncome]]&lt;6000,"3K-6K",
HR_Data[[#This Row],[MonthlyIncome]]&lt;10000,"6K-10K",
TRUE,"10K+"
)</f>
        <v>&lt;3K</v>
      </c>
      <c r="AL1281" t="str" cm="1">
        <f t="array" ref="AL1281">_xlfn.IFS(
HR_Data[[#This Row],[YearsAtCompany]]&lt;2,"&lt;2 Years",
HR_Data[[#This Row],[YearsAtCompany]]&lt;5,"2-4 Years",
HR_Data[[#This Row],[YearsAtCompany]]&lt;10,"5-9 Years",
TRUE,"10+ Years"
)</f>
        <v>5-9 Years</v>
      </c>
      <c r="AM1281" s="1">
        <f>IF(HR_Data[[#This Row],[Attrition]]="Yes",1,0)</f>
        <v>1</v>
      </c>
    </row>
    <row r="1282" spans="1:39" x14ac:dyDescent="0.3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 cm="1">
        <f t="array" ref="AJ1282">_xlfn.IFS(
HR_Data[[#This Row],[Age]]&lt;25,"Under 25",
HR_Data[[#This Row],[Age]]&lt;35,"25-34",
HR_Data[[#This Row],[Age]]&lt;45,"35-44",
HR_Data[[#This Row],[Age]]&lt;55,"45-54",
TRUE,"55+"
)</f>
        <v>35-44</v>
      </c>
      <c r="AK1282" t="str" cm="1">
        <f t="array" ref="AK1282">_xlfn.IFS(
HR_Data[[#This Row],[MonthlyIncome]]&lt;3000,"&lt;3K",
HR_Data[[#This Row],[MonthlyIncome]]&lt;6000,"3K-6K",
HR_Data[[#This Row],[MonthlyIncome]]&lt;10000,"6K-10K",
TRUE,"10K+"
)</f>
        <v>3K-6K</v>
      </c>
      <c r="AL1282" t="str" cm="1">
        <f t="array" ref="AL1282">_xlfn.IFS(
HR_Data[[#This Row],[YearsAtCompany]]&lt;2,"&lt;2 Years",
HR_Data[[#This Row],[YearsAtCompany]]&lt;5,"2-4 Years",
HR_Data[[#This Row],[YearsAtCompany]]&lt;10,"5-9 Years",
TRUE,"10+ Years"
)</f>
        <v>10+ Years</v>
      </c>
      <c r="AM1282" s="1">
        <f>IF(HR_Data[[#This Row],[Attrition]]="Yes",1,0)</f>
        <v>0</v>
      </c>
    </row>
    <row r="1283" spans="1:39" x14ac:dyDescent="0.3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 cm="1">
        <f t="array" ref="AJ1283">_xlfn.IFS(
HR_Data[[#This Row],[Age]]&lt;25,"Under 25",
HR_Data[[#This Row],[Age]]&lt;35,"25-34",
HR_Data[[#This Row],[Age]]&lt;45,"35-44",
HR_Data[[#This Row],[Age]]&lt;55,"45-54",
TRUE,"55+"
)</f>
        <v>35-44</v>
      </c>
      <c r="AK1283" t="str" cm="1">
        <f t="array" ref="AK1283">_xlfn.IFS(
HR_Data[[#This Row],[MonthlyIncome]]&lt;3000,"&lt;3K",
HR_Data[[#This Row],[MonthlyIncome]]&lt;6000,"3K-6K",
HR_Data[[#This Row],[MonthlyIncome]]&lt;10000,"6K-10K",
TRUE,"10K+"
)</f>
        <v>3K-6K</v>
      </c>
      <c r="AL1283" t="str" cm="1">
        <f t="array" ref="AL1283">_xlfn.IFS(
HR_Data[[#This Row],[YearsAtCompany]]&lt;2,"&lt;2 Years",
HR_Data[[#This Row],[YearsAtCompany]]&lt;5,"2-4 Years",
HR_Data[[#This Row],[YearsAtCompany]]&lt;10,"5-9 Years",
TRUE,"10+ Years"
)</f>
        <v>10+ Years</v>
      </c>
      <c r="AM1283" s="1">
        <f>IF(HR_Data[[#This Row],[Attrition]]="Yes",1,0)</f>
        <v>1</v>
      </c>
    </row>
    <row r="1284" spans="1:39" x14ac:dyDescent="0.3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 cm="1">
        <f t="array" ref="AJ1284">_xlfn.IFS(
HR_Data[[#This Row],[Age]]&lt;25,"Under 25",
HR_Data[[#This Row],[Age]]&lt;35,"25-34",
HR_Data[[#This Row],[Age]]&lt;45,"35-44",
HR_Data[[#This Row],[Age]]&lt;55,"45-54",
TRUE,"55+"
)</f>
        <v>25-34</v>
      </c>
      <c r="AK1284" t="str" cm="1">
        <f t="array" ref="AK1284">_xlfn.IFS(
HR_Data[[#This Row],[MonthlyIncome]]&lt;3000,"&lt;3K",
HR_Data[[#This Row],[MonthlyIncome]]&lt;6000,"3K-6K",
HR_Data[[#This Row],[MonthlyIncome]]&lt;10000,"6K-10K",
TRUE,"10K+"
)</f>
        <v>3K-6K</v>
      </c>
      <c r="AL1284" t="str" cm="1">
        <f t="array" ref="AL1284">_xlfn.IFS(
HR_Data[[#This Row],[YearsAtCompany]]&lt;2,"&lt;2 Years",
HR_Data[[#This Row],[YearsAtCompany]]&lt;5,"2-4 Years",
HR_Data[[#This Row],[YearsAtCompany]]&lt;10,"5-9 Years",
TRUE,"10+ Years"
)</f>
        <v>10+ Years</v>
      </c>
      <c r="AM1284" s="1">
        <f>IF(HR_Data[[#This Row],[Attrition]]="Yes",1,0)</f>
        <v>0</v>
      </c>
    </row>
    <row r="1285" spans="1:39" x14ac:dyDescent="0.3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 cm="1">
        <f t="array" ref="AJ1285">_xlfn.IFS(
HR_Data[[#This Row],[Age]]&lt;25,"Under 25",
HR_Data[[#This Row],[Age]]&lt;35,"25-34",
HR_Data[[#This Row],[Age]]&lt;45,"35-44",
HR_Data[[#This Row],[Age]]&lt;55,"45-54",
TRUE,"55+"
)</f>
        <v>25-34</v>
      </c>
      <c r="AK1285" t="str" cm="1">
        <f t="array" ref="AK1285">_xlfn.IFS(
HR_Data[[#This Row],[MonthlyIncome]]&lt;3000,"&lt;3K",
HR_Data[[#This Row],[MonthlyIncome]]&lt;6000,"3K-6K",
HR_Data[[#This Row],[MonthlyIncome]]&lt;10000,"6K-10K",
TRUE,"10K+"
)</f>
        <v>&lt;3K</v>
      </c>
      <c r="AL1285" t="str" cm="1">
        <f t="array" ref="AL1285">_xlfn.IFS(
HR_Data[[#This Row],[YearsAtCompany]]&lt;2,"&lt;2 Years",
HR_Data[[#This Row],[YearsAtCompany]]&lt;5,"2-4 Years",
HR_Data[[#This Row],[YearsAtCompany]]&lt;10,"5-9 Years",
TRUE,"10+ Years"
)</f>
        <v>5-9 Years</v>
      </c>
      <c r="AM1285" s="1">
        <f>IF(HR_Data[[#This Row],[Attrition]]="Yes",1,0)</f>
        <v>0</v>
      </c>
    </row>
    <row r="1286" spans="1:39" x14ac:dyDescent="0.3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 cm="1">
        <f t="array" ref="AJ1286">_xlfn.IFS(
HR_Data[[#This Row],[Age]]&lt;25,"Under 25",
HR_Data[[#This Row],[Age]]&lt;35,"25-34",
HR_Data[[#This Row],[Age]]&lt;45,"35-44",
HR_Data[[#This Row],[Age]]&lt;55,"45-54",
TRUE,"55+"
)</f>
        <v>35-44</v>
      </c>
      <c r="AK1286" t="str" cm="1">
        <f t="array" ref="AK1286">_xlfn.IFS(
HR_Data[[#This Row],[MonthlyIncome]]&lt;3000,"&lt;3K",
HR_Data[[#This Row],[MonthlyIncome]]&lt;6000,"3K-6K",
HR_Data[[#This Row],[MonthlyIncome]]&lt;10000,"6K-10K",
TRUE,"10K+"
)</f>
        <v>10K+</v>
      </c>
      <c r="AL1286" t="str" cm="1">
        <f t="array" ref="AL1286">_xlfn.IFS(
HR_Data[[#This Row],[YearsAtCompany]]&lt;2,"&lt;2 Years",
HR_Data[[#This Row],[YearsAtCompany]]&lt;5,"2-4 Years",
HR_Data[[#This Row],[YearsAtCompany]]&lt;10,"5-9 Years",
TRUE,"10+ Years"
)</f>
        <v>2-4 Years</v>
      </c>
      <c r="AM1286" s="1">
        <f>IF(HR_Data[[#This Row],[Attrition]]="Yes",1,0)</f>
        <v>0</v>
      </c>
    </row>
    <row r="1287" spans="1:39" x14ac:dyDescent="0.3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 cm="1">
        <f t="array" ref="AJ1287">_xlfn.IFS(
HR_Data[[#This Row],[Age]]&lt;25,"Under 25",
HR_Data[[#This Row],[Age]]&lt;35,"25-34",
HR_Data[[#This Row],[Age]]&lt;45,"35-44",
HR_Data[[#This Row],[Age]]&lt;55,"45-54",
TRUE,"55+"
)</f>
        <v>45-54</v>
      </c>
      <c r="AK1287" t="str" cm="1">
        <f t="array" ref="AK1287">_xlfn.IFS(
HR_Data[[#This Row],[MonthlyIncome]]&lt;3000,"&lt;3K",
HR_Data[[#This Row],[MonthlyIncome]]&lt;6000,"3K-6K",
HR_Data[[#This Row],[MonthlyIncome]]&lt;10000,"6K-10K",
TRUE,"10K+"
)</f>
        <v>6K-10K</v>
      </c>
      <c r="AL1287" t="str" cm="1">
        <f t="array" ref="AL1287">_xlfn.IFS(
HR_Data[[#This Row],[YearsAtCompany]]&lt;2,"&lt;2 Years",
HR_Data[[#This Row],[YearsAtCompany]]&lt;5,"2-4 Years",
HR_Data[[#This Row],[YearsAtCompany]]&lt;10,"5-9 Years",
TRUE,"10+ Years"
)</f>
        <v>2-4 Years</v>
      </c>
      <c r="AM1287" s="1">
        <f>IF(HR_Data[[#This Row],[Attrition]]="Yes",1,0)</f>
        <v>0</v>
      </c>
    </row>
    <row r="1288" spans="1:39" x14ac:dyDescent="0.3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 cm="1">
        <f t="array" ref="AJ1288">_xlfn.IFS(
HR_Data[[#This Row],[Age]]&lt;25,"Under 25",
HR_Data[[#This Row],[Age]]&lt;35,"25-34",
HR_Data[[#This Row],[Age]]&lt;45,"35-44",
HR_Data[[#This Row],[Age]]&lt;55,"45-54",
TRUE,"55+"
)</f>
        <v>35-44</v>
      </c>
      <c r="AK1288" t="str" cm="1">
        <f t="array" ref="AK1288">_xlfn.IFS(
HR_Data[[#This Row],[MonthlyIncome]]&lt;3000,"&lt;3K",
HR_Data[[#This Row],[MonthlyIncome]]&lt;6000,"3K-6K",
HR_Data[[#This Row],[MonthlyIncome]]&lt;10000,"6K-10K",
TRUE,"10K+"
)</f>
        <v>3K-6K</v>
      </c>
      <c r="AL1288" t="str" cm="1">
        <f t="array" ref="AL1288">_xlfn.IFS(
HR_Data[[#This Row],[YearsAtCompany]]&lt;2,"&lt;2 Years",
HR_Data[[#This Row],[YearsAtCompany]]&lt;5,"2-4 Years",
HR_Data[[#This Row],[YearsAtCompany]]&lt;10,"5-9 Years",
TRUE,"10+ Years"
)</f>
        <v>2-4 Years</v>
      </c>
      <c r="AM1288" s="1">
        <f>IF(HR_Data[[#This Row],[Attrition]]="Yes",1,0)</f>
        <v>0</v>
      </c>
    </row>
    <row r="1289" spans="1:39" x14ac:dyDescent="0.3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 cm="1">
        <f t="array" ref="AJ1289">_xlfn.IFS(
HR_Data[[#This Row],[Age]]&lt;25,"Under 25",
HR_Data[[#This Row],[Age]]&lt;35,"25-34",
HR_Data[[#This Row],[Age]]&lt;45,"35-44",
HR_Data[[#This Row],[Age]]&lt;55,"45-54",
TRUE,"55+"
)</f>
        <v>35-44</v>
      </c>
      <c r="AK1289" t="str" cm="1">
        <f t="array" ref="AK1289">_xlfn.IFS(
HR_Data[[#This Row],[MonthlyIncome]]&lt;3000,"&lt;3K",
HR_Data[[#This Row],[MonthlyIncome]]&lt;6000,"3K-6K",
HR_Data[[#This Row],[MonthlyIncome]]&lt;10000,"6K-10K",
TRUE,"10K+"
)</f>
        <v>3K-6K</v>
      </c>
      <c r="AL1289" t="str" cm="1">
        <f t="array" ref="AL1289">_xlfn.IFS(
HR_Data[[#This Row],[YearsAtCompany]]&lt;2,"&lt;2 Years",
HR_Data[[#This Row],[YearsAtCompany]]&lt;5,"2-4 Years",
HR_Data[[#This Row],[YearsAtCompany]]&lt;10,"5-9 Years",
TRUE,"10+ Years"
)</f>
        <v>&lt;2 Years</v>
      </c>
      <c r="AM1289" s="1">
        <f>IF(HR_Data[[#This Row],[Attrition]]="Yes",1,0)</f>
        <v>0</v>
      </c>
    </row>
    <row r="1290" spans="1:39" x14ac:dyDescent="0.3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 cm="1">
        <f t="array" ref="AJ1290">_xlfn.IFS(
HR_Data[[#This Row],[Age]]&lt;25,"Under 25",
HR_Data[[#This Row],[Age]]&lt;35,"25-34",
HR_Data[[#This Row],[Age]]&lt;45,"35-44",
HR_Data[[#This Row],[Age]]&lt;55,"45-54",
TRUE,"55+"
)</f>
        <v>35-44</v>
      </c>
      <c r="AK1290" t="str" cm="1">
        <f t="array" ref="AK1290">_xlfn.IFS(
HR_Data[[#This Row],[MonthlyIncome]]&lt;3000,"&lt;3K",
HR_Data[[#This Row],[MonthlyIncome]]&lt;6000,"3K-6K",
HR_Data[[#This Row],[MonthlyIncome]]&lt;10000,"6K-10K",
TRUE,"10K+"
)</f>
        <v>3K-6K</v>
      </c>
      <c r="AL1290" t="str" cm="1">
        <f t="array" ref="AL1290">_xlfn.IFS(
HR_Data[[#This Row],[YearsAtCompany]]&lt;2,"&lt;2 Years",
HR_Data[[#This Row],[YearsAtCompany]]&lt;5,"2-4 Years",
HR_Data[[#This Row],[YearsAtCompany]]&lt;10,"5-9 Years",
TRUE,"10+ Years"
)</f>
        <v>5-9 Years</v>
      </c>
      <c r="AM1290" s="1">
        <f>IF(HR_Data[[#This Row],[Attrition]]="Yes",1,0)</f>
        <v>0</v>
      </c>
    </row>
    <row r="1291" spans="1:39" x14ac:dyDescent="0.3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 cm="1">
        <f t="array" ref="AJ1291">_xlfn.IFS(
HR_Data[[#This Row],[Age]]&lt;25,"Under 25",
HR_Data[[#This Row],[Age]]&lt;35,"25-34",
HR_Data[[#This Row],[Age]]&lt;45,"35-44",
HR_Data[[#This Row],[Age]]&lt;55,"45-54",
TRUE,"55+"
)</f>
        <v>35-44</v>
      </c>
      <c r="AK1291" t="str" cm="1">
        <f t="array" ref="AK1291">_xlfn.IFS(
HR_Data[[#This Row],[MonthlyIncome]]&lt;3000,"&lt;3K",
HR_Data[[#This Row],[MonthlyIncome]]&lt;6000,"3K-6K",
HR_Data[[#This Row],[MonthlyIncome]]&lt;10000,"6K-10K",
TRUE,"10K+"
)</f>
        <v>&lt;3K</v>
      </c>
      <c r="AL1291" t="str" cm="1">
        <f t="array" ref="AL1291">_xlfn.IFS(
HR_Data[[#This Row],[YearsAtCompany]]&lt;2,"&lt;2 Years",
HR_Data[[#This Row],[YearsAtCompany]]&lt;5,"2-4 Years",
HR_Data[[#This Row],[YearsAtCompany]]&lt;10,"5-9 Years",
TRUE,"10+ Years"
)</f>
        <v>10+ Years</v>
      </c>
      <c r="AM1291" s="1">
        <f>IF(HR_Data[[#This Row],[Attrition]]="Yes",1,0)</f>
        <v>0</v>
      </c>
    </row>
    <row r="1292" spans="1:39" x14ac:dyDescent="0.3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 cm="1">
        <f t="array" ref="AJ1292">_xlfn.IFS(
HR_Data[[#This Row],[Age]]&lt;25,"Under 25",
HR_Data[[#This Row],[Age]]&lt;35,"25-34",
HR_Data[[#This Row],[Age]]&lt;45,"35-44",
HR_Data[[#This Row],[Age]]&lt;55,"45-54",
TRUE,"55+"
)</f>
        <v>25-34</v>
      </c>
      <c r="AK1292" t="str" cm="1">
        <f t="array" ref="AK1292">_xlfn.IFS(
HR_Data[[#This Row],[MonthlyIncome]]&lt;3000,"&lt;3K",
HR_Data[[#This Row],[MonthlyIncome]]&lt;6000,"3K-6K",
HR_Data[[#This Row],[MonthlyIncome]]&lt;10000,"6K-10K",
TRUE,"10K+"
)</f>
        <v>3K-6K</v>
      </c>
      <c r="AL1292" t="str" cm="1">
        <f t="array" ref="AL1292">_xlfn.IFS(
HR_Data[[#This Row],[YearsAtCompany]]&lt;2,"&lt;2 Years",
HR_Data[[#This Row],[YearsAtCompany]]&lt;5,"2-4 Years",
HR_Data[[#This Row],[YearsAtCompany]]&lt;10,"5-9 Years",
TRUE,"10+ Years"
)</f>
        <v>5-9 Years</v>
      </c>
      <c r="AM1292" s="1">
        <f>IF(HR_Data[[#This Row],[Attrition]]="Yes",1,0)</f>
        <v>1</v>
      </c>
    </row>
    <row r="1293" spans="1:39" x14ac:dyDescent="0.3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 cm="1">
        <f t="array" ref="AJ1293">_xlfn.IFS(
HR_Data[[#This Row],[Age]]&lt;25,"Under 25",
HR_Data[[#This Row],[Age]]&lt;35,"25-34",
HR_Data[[#This Row],[Age]]&lt;45,"35-44",
HR_Data[[#This Row],[Age]]&lt;55,"45-54",
TRUE,"55+"
)</f>
        <v>35-44</v>
      </c>
      <c r="AK1293" t="str" cm="1">
        <f t="array" ref="AK1293">_xlfn.IFS(
HR_Data[[#This Row],[MonthlyIncome]]&lt;3000,"&lt;3K",
HR_Data[[#This Row],[MonthlyIncome]]&lt;6000,"3K-6K",
HR_Data[[#This Row],[MonthlyIncome]]&lt;10000,"6K-10K",
TRUE,"10K+"
)</f>
        <v>3K-6K</v>
      </c>
      <c r="AL1293" t="str" cm="1">
        <f t="array" ref="AL1293">_xlfn.IFS(
HR_Data[[#This Row],[YearsAtCompany]]&lt;2,"&lt;2 Years",
HR_Data[[#This Row],[YearsAtCompany]]&lt;5,"2-4 Years",
HR_Data[[#This Row],[YearsAtCompany]]&lt;10,"5-9 Years",
TRUE,"10+ Years"
)</f>
        <v>10+ Years</v>
      </c>
      <c r="AM1293" s="1">
        <f>IF(HR_Data[[#This Row],[Attrition]]="Yes",1,0)</f>
        <v>1</v>
      </c>
    </row>
    <row r="1294" spans="1:39" x14ac:dyDescent="0.3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 cm="1">
        <f t="array" ref="AJ1294">_xlfn.IFS(
HR_Data[[#This Row],[Age]]&lt;25,"Under 25",
HR_Data[[#This Row],[Age]]&lt;35,"25-34",
HR_Data[[#This Row],[Age]]&lt;45,"35-44",
HR_Data[[#This Row],[Age]]&lt;55,"45-54",
TRUE,"55+"
)</f>
        <v>35-44</v>
      </c>
      <c r="AK1294" t="str" cm="1">
        <f t="array" ref="AK1294">_xlfn.IFS(
HR_Data[[#This Row],[MonthlyIncome]]&lt;3000,"&lt;3K",
HR_Data[[#This Row],[MonthlyIncome]]&lt;6000,"3K-6K",
HR_Data[[#This Row],[MonthlyIncome]]&lt;10000,"6K-10K",
TRUE,"10K+"
)</f>
        <v>3K-6K</v>
      </c>
      <c r="AL1294" t="str" cm="1">
        <f t="array" ref="AL1294">_xlfn.IFS(
HR_Data[[#This Row],[YearsAtCompany]]&lt;2,"&lt;2 Years",
HR_Data[[#This Row],[YearsAtCompany]]&lt;5,"2-4 Years",
HR_Data[[#This Row],[YearsAtCompany]]&lt;10,"5-9 Years",
TRUE,"10+ Years"
)</f>
        <v>2-4 Years</v>
      </c>
      <c r="AM1294" s="1">
        <f>IF(HR_Data[[#This Row],[Attrition]]="Yes",1,0)</f>
        <v>0</v>
      </c>
    </row>
    <row r="1295" spans="1:39" x14ac:dyDescent="0.3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 cm="1">
        <f t="array" ref="AJ1295">_xlfn.IFS(
HR_Data[[#This Row],[Age]]&lt;25,"Under 25",
HR_Data[[#This Row],[Age]]&lt;35,"25-34",
HR_Data[[#This Row],[Age]]&lt;45,"35-44",
HR_Data[[#This Row],[Age]]&lt;55,"45-54",
TRUE,"55+"
)</f>
        <v>35-44</v>
      </c>
      <c r="AK1295" t="str" cm="1">
        <f t="array" ref="AK1295">_xlfn.IFS(
HR_Data[[#This Row],[MonthlyIncome]]&lt;3000,"&lt;3K",
HR_Data[[#This Row],[MonthlyIncome]]&lt;6000,"3K-6K",
HR_Data[[#This Row],[MonthlyIncome]]&lt;10000,"6K-10K",
TRUE,"10K+"
)</f>
        <v>&lt;3K</v>
      </c>
      <c r="AL1295" t="str" cm="1">
        <f t="array" ref="AL1295">_xlfn.IFS(
HR_Data[[#This Row],[YearsAtCompany]]&lt;2,"&lt;2 Years",
HR_Data[[#This Row],[YearsAtCompany]]&lt;5,"2-4 Years",
HR_Data[[#This Row],[YearsAtCompany]]&lt;10,"5-9 Years",
TRUE,"10+ Years"
)</f>
        <v>2-4 Years</v>
      </c>
      <c r="AM1295" s="1">
        <f>IF(HR_Data[[#This Row],[Attrition]]="Yes",1,0)</f>
        <v>0</v>
      </c>
    </row>
    <row r="1296" spans="1:39" x14ac:dyDescent="0.3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 cm="1">
        <f t="array" ref="AJ1296">_xlfn.IFS(
HR_Data[[#This Row],[Age]]&lt;25,"Under 25",
HR_Data[[#This Row],[Age]]&lt;35,"25-34",
HR_Data[[#This Row],[Age]]&lt;45,"35-44",
HR_Data[[#This Row],[Age]]&lt;55,"45-54",
TRUE,"55+"
)</f>
        <v>35-44</v>
      </c>
      <c r="AK1296" t="str" cm="1">
        <f t="array" ref="AK1296">_xlfn.IFS(
HR_Data[[#This Row],[MonthlyIncome]]&lt;3000,"&lt;3K",
HR_Data[[#This Row],[MonthlyIncome]]&lt;6000,"3K-6K",
HR_Data[[#This Row],[MonthlyIncome]]&lt;10000,"6K-10K",
TRUE,"10K+"
)</f>
        <v>6K-10K</v>
      </c>
      <c r="AL1296" t="str" cm="1">
        <f t="array" ref="AL1296">_xlfn.IFS(
HR_Data[[#This Row],[YearsAtCompany]]&lt;2,"&lt;2 Years",
HR_Data[[#This Row],[YearsAtCompany]]&lt;5,"2-4 Years",
HR_Data[[#This Row],[YearsAtCompany]]&lt;10,"5-9 Years",
TRUE,"10+ Years"
)</f>
        <v>2-4 Years</v>
      </c>
      <c r="AM1296" s="1">
        <f>IF(HR_Data[[#This Row],[Attrition]]="Yes",1,0)</f>
        <v>0</v>
      </c>
    </row>
    <row r="1297" spans="1:39" x14ac:dyDescent="0.3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 cm="1">
        <f t="array" ref="AJ1297">_xlfn.IFS(
HR_Data[[#This Row],[Age]]&lt;25,"Under 25",
HR_Data[[#This Row],[Age]]&lt;35,"25-34",
HR_Data[[#This Row],[Age]]&lt;45,"35-44",
HR_Data[[#This Row],[Age]]&lt;55,"45-54",
TRUE,"55+"
)</f>
        <v>35-44</v>
      </c>
      <c r="AK1297" t="str" cm="1">
        <f t="array" ref="AK1297">_xlfn.IFS(
HR_Data[[#This Row],[MonthlyIncome]]&lt;3000,"&lt;3K",
HR_Data[[#This Row],[MonthlyIncome]]&lt;6000,"3K-6K",
HR_Data[[#This Row],[MonthlyIncome]]&lt;10000,"6K-10K",
TRUE,"10K+"
)</f>
        <v>10K+</v>
      </c>
      <c r="AL1297" t="str" cm="1">
        <f t="array" ref="AL1297">_xlfn.IFS(
HR_Data[[#This Row],[YearsAtCompany]]&lt;2,"&lt;2 Years",
HR_Data[[#This Row],[YearsAtCompany]]&lt;5,"2-4 Years",
HR_Data[[#This Row],[YearsAtCompany]]&lt;10,"5-9 Years",
TRUE,"10+ Years"
)</f>
        <v>10+ Years</v>
      </c>
      <c r="AM1297" s="1">
        <f>IF(HR_Data[[#This Row],[Attrition]]="Yes",1,0)</f>
        <v>0</v>
      </c>
    </row>
    <row r="1298" spans="1:39" x14ac:dyDescent="0.3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 cm="1">
        <f t="array" ref="AJ1298">_xlfn.IFS(
HR_Data[[#This Row],[Age]]&lt;25,"Under 25",
HR_Data[[#This Row],[Age]]&lt;35,"25-34",
HR_Data[[#This Row],[Age]]&lt;45,"35-44",
HR_Data[[#This Row],[Age]]&lt;55,"45-54",
TRUE,"55+"
)</f>
        <v>25-34</v>
      </c>
      <c r="AK1298" t="str" cm="1">
        <f t="array" ref="AK1298">_xlfn.IFS(
HR_Data[[#This Row],[MonthlyIncome]]&lt;3000,"&lt;3K",
HR_Data[[#This Row],[MonthlyIncome]]&lt;6000,"3K-6K",
HR_Data[[#This Row],[MonthlyIncome]]&lt;10000,"6K-10K",
TRUE,"10K+"
)</f>
        <v>6K-10K</v>
      </c>
      <c r="AL1298" t="str" cm="1">
        <f t="array" ref="AL1298">_xlfn.IFS(
HR_Data[[#This Row],[YearsAtCompany]]&lt;2,"&lt;2 Years",
HR_Data[[#This Row],[YearsAtCompany]]&lt;5,"2-4 Years",
HR_Data[[#This Row],[YearsAtCompany]]&lt;10,"5-9 Years",
TRUE,"10+ Years"
)</f>
        <v>5-9 Years</v>
      </c>
      <c r="AM1298" s="1">
        <f>IF(HR_Data[[#This Row],[Attrition]]="Yes",1,0)</f>
        <v>0</v>
      </c>
    </row>
    <row r="1299" spans="1:39" x14ac:dyDescent="0.3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 cm="1">
        <f t="array" ref="AJ1299">_xlfn.IFS(
HR_Data[[#This Row],[Age]]&lt;25,"Under 25",
HR_Data[[#This Row],[Age]]&lt;35,"25-34",
HR_Data[[#This Row],[Age]]&lt;45,"35-44",
HR_Data[[#This Row],[Age]]&lt;55,"45-54",
TRUE,"55+"
)</f>
        <v>25-34</v>
      </c>
      <c r="AK1299" t="str" cm="1">
        <f t="array" ref="AK1299">_xlfn.IFS(
HR_Data[[#This Row],[MonthlyIncome]]&lt;3000,"&lt;3K",
HR_Data[[#This Row],[MonthlyIncome]]&lt;6000,"3K-6K",
HR_Data[[#This Row],[MonthlyIncome]]&lt;10000,"6K-10K",
TRUE,"10K+"
)</f>
        <v>&lt;3K</v>
      </c>
      <c r="AL1299" t="str" cm="1">
        <f t="array" ref="AL1299">_xlfn.IFS(
HR_Data[[#This Row],[YearsAtCompany]]&lt;2,"&lt;2 Years",
HR_Data[[#This Row],[YearsAtCompany]]&lt;5,"2-4 Years",
HR_Data[[#This Row],[YearsAtCompany]]&lt;10,"5-9 Years",
TRUE,"10+ Years"
)</f>
        <v>5-9 Years</v>
      </c>
      <c r="AM1299" s="1">
        <f>IF(HR_Data[[#This Row],[Attrition]]="Yes",1,0)</f>
        <v>1</v>
      </c>
    </row>
    <row r="1300" spans="1:39" x14ac:dyDescent="0.3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 cm="1">
        <f t="array" ref="AJ1300">_xlfn.IFS(
HR_Data[[#This Row],[Age]]&lt;25,"Under 25",
HR_Data[[#This Row],[Age]]&lt;35,"25-34",
HR_Data[[#This Row],[Age]]&lt;45,"35-44",
HR_Data[[#This Row],[Age]]&lt;55,"45-54",
TRUE,"55+"
)</f>
        <v>45-54</v>
      </c>
      <c r="AK1300" t="str" cm="1">
        <f t="array" ref="AK1300">_xlfn.IFS(
HR_Data[[#This Row],[MonthlyIncome]]&lt;3000,"&lt;3K",
HR_Data[[#This Row],[MonthlyIncome]]&lt;6000,"3K-6K",
HR_Data[[#This Row],[MonthlyIncome]]&lt;10000,"6K-10K",
TRUE,"10K+"
)</f>
        <v>6K-10K</v>
      </c>
      <c r="AL1300" t="str" cm="1">
        <f t="array" ref="AL1300">_xlfn.IFS(
HR_Data[[#This Row],[YearsAtCompany]]&lt;2,"&lt;2 Years",
HR_Data[[#This Row],[YearsAtCompany]]&lt;5,"2-4 Years",
HR_Data[[#This Row],[YearsAtCompany]]&lt;10,"5-9 Years",
TRUE,"10+ Years"
)</f>
        <v>5-9 Years</v>
      </c>
      <c r="AM1300" s="1">
        <f>IF(HR_Data[[#This Row],[Attrition]]="Yes",1,0)</f>
        <v>1</v>
      </c>
    </row>
    <row r="1301" spans="1:39" x14ac:dyDescent="0.3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 cm="1">
        <f t="array" ref="AJ1301">_xlfn.IFS(
HR_Data[[#This Row],[Age]]&lt;25,"Under 25",
HR_Data[[#This Row],[Age]]&lt;35,"25-34",
HR_Data[[#This Row],[Age]]&lt;45,"35-44",
HR_Data[[#This Row],[Age]]&lt;55,"45-54",
TRUE,"55+"
)</f>
        <v>35-44</v>
      </c>
      <c r="AK1301" t="str" cm="1">
        <f t="array" ref="AK1301">_xlfn.IFS(
HR_Data[[#This Row],[MonthlyIncome]]&lt;3000,"&lt;3K",
HR_Data[[#This Row],[MonthlyIncome]]&lt;6000,"3K-6K",
HR_Data[[#This Row],[MonthlyIncome]]&lt;10000,"6K-10K",
TRUE,"10K+"
)</f>
        <v>6K-10K</v>
      </c>
      <c r="AL1301" t="str" cm="1">
        <f t="array" ref="AL1301">_xlfn.IFS(
HR_Data[[#This Row],[YearsAtCompany]]&lt;2,"&lt;2 Years",
HR_Data[[#This Row],[YearsAtCompany]]&lt;5,"2-4 Years",
HR_Data[[#This Row],[YearsAtCompany]]&lt;10,"5-9 Years",
TRUE,"10+ Years"
)</f>
        <v>5-9 Years</v>
      </c>
      <c r="AM1301" s="1">
        <f>IF(HR_Data[[#This Row],[Attrition]]="Yes",1,0)</f>
        <v>0</v>
      </c>
    </row>
    <row r="1302" spans="1:39" x14ac:dyDescent="0.3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 cm="1">
        <f t="array" ref="AJ1302">_xlfn.IFS(
HR_Data[[#This Row],[Age]]&lt;25,"Under 25",
HR_Data[[#This Row],[Age]]&lt;35,"25-34",
HR_Data[[#This Row],[Age]]&lt;45,"35-44",
HR_Data[[#This Row],[Age]]&lt;55,"45-54",
TRUE,"55+"
)</f>
        <v>25-34</v>
      </c>
      <c r="AK1302" t="str" cm="1">
        <f t="array" ref="AK1302">_xlfn.IFS(
HR_Data[[#This Row],[MonthlyIncome]]&lt;3000,"&lt;3K",
HR_Data[[#This Row],[MonthlyIncome]]&lt;6000,"3K-6K",
HR_Data[[#This Row],[MonthlyIncome]]&lt;10000,"6K-10K",
TRUE,"10K+"
)</f>
        <v>6K-10K</v>
      </c>
      <c r="AL1302" t="str" cm="1">
        <f t="array" ref="AL1302">_xlfn.IFS(
HR_Data[[#This Row],[YearsAtCompany]]&lt;2,"&lt;2 Years",
HR_Data[[#This Row],[YearsAtCompany]]&lt;5,"2-4 Years",
HR_Data[[#This Row],[YearsAtCompany]]&lt;10,"5-9 Years",
TRUE,"10+ Years"
)</f>
        <v>10+ Years</v>
      </c>
      <c r="AM1302" s="1">
        <f>IF(HR_Data[[#This Row],[Attrition]]="Yes",1,0)</f>
        <v>0</v>
      </c>
    </row>
    <row r="1303" spans="1:39" x14ac:dyDescent="0.3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 cm="1">
        <f t="array" ref="AJ1303">_xlfn.IFS(
HR_Data[[#This Row],[Age]]&lt;25,"Under 25",
HR_Data[[#This Row],[Age]]&lt;35,"25-34",
HR_Data[[#This Row],[Age]]&lt;45,"35-44",
HR_Data[[#This Row],[Age]]&lt;55,"45-54",
TRUE,"55+"
)</f>
        <v>55+</v>
      </c>
      <c r="AK1303" t="str" cm="1">
        <f t="array" ref="AK1303">_xlfn.IFS(
HR_Data[[#This Row],[MonthlyIncome]]&lt;3000,"&lt;3K",
HR_Data[[#This Row],[MonthlyIncome]]&lt;6000,"3K-6K",
HR_Data[[#This Row],[MonthlyIncome]]&lt;10000,"6K-10K",
TRUE,"10K+"
)</f>
        <v>10K+</v>
      </c>
      <c r="AL1303" t="str" cm="1">
        <f t="array" ref="AL1303">_xlfn.IFS(
HR_Data[[#This Row],[YearsAtCompany]]&lt;2,"&lt;2 Years",
HR_Data[[#This Row],[YearsAtCompany]]&lt;5,"2-4 Years",
HR_Data[[#This Row],[YearsAtCompany]]&lt;10,"5-9 Years",
TRUE,"10+ Years"
)</f>
        <v>10+ Years</v>
      </c>
      <c r="AM1303" s="1">
        <f>IF(HR_Data[[#This Row],[Attrition]]="Yes",1,0)</f>
        <v>0</v>
      </c>
    </row>
    <row r="1304" spans="1:39" x14ac:dyDescent="0.3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 cm="1">
        <f t="array" ref="AJ1304">_xlfn.IFS(
HR_Data[[#This Row],[Age]]&lt;25,"Under 25",
HR_Data[[#This Row],[Age]]&lt;35,"25-34",
HR_Data[[#This Row],[Age]]&lt;45,"35-44",
HR_Data[[#This Row],[Age]]&lt;55,"45-54",
TRUE,"55+"
)</f>
        <v>35-44</v>
      </c>
      <c r="AK1304" t="str" cm="1">
        <f t="array" ref="AK1304">_xlfn.IFS(
HR_Data[[#This Row],[MonthlyIncome]]&lt;3000,"&lt;3K",
HR_Data[[#This Row],[MonthlyIncome]]&lt;6000,"3K-6K",
HR_Data[[#This Row],[MonthlyIncome]]&lt;10000,"6K-10K",
TRUE,"10K+"
)</f>
        <v>&lt;3K</v>
      </c>
      <c r="AL1304" t="str" cm="1">
        <f t="array" ref="AL1304">_xlfn.IFS(
HR_Data[[#This Row],[YearsAtCompany]]&lt;2,"&lt;2 Years",
HR_Data[[#This Row],[YearsAtCompany]]&lt;5,"2-4 Years",
HR_Data[[#This Row],[YearsAtCompany]]&lt;10,"5-9 Years",
TRUE,"10+ Years"
)</f>
        <v>5-9 Years</v>
      </c>
      <c r="AM1304" s="1">
        <f>IF(HR_Data[[#This Row],[Attrition]]="Yes",1,0)</f>
        <v>0</v>
      </c>
    </row>
    <row r="1305" spans="1:39" x14ac:dyDescent="0.3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 cm="1">
        <f t="array" ref="AJ1305">_xlfn.IFS(
HR_Data[[#This Row],[Age]]&lt;25,"Under 25",
HR_Data[[#This Row],[Age]]&lt;35,"25-34",
HR_Data[[#This Row],[Age]]&lt;45,"35-44",
HR_Data[[#This Row],[Age]]&lt;55,"45-54",
TRUE,"55+"
)</f>
        <v>45-54</v>
      </c>
      <c r="AK1305" t="str" cm="1">
        <f t="array" ref="AK1305">_xlfn.IFS(
HR_Data[[#This Row],[MonthlyIncome]]&lt;3000,"&lt;3K",
HR_Data[[#This Row],[MonthlyIncome]]&lt;6000,"3K-6K",
HR_Data[[#This Row],[MonthlyIncome]]&lt;10000,"6K-10K",
TRUE,"10K+"
)</f>
        <v>10K+</v>
      </c>
      <c r="AL1305" t="str" cm="1">
        <f t="array" ref="AL1305">_xlfn.IFS(
HR_Data[[#This Row],[YearsAtCompany]]&lt;2,"&lt;2 Years",
HR_Data[[#This Row],[YearsAtCompany]]&lt;5,"2-4 Years",
HR_Data[[#This Row],[YearsAtCompany]]&lt;10,"5-9 Years",
TRUE,"10+ Years"
)</f>
        <v>10+ Years</v>
      </c>
      <c r="AM1305" s="1">
        <f>IF(HR_Data[[#This Row],[Attrition]]="Yes",1,0)</f>
        <v>0</v>
      </c>
    </row>
    <row r="1306" spans="1:39" x14ac:dyDescent="0.3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 cm="1">
        <f t="array" ref="AJ1306">_xlfn.IFS(
HR_Data[[#This Row],[Age]]&lt;25,"Under 25",
HR_Data[[#This Row],[Age]]&lt;35,"25-34",
HR_Data[[#This Row],[Age]]&lt;45,"35-44",
HR_Data[[#This Row],[Age]]&lt;55,"45-54",
TRUE,"55+"
)</f>
        <v>35-44</v>
      </c>
      <c r="AK1306" t="str" cm="1">
        <f t="array" ref="AK1306">_xlfn.IFS(
HR_Data[[#This Row],[MonthlyIncome]]&lt;3000,"&lt;3K",
HR_Data[[#This Row],[MonthlyIncome]]&lt;6000,"3K-6K",
HR_Data[[#This Row],[MonthlyIncome]]&lt;10000,"6K-10K",
TRUE,"10K+"
)</f>
        <v>3K-6K</v>
      </c>
      <c r="AL1306" t="str" cm="1">
        <f t="array" ref="AL1306">_xlfn.IFS(
HR_Data[[#This Row],[YearsAtCompany]]&lt;2,"&lt;2 Years",
HR_Data[[#This Row],[YearsAtCompany]]&lt;5,"2-4 Years",
HR_Data[[#This Row],[YearsAtCompany]]&lt;10,"5-9 Years",
TRUE,"10+ Years"
)</f>
        <v>5-9 Years</v>
      </c>
      <c r="AM1306" s="1">
        <f>IF(HR_Data[[#This Row],[Attrition]]="Yes",1,0)</f>
        <v>0</v>
      </c>
    </row>
    <row r="1307" spans="1:39" x14ac:dyDescent="0.3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 cm="1">
        <f t="array" ref="AJ1307">_xlfn.IFS(
HR_Data[[#This Row],[Age]]&lt;25,"Under 25",
HR_Data[[#This Row],[Age]]&lt;35,"25-34",
HR_Data[[#This Row],[Age]]&lt;45,"35-44",
HR_Data[[#This Row],[Age]]&lt;55,"45-54",
TRUE,"55+"
)</f>
        <v>45-54</v>
      </c>
      <c r="AK1307" t="str" cm="1">
        <f t="array" ref="AK1307">_xlfn.IFS(
HR_Data[[#This Row],[MonthlyIncome]]&lt;3000,"&lt;3K",
HR_Data[[#This Row],[MonthlyIncome]]&lt;6000,"3K-6K",
HR_Data[[#This Row],[MonthlyIncome]]&lt;10000,"6K-10K",
TRUE,"10K+"
)</f>
        <v>6K-10K</v>
      </c>
      <c r="AL1307" t="str" cm="1">
        <f t="array" ref="AL1307">_xlfn.IFS(
HR_Data[[#This Row],[YearsAtCompany]]&lt;2,"&lt;2 Years",
HR_Data[[#This Row],[YearsAtCompany]]&lt;5,"2-4 Years",
HR_Data[[#This Row],[YearsAtCompany]]&lt;10,"5-9 Years",
TRUE,"10+ Years"
)</f>
        <v>5-9 Years</v>
      </c>
      <c r="AM1307" s="1">
        <f>IF(HR_Data[[#This Row],[Attrition]]="Yes",1,0)</f>
        <v>0</v>
      </c>
    </row>
    <row r="1308" spans="1:39" x14ac:dyDescent="0.3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 cm="1">
        <f t="array" ref="AJ1308">_xlfn.IFS(
HR_Data[[#This Row],[Age]]&lt;25,"Under 25",
HR_Data[[#This Row],[Age]]&lt;35,"25-34",
HR_Data[[#This Row],[Age]]&lt;45,"35-44",
HR_Data[[#This Row],[Age]]&lt;55,"45-54",
TRUE,"55+"
)</f>
        <v>25-34</v>
      </c>
      <c r="AK1308" t="str" cm="1">
        <f t="array" ref="AK1308">_xlfn.IFS(
HR_Data[[#This Row],[MonthlyIncome]]&lt;3000,"&lt;3K",
HR_Data[[#This Row],[MonthlyIncome]]&lt;6000,"3K-6K",
HR_Data[[#This Row],[MonthlyIncome]]&lt;10000,"6K-10K",
TRUE,"10K+"
)</f>
        <v>6K-10K</v>
      </c>
      <c r="AL1308" t="str" cm="1">
        <f t="array" ref="AL1308">_xlfn.IFS(
HR_Data[[#This Row],[YearsAtCompany]]&lt;2,"&lt;2 Years",
HR_Data[[#This Row],[YearsAtCompany]]&lt;5,"2-4 Years",
HR_Data[[#This Row],[YearsAtCompany]]&lt;10,"5-9 Years",
TRUE,"10+ Years"
)</f>
        <v>2-4 Years</v>
      </c>
      <c r="AM1308" s="1">
        <f>IF(HR_Data[[#This Row],[Attrition]]="Yes",1,0)</f>
        <v>0</v>
      </c>
    </row>
    <row r="1309" spans="1:39" x14ac:dyDescent="0.3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 cm="1">
        <f t="array" ref="AJ1309">_xlfn.IFS(
HR_Data[[#This Row],[Age]]&lt;25,"Under 25",
HR_Data[[#This Row],[Age]]&lt;35,"25-34",
HR_Data[[#This Row],[Age]]&lt;45,"35-44",
HR_Data[[#This Row],[Age]]&lt;55,"45-54",
TRUE,"55+"
)</f>
        <v>25-34</v>
      </c>
      <c r="AK1309" t="str" cm="1">
        <f t="array" ref="AK1309">_xlfn.IFS(
HR_Data[[#This Row],[MonthlyIncome]]&lt;3000,"&lt;3K",
HR_Data[[#This Row],[MonthlyIncome]]&lt;6000,"3K-6K",
HR_Data[[#This Row],[MonthlyIncome]]&lt;10000,"6K-10K",
TRUE,"10K+"
)</f>
        <v>3K-6K</v>
      </c>
      <c r="AL1309" t="str" cm="1">
        <f t="array" ref="AL1309">_xlfn.IFS(
HR_Data[[#This Row],[YearsAtCompany]]&lt;2,"&lt;2 Years",
HR_Data[[#This Row],[YearsAtCompany]]&lt;5,"2-4 Years",
HR_Data[[#This Row],[YearsAtCompany]]&lt;10,"5-9 Years",
TRUE,"10+ Years"
)</f>
        <v>2-4 Years</v>
      </c>
      <c r="AM1309" s="1">
        <f>IF(HR_Data[[#This Row],[Attrition]]="Yes",1,0)</f>
        <v>0</v>
      </c>
    </row>
    <row r="1310" spans="1:39" x14ac:dyDescent="0.3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 cm="1">
        <f t="array" ref="AJ1310">_xlfn.IFS(
HR_Data[[#This Row],[Age]]&lt;25,"Under 25",
HR_Data[[#This Row],[Age]]&lt;35,"25-34",
HR_Data[[#This Row],[Age]]&lt;45,"35-44",
HR_Data[[#This Row],[Age]]&lt;55,"45-54",
TRUE,"55+"
)</f>
        <v>35-44</v>
      </c>
      <c r="AK1310" t="str" cm="1">
        <f t="array" ref="AK1310">_xlfn.IFS(
HR_Data[[#This Row],[MonthlyIncome]]&lt;3000,"&lt;3K",
HR_Data[[#This Row],[MonthlyIncome]]&lt;6000,"3K-6K",
HR_Data[[#This Row],[MonthlyIncome]]&lt;10000,"6K-10K",
TRUE,"10K+"
)</f>
        <v>3K-6K</v>
      </c>
      <c r="AL1310" t="str" cm="1">
        <f t="array" ref="AL1310">_xlfn.IFS(
HR_Data[[#This Row],[YearsAtCompany]]&lt;2,"&lt;2 Years",
HR_Data[[#This Row],[YearsAtCompany]]&lt;5,"2-4 Years",
HR_Data[[#This Row],[YearsAtCompany]]&lt;10,"5-9 Years",
TRUE,"10+ Years"
)</f>
        <v>2-4 Years</v>
      </c>
      <c r="AM1310" s="1">
        <f>IF(HR_Data[[#This Row],[Attrition]]="Yes",1,0)</f>
        <v>0</v>
      </c>
    </row>
    <row r="1311" spans="1:39" x14ac:dyDescent="0.3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 cm="1">
        <f t="array" ref="AJ1311">_xlfn.IFS(
HR_Data[[#This Row],[Age]]&lt;25,"Under 25",
HR_Data[[#This Row],[Age]]&lt;35,"25-34",
HR_Data[[#This Row],[Age]]&lt;45,"35-44",
HR_Data[[#This Row],[Age]]&lt;55,"45-54",
TRUE,"55+"
)</f>
        <v>25-34</v>
      </c>
      <c r="AK1311" t="str" cm="1">
        <f t="array" ref="AK1311">_xlfn.IFS(
HR_Data[[#This Row],[MonthlyIncome]]&lt;3000,"&lt;3K",
HR_Data[[#This Row],[MonthlyIncome]]&lt;6000,"3K-6K",
HR_Data[[#This Row],[MonthlyIncome]]&lt;10000,"6K-10K",
TRUE,"10K+"
)</f>
        <v>3K-6K</v>
      </c>
      <c r="AL1311" t="str" cm="1">
        <f t="array" ref="AL1311">_xlfn.IFS(
HR_Data[[#This Row],[YearsAtCompany]]&lt;2,"&lt;2 Years",
HR_Data[[#This Row],[YearsAtCompany]]&lt;5,"2-4 Years",
HR_Data[[#This Row],[YearsAtCompany]]&lt;10,"5-9 Years",
TRUE,"10+ Years"
)</f>
        <v>5-9 Years</v>
      </c>
      <c r="AM1311" s="1">
        <f>IF(HR_Data[[#This Row],[Attrition]]="Yes",1,0)</f>
        <v>0</v>
      </c>
    </row>
    <row r="1312" spans="1:39" x14ac:dyDescent="0.3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 cm="1">
        <f t="array" ref="AJ1312">_xlfn.IFS(
HR_Data[[#This Row],[Age]]&lt;25,"Under 25",
HR_Data[[#This Row],[Age]]&lt;35,"25-34",
HR_Data[[#This Row],[Age]]&lt;45,"35-44",
HR_Data[[#This Row],[Age]]&lt;55,"45-54",
TRUE,"55+"
)</f>
        <v>55+</v>
      </c>
      <c r="AK1312" t="str" cm="1">
        <f t="array" ref="AK1312">_xlfn.IFS(
HR_Data[[#This Row],[MonthlyIncome]]&lt;3000,"&lt;3K",
HR_Data[[#This Row],[MonthlyIncome]]&lt;6000,"3K-6K",
HR_Data[[#This Row],[MonthlyIncome]]&lt;10000,"6K-10K",
TRUE,"10K+"
)</f>
        <v>10K+</v>
      </c>
      <c r="AL1312" t="str" cm="1">
        <f t="array" ref="AL1312">_xlfn.IFS(
HR_Data[[#This Row],[YearsAtCompany]]&lt;2,"&lt;2 Years",
HR_Data[[#This Row],[YearsAtCompany]]&lt;5,"2-4 Years",
HR_Data[[#This Row],[YearsAtCompany]]&lt;10,"5-9 Years",
TRUE,"10+ Years"
)</f>
        <v>2-4 Years</v>
      </c>
      <c r="AM1312" s="1">
        <f>IF(HR_Data[[#This Row],[Attrition]]="Yes",1,0)</f>
        <v>0</v>
      </c>
    </row>
    <row r="1313" spans="1:39" x14ac:dyDescent="0.3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 cm="1">
        <f t="array" ref="AJ1313">_xlfn.IFS(
HR_Data[[#This Row],[Age]]&lt;25,"Under 25",
HR_Data[[#This Row],[Age]]&lt;35,"25-34",
HR_Data[[#This Row],[Age]]&lt;45,"35-44",
HR_Data[[#This Row],[Age]]&lt;55,"45-54",
TRUE,"55+"
)</f>
        <v>Under 25</v>
      </c>
      <c r="AK1313" t="str" cm="1">
        <f t="array" ref="AK1313">_xlfn.IFS(
HR_Data[[#This Row],[MonthlyIncome]]&lt;3000,"&lt;3K",
HR_Data[[#This Row],[MonthlyIncome]]&lt;6000,"3K-6K",
HR_Data[[#This Row],[MonthlyIncome]]&lt;10000,"6K-10K",
TRUE,"10K+"
)</f>
        <v>&lt;3K</v>
      </c>
      <c r="AL1313" t="str" cm="1">
        <f t="array" ref="AL1313">_xlfn.IFS(
HR_Data[[#This Row],[YearsAtCompany]]&lt;2,"&lt;2 Years",
HR_Data[[#This Row],[YearsAtCompany]]&lt;5,"2-4 Years",
HR_Data[[#This Row],[YearsAtCompany]]&lt;10,"5-9 Years",
TRUE,"10+ Years"
)</f>
        <v>&lt;2 Years</v>
      </c>
      <c r="AM1313" s="1">
        <f>IF(HR_Data[[#This Row],[Attrition]]="Yes",1,0)</f>
        <v>0</v>
      </c>
    </row>
    <row r="1314" spans="1:39" x14ac:dyDescent="0.3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 cm="1">
        <f t="array" ref="AJ1314">_xlfn.IFS(
HR_Data[[#This Row],[Age]]&lt;25,"Under 25",
HR_Data[[#This Row],[Age]]&lt;35,"25-34",
HR_Data[[#This Row],[Age]]&lt;45,"35-44",
HR_Data[[#This Row],[Age]]&lt;55,"45-54",
TRUE,"55+"
)</f>
        <v>25-34</v>
      </c>
      <c r="AK1314" t="str" cm="1">
        <f t="array" ref="AK1314">_xlfn.IFS(
HR_Data[[#This Row],[MonthlyIncome]]&lt;3000,"&lt;3K",
HR_Data[[#This Row],[MonthlyIncome]]&lt;6000,"3K-6K",
HR_Data[[#This Row],[MonthlyIncome]]&lt;10000,"6K-10K",
TRUE,"10K+"
)</f>
        <v>&lt;3K</v>
      </c>
      <c r="AL1314" t="str" cm="1">
        <f t="array" ref="AL1314">_xlfn.IFS(
HR_Data[[#This Row],[YearsAtCompany]]&lt;2,"&lt;2 Years",
HR_Data[[#This Row],[YearsAtCompany]]&lt;5,"2-4 Years",
HR_Data[[#This Row],[YearsAtCompany]]&lt;10,"5-9 Years",
TRUE,"10+ Years"
)</f>
        <v>&lt;2 Years</v>
      </c>
      <c r="AM1314" s="1">
        <f>IF(HR_Data[[#This Row],[Attrition]]="Yes",1,0)</f>
        <v>1</v>
      </c>
    </row>
    <row r="1315" spans="1:39" x14ac:dyDescent="0.3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 cm="1">
        <f t="array" ref="AJ1315">_xlfn.IFS(
HR_Data[[#This Row],[Age]]&lt;25,"Under 25",
HR_Data[[#This Row],[Age]]&lt;35,"25-34",
HR_Data[[#This Row],[Age]]&lt;45,"35-44",
HR_Data[[#This Row],[Age]]&lt;55,"45-54",
TRUE,"55+"
)</f>
        <v>25-34</v>
      </c>
      <c r="AK1315" t="str" cm="1">
        <f t="array" ref="AK1315">_xlfn.IFS(
HR_Data[[#This Row],[MonthlyIncome]]&lt;3000,"&lt;3K",
HR_Data[[#This Row],[MonthlyIncome]]&lt;6000,"3K-6K",
HR_Data[[#This Row],[MonthlyIncome]]&lt;10000,"6K-10K",
TRUE,"10K+"
)</f>
        <v>&lt;3K</v>
      </c>
      <c r="AL1315" t="str" cm="1">
        <f t="array" ref="AL1315">_xlfn.IFS(
HR_Data[[#This Row],[YearsAtCompany]]&lt;2,"&lt;2 Years",
HR_Data[[#This Row],[YearsAtCompany]]&lt;5,"2-4 Years",
HR_Data[[#This Row],[YearsAtCompany]]&lt;10,"5-9 Years",
TRUE,"10+ Years"
)</f>
        <v>2-4 Years</v>
      </c>
      <c r="AM1315" s="1">
        <f>IF(HR_Data[[#This Row],[Attrition]]="Yes",1,0)</f>
        <v>1</v>
      </c>
    </row>
    <row r="1316" spans="1:39" x14ac:dyDescent="0.3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 cm="1">
        <f t="array" ref="AJ1316">_xlfn.IFS(
HR_Data[[#This Row],[Age]]&lt;25,"Under 25",
HR_Data[[#This Row],[Age]]&lt;35,"25-34",
HR_Data[[#This Row],[Age]]&lt;45,"35-44",
HR_Data[[#This Row],[Age]]&lt;55,"45-54",
TRUE,"55+"
)</f>
        <v>45-54</v>
      </c>
      <c r="AK1316" t="str" cm="1">
        <f t="array" ref="AK1316">_xlfn.IFS(
HR_Data[[#This Row],[MonthlyIncome]]&lt;3000,"&lt;3K",
HR_Data[[#This Row],[MonthlyIncome]]&lt;6000,"3K-6K",
HR_Data[[#This Row],[MonthlyIncome]]&lt;10000,"6K-10K",
TRUE,"10K+"
)</f>
        <v>3K-6K</v>
      </c>
      <c r="AL1316" t="str" cm="1">
        <f t="array" ref="AL1316">_xlfn.IFS(
HR_Data[[#This Row],[YearsAtCompany]]&lt;2,"&lt;2 Years",
HR_Data[[#This Row],[YearsAtCompany]]&lt;5,"2-4 Years",
HR_Data[[#This Row],[YearsAtCompany]]&lt;10,"5-9 Years",
TRUE,"10+ Years"
)</f>
        <v>5-9 Years</v>
      </c>
      <c r="AM1316" s="1">
        <f>IF(HR_Data[[#This Row],[Attrition]]="Yes",1,0)</f>
        <v>0</v>
      </c>
    </row>
    <row r="1317" spans="1:39" x14ac:dyDescent="0.3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 cm="1">
        <f t="array" ref="AJ1317">_xlfn.IFS(
HR_Data[[#This Row],[Age]]&lt;25,"Under 25",
HR_Data[[#This Row],[Age]]&lt;35,"25-34",
HR_Data[[#This Row],[Age]]&lt;45,"35-44",
HR_Data[[#This Row],[Age]]&lt;55,"45-54",
TRUE,"55+"
)</f>
        <v>35-44</v>
      </c>
      <c r="AK1317" t="str" cm="1">
        <f t="array" ref="AK1317">_xlfn.IFS(
HR_Data[[#This Row],[MonthlyIncome]]&lt;3000,"&lt;3K",
HR_Data[[#This Row],[MonthlyIncome]]&lt;6000,"3K-6K",
HR_Data[[#This Row],[MonthlyIncome]]&lt;10000,"6K-10K",
TRUE,"10K+"
)</f>
        <v>6K-10K</v>
      </c>
      <c r="AL1317" t="str" cm="1">
        <f t="array" ref="AL1317">_xlfn.IFS(
HR_Data[[#This Row],[YearsAtCompany]]&lt;2,"&lt;2 Years",
HR_Data[[#This Row],[YearsAtCompany]]&lt;5,"2-4 Years",
HR_Data[[#This Row],[YearsAtCompany]]&lt;10,"5-9 Years",
TRUE,"10+ Years"
)</f>
        <v>&lt;2 Years</v>
      </c>
      <c r="AM1317" s="1">
        <f>IF(HR_Data[[#This Row],[Attrition]]="Yes",1,0)</f>
        <v>0</v>
      </c>
    </row>
    <row r="1318" spans="1:39" x14ac:dyDescent="0.3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 cm="1">
        <f t="array" ref="AJ1318">_xlfn.IFS(
HR_Data[[#This Row],[Age]]&lt;25,"Under 25",
HR_Data[[#This Row],[Age]]&lt;35,"25-34",
HR_Data[[#This Row],[Age]]&lt;45,"35-44",
HR_Data[[#This Row],[Age]]&lt;55,"45-54",
TRUE,"55+"
)</f>
        <v>35-44</v>
      </c>
      <c r="AK1318" t="str" cm="1">
        <f t="array" ref="AK1318">_xlfn.IFS(
HR_Data[[#This Row],[MonthlyIncome]]&lt;3000,"&lt;3K",
HR_Data[[#This Row],[MonthlyIncome]]&lt;6000,"3K-6K",
HR_Data[[#This Row],[MonthlyIncome]]&lt;10000,"6K-10K",
TRUE,"10K+"
)</f>
        <v>3K-6K</v>
      </c>
      <c r="AL1318" t="str" cm="1">
        <f t="array" ref="AL1318">_xlfn.IFS(
HR_Data[[#This Row],[YearsAtCompany]]&lt;2,"&lt;2 Years",
HR_Data[[#This Row],[YearsAtCompany]]&lt;5,"2-4 Years",
HR_Data[[#This Row],[YearsAtCompany]]&lt;10,"5-9 Years",
TRUE,"10+ Years"
)</f>
        <v>5-9 Years</v>
      </c>
      <c r="AM1318" s="1">
        <f>IF(HR_Data[[#This Row],[Attrition]]="Yes",1,0)</f>
        <v>0</v>
      </c>
    </row>
    <row r="1319" spans="1:39" x14ac:dyDescent="0.3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 cm="1">
        <f t="array" ref="AJ1319">_xlfn.IFS(
HR_Data[[#This Row],[Age]]&lt;25,"Under 25",
HR_Data[[#This Row],[Age]]&lt;35,"25-34",
HR_Data[[#This Row],[Age]]&lt;45,"35-44",
HR_Data[[#This Row],[Age]]&lt;55,"45-54",
TRUE,"55+"
)</f>
        <v>25-34</v>
      </c>
      <c r="AK1319" t="str" cm="1">
        <f t="array" ref="AK1319">_xlfn.IFS(
HR_Data[[#This Row],[MonthlyIncome]]&lt;3000,"&lt;3K",
HR_Data[[#This Row],[MonthlyIncome]]&lt;6000,"3K-6K",
HR_Data[[#This Row],[MonthlyIncome]]&lt;10000,"6K-10K",
TRUE,"10K+"
)</f>
        <v>&lt;3K</v>
      </c>
      <c r="AL1319" t="str" cm="1">
        <f t="array" ref="AL1319">_xlfn.IFS(
HR_Data[[#This Row],[YearsAtCompany]]&lt;2,"&lt;2 Years",
HR_Data[[#This Row],[YearsAtCompany]]&lt;5,"2-4 Years",
HR_Data[[#This Row],[YearsAtCompany]]&lt;10,"5-9 Years",
TRUE,"10+ Years"
)</f>
        <v>5-9 Years</v>
      </c>
      <c r="AM1319" s="1">
        <f>IF(HR_Data[[#This Row],[Attrition]]="Yes",1,0)</f>
        <v>0</v>
      </c>
    </row>
    <row r="1320" spans="1:39" x14ac:dyDescent="0.3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 cm="1">
        <f t="array" ref="AJ1320">_xlfn.IFS(
HR_Data[[#This Row],[Age]]&lt;25,"Under 25",
HR_Data[[#This Row],[Age]]&lt;35,"25-34",
HR_Data[[#This Row],[Age]]&lt;45,"35-44",
HR_Data[[#This Row],[Age]]&lt;55,"45-54",
TRUE,"55+"
)</f>
        <v>25-34</v>
      </c>
      <c r="AK1320" t="str" cm="1">
        <f t="array" ref="AK1320">_xlfn.IFS(
HR_Data[[#This Row],[MonthlyIncome]]&lt;3000,"&lt;3K",
HR_Data[[#This Row],[MonthlyIncome]]&lt;6000,"3K-6K",
HR_Data[[#This Row],[MonthlyIncome]]&lt;10000,"6K-10K",
TRUE,"10K+"
)</f>
        <v>3K-6K</v>
      </c>
      <c r="AL1320" t="str" cm="1">
        <f t="array" ref="AL1320">_xlfn.IFS(
HR_Data[[#This Row],[YearsAtCompany]]&lt;2,"&lt;2 Years",
HR_Data[[#This Row],[YearsAtCompany]]&lt;5,"2-4 Years",
HR_Data[[#This Row],[YearsAtCompany]]&lt;10,"5-9 Years",
TRUE,"10+ Years"
)</f>
        <v>10+ Years</v>
      </c>
      <c r="AM1320" s="1">
        <f>IF(HR_Data[[#This Row],[Attrition]]="Yes",1,0)</f>
        <v>0</v>
      </c>
    </row>
    <row r="1321" spans="1:39" x14ac:dyDescent="0.3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 cm="1">
        <f t="array" ref="AJ1321">_xlfn.IFS(
HR_Data[[#This Row],[Age]]&lt;25,"Under 25",
HR_Data[[#This Row],[Age]]&lt;35,"25-34",
HR_Data[[#This Row],[Age]]&lt;45,"35-44",
HR_Data[[#This Row],[Age]]&lt;55,"45-54",
TRUE,"55+"
)</f>
        <v>25-34</v>
      </c>
      <c r="AK1321" t="str" cm="1">
        <f t="array" ref="AK1321">_xlfn.IFS(
HR_Data[[#This Row],[MonthlyIncome]]&lt;3000,"&lt;3K",
HR_Data[[#This Row],[MonthlyIncome]]&lt;6000,"3K-6K",
HR_Data[[#This Row],[MonthlyIncome]]&lt;10000,"6K-10K",
TRUE,"10K+"
)</f>
        <v>3K-6K</v>
      </c>
      <c r="AL1321" t="str" cm="1">
        <f t="array" ref="AL1321">_xlfn.IFS(
HR_Data[[#This Row],[YearsAtCompany]]&lt;2,"&lt;2 Years",
HR_Data[[#This Row],[YearsAtCompany]]&lt;5,"2-4 Years",
HR_Data[[#This Row],[YearsAtCompany]]&lt;10,"5-9 Years",
TRUE,"10+ Years"
)</f>
        <v>&lt;2 Years</v>
      </c>
      <c r="AM1321" s="1">
        <f>IF(HR_Data[[#This Row],[Attrition]]="Yes",1,0)</f>
        <v>0</v>
      </c>
    </row>
    <row r="1322" spans="1:39" x14ac:dyDescent="0.3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 cm="1">
        <f t="array" ref="AJ1322">_xlfn.IFS(
HR_Data[[#This Row],[Age]]&lt;25,"Under 25",
HR_Data[[#This Row],[Age]]&lt;35,"25-34",
HR_Data[[#This Row],[Age]]&lt;45,"35-44",
HR_Data[[#This Row],[Age]]&lt;55,"45-54",
TRUE,"55+"
)</f>
        <v>35-44</v>
      </c>
      <c r="AK1322" t="str" cm="1">
        <f t="array" ref="AK1322">_xlfn.IFS(
HR_Data[[#This Row],[MonthlyIncome]]&lt;3000,"&lt;3K",
HR_Data[[#This Row],[MonthlyIncome]]&lt;6000,"3K-6K",
HR_Data[[#This Row],[MonthlyIncome]]&lt;10000,"6K-10K",
TRUE,"10K+"
)</f>
        <v>&lt;3K</v>
      </c>
      <c r="AL1322" t="str" cm="1">
        <f t="array" ref="AL1322">_xlfn.IFS(
HR_Data[[#This Row],[YearsAtCompany]]&lt;2,"&lt;2 Years",
HR_Data[[#This Row],[YearsAtCompany]]&lt;5,"2-4 Years",
HR_Data[[#This Row],[YearsAtCompany]]&lt;10,"5-9 Years",
TRUE,"10+ Years"
)</f>
        <v>5-9 Years</v>
      </c>
      <c r="AM1322" s="1">
        <f>IF(HR_Data[[#This Row],[Attrition]]="Yes",1,0)</f>
        <v>0</v>
      </c>
    </row>
    <row r="1323" spans="1:39" x14ac:dyDescent="0.3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 cm="1">
        <f t="array" ref="AJ1323">_xlfn.IFS(
HR_Data[[#This Row],[Age]]&lt;25,"Under 25",
HR_Data[[#This Row],[Age]]&lt;35,"25-34",
HR_Data[[#This Row],[Age]]&lt;45,"35-44",
HR_Data[[#This Row],[Age]]&lt;55,"45-54",
TRUE,"55+"
)</f>
        <v>45-54</v>
      </c>
      <c r="AK1323" t="str" cm="1">
        <f t="array" ref="AK1323">_xlfn.IFS(
HR_Data[[#This Row],[MonthlyIncome]]&lt;3000,"&lt;3K",
HR_Data[[#This Row],[MonthlyIncome]]&lt;6000,"3K-6K",
HR_Data[[#This Row],[MonthlyIncome]]&lt;10000,"6K-10K",
TRUE,"10K+"
)</f>
        <v>&lt;3K</v>
      </c>
      <c r="AL1323" t="str" cm="1">
        <f t="array" ref="AL1323">_xlfn.IFS(
HR_Data[[#This Row],[YearsAtCompany]]&lt;2,"&lt;2 Years",
HR_Data[[#This Row],[YearsAtCompany]]&lt;5,"2-4 Years",
HR_Data[[#This Row],[YearsAtCompany]]&lt;10,"5-9 Years",
TRUE,"10+ Years"
)</f>
        <v>2-4 Years</v>
      </c>
      <c r="AM1323" s="1">
        <f>IF(HR_Data[[#This Row],[Attrition]]="Yes",1,0)</f>
        <v>0</v>
      </c>
    </row>
    <row r="1324" spans="1:39" x14ac:dyDescent="0.3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 cm="1">
        <f t="array" ref="AJ1324">_xlfn.IFS(
HR_Data[[#This Row],[Age]]&lt;25,"Under 25",
HR_Data[[#This Row],[Age]]&lt;35,"25-34",
HR_Data[[#This Row],[Age]]&lt;45,"35-44",
HR_Data[[#This Row],[Age]]&lt;55,"45-54",
TRUE,"55+"
)</f>
        <v>45-54</v>
      </c>
      <c r="AK1324" t="str" cm="1">
        <f t="array" ref="AK1324">_xlfn.IFS(
HR_Data[[#This Row],[MonthlyIncome]]&lt;3000,"&lt;3K",
HR_Data[[#This Row],[MonthlyIncome]]&lt;6000,"3K-6K",
HR_Data[[#This Row],[MonthlyIncome]]&lt;10000,"6K-10K",
TRUE,"10K+"
)</f>
        <v>6K-10K</v>
      </c>
      <c r="AL1324" t="str" cm="1">
        <f t="array" ref="AL1324">_xlfn.IFS(
HR_Data[[#This Row],[YearsAtCompany]]&lt;2,"&lt;2 Years",
HR_Data[[#This Row],[YearsAtCompany]]&lt;5,"2-4 Years",
HR_Data[[#This Row],[YearsAtCompany]]&lt;10,"5-9 Years",
TRUE,"10+ Years"
)</f>
        <v>5-9 Years</v>
      </c>
      <c r="AM1324" s="1">
        <f>IF(HR_Data[[#This Row],[Attrition]]="Yes",1,0)</f>
        <v>0</v>
      </c>
    </row>
    <row r="1325" spans="1:39" x14ac:dyDescent="0.3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 cm="1">
        <f t="array" ref="AJ1325">_xlfn.IFS(
HR_Data[[#This Row],[Age]]&lt;25,"Under 25",
HR_Data[[#This Row],[Age]]&lt;35,"25-34",
HR_Data[[#This Row],[Age]]&lt;45,"35-44",
HR_Data[[#This Row],[Age]]&lt;55,"45-54",
TRUE,"55+"
)</f>
        <v>25-34</v>
      </c>
      <c r="AK1325" t="str" cm="1">
        <f t="array" ref="AK1325">_xlfn.IFS(
HR_Data[[#This Row],[MonthlyIncome]]&lt;3000,"&lt;3K",
HR_Data[[#This Row],[MonthlyIncome]]&lt;6000,"3K-6K",
HR_Data[[#This Row],[MonthlyIncome]]&lt;10000,"6K-10K",
TRUE,"10K+"
)</f>
        <v>&lt;3K</v>
      </c>
      <c r="AL1325" t="str" cm="1">
        <f t="array" ref="AL1325">_xlfn.IFS(
HR_Data[[#This Row],[YearsAtCompany]]&lt;2,"&lt;2 Years",
HR_Data[[#This Row],[YearsAtCompany]]&lt;5,"2-4 Years",
HR_Data[[#This Row],[YearsAtCompany]]&lt;10,"5-9 Years",
TRUE,"10+ Years"
)</f>
        <v>2-4 Years</v>
      </c>
      <c r="AM1325" s="1">
        <f>IF(HR_Data[[#This Row],[Attrition]]="Yes",1,0)</f>
        <v>0</v>
      </c>
    </row>
    <row r="1326" spans="1:39" x14ac:dyDescent="0.3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 cm="1">
        <f t="array" ref="AJ1326">_xlfn.IFS(
HR_Data[[#This Row],[Age]]&lt;25,"Under 25",
HR_Data[[#This Row],[Age]]&lt;35,"25-34",
HR_Data[[#This Row],[Age]]&lt;45,"35-44",
HR_Data[[#This Row],[Age]]&lt;55,"45-54",
TRUE,"55+"
)</f>
        <v>25-34</v>
      </c>
      <c r="AK1326" t="str" cm="1">
        <f t="array" ref="AK1326">_xlfn.IFS(
HR_Data[[#This Row],[MonthlyIncome]]&lt;3000,"&lt;3K",
HR_Data[[#This Row],[MonthlyIncome]]&lt;6000,"3K-6K",
HR_Data[[#This Row],[MonthlyIncome]]&lt;10000,"6K-10K",
TRUE,"10K+"
)</f>
        <v>6K-10K</v>
      </c>
      <c r="AL1326" t="str" cm="1">
        <f t="array" ref="AL1326">_xlfn.IFS(
HR_Data[[#This Row],[YearsAtCompany]]&lt;2,"&lt;2 Years",
HR_Data[[#This Row],[YearsAtCompany]]&lt;5,"2-4 Years",
HR_Data[[#This Row],[YearsAtCompany]]&lt;10,"5-9 Years",
TRUE,"10+ Years"
)</f>
        <v>5-9 Years</v>
      </c>
      <c r="AM1326" s="1">
        <f>IF(HR_Data[[#This Row],[Attrition]]="Yes",1,0)</f>
        <v>0</v>
      </c>
    </row>
    <row r="1327" spans="1:39" x14ac:dyDescent="0.3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 cm="1">
        <f t="array" ref="AJ1327">_xlfn.IFS(
HR_Data[[#This Row],[Age]]&lt;25,"Under 25",
HR_Data[[#This Row],[Age]]&lt;35,"25-34",
HR_Data[[#This Row],[Age]]&lt;45,"35-44",
HR_Data[[#This Row],[Age]]&lt;55,"45-54",
TRUE,"55+"
)</f>
        <v>35-44</v>
      </c>
      <c r="AK1327" t="str" cm="1">
        <f t="array" ref="AK1327">_xlfn.IFS(
HR_Data[[#This Row],[MonthlyIncome]]&lt;3000,"&lt;3K",
HR_Data[[#This Row],[MonthlyIncome]]&lt;6000,"3K-6K",
HR_Data[[#This Row],[MonthlyIncome]]&lt;10000,"6K-10K",
TRUE,"10K+"
)</f>
        <v>3K-6K</v>
      </c>
      <c r="AL1327" t="str" cm="1">
        <f t="array" ref="AL1327">_xlfn.IFS(
HR_Data[[#This Row],[YearsAtCompany]]&lt;2,"&lt;2 Years",
HR_Data[[#This Row],[YearsAtCompany]]&lt;5,"2-4 Years",
HR_Data[[#This Row],[YearsAtCompany]]&lt;10,"5-9 Years",
TRUE,"10+ Years"
)</f>
        <v>&lt;2 Years</v>
      </c>
      <c r="AM1327" s="1">
        <f>IF(HR_Data[[#This Row],[Attrition]]="Yes",1,0)</f>
        <v>0</v>
      </c>
    </row>
    <row r="1328" spans="1:39" x14ac:dyDescent="0.3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 cm="1">
        <f t="array" ref="AJ1328">_xlfn.IFS(
HR_Data[[#This Row],[Age]]&lt;25,"Under 25",
HR_Data[[#This Row],[Age]]&lt;35,"25-34",
HR_Data[[#This Row],[Age]]&lt;45,"35-44",
HR_Data[[#This Row],[Age]]&lt;55,"45-54",
TRUE,"55+"
)</f>
        <v>25-34</v>
      </c>
      <c r="AK1328" t="str" cm="1">
        <f t="array" ref="AK1328">_xlfn.IFS(
HR_Data[[#This Row],[MonthlyIncome]]&lt;3000,"&lt;3K",
HR_Data[[#This Row],[MonthlyIncome]]&lt;6000,"3K-6K",
HR_Data[[#This Row],[MonthlyIncome]]&lt;10000,"6K-10K",
TRUE,"10K+"
)</f>
        <v>6K-10K</v>
      </c>
      <c r="AL1328" t="str" cm="1">
        <f t="array" ref="AL1328">_xlfn.IFS(
HR_Data[[#This Row],[YearsAtCompany]]&lt;2,"&lt;2 Years",
HR_Data[[#This Row],[YearsAtCompany]]&lt;5,"2-4 Years",
HR_Data[[#This Row],[YearsAtCompany]]&lt;10,"5-9 Years",
TRUE,"10+ Years"
)</f>
        <v>2-4 Years</v>
      </c>
      <c r="AM1328" s="1">
        <f>IF(HR_Data[[#This Row],[Attrition]]="Yes",1,0)</f>
        <v>1</v>
      </c>
    </row>
    <row r="1329" spans="1:39" x14ac:dyDescent="0.3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 cm="1">
        <f t="array" ref="AJ1329">_xlfn.IFS(
HR_Data[[#This Row],[Age]]&lt;25,"Under 25",
HR_Data[[#This Row],[Age]]&lt;35,"25-34",
HR_Data[[#This Row],[Age]]&lt;45,"35-44",
HR_Data[[#This Row],[Age]]&lt;55,"45-54",
TRUE,"55+"
)</f>
        <v>45-54</v>
      </c>
      <c r="AK1329" t="str" cm="1">
        <f t="array" ref="AK1329">_xlfn.IFS(
HR_Data[[#This Row],[MonthlyIncome]]&lt;3000,"&lt;3K",
HR_Data[[#This Row],[MonthlyIncome]]&lt;6000,"3K-6K",
HR_Data[[#This Row],[MonthlyIncome]]&lt;10000,"6K-10K",
TRUE,"10K+"
)</f>
        <v>10K+</v>
      </c>
      <c r="AL1329" t="str" cm="1">
        <f t="array" ref="AL1329">_xlfn.IFS(
HR_Data[[#This Row],[YearsAtCompany]]&lt;2,"&lt;2 Years",
HR_Data[[#This Row],[YearsAtCompany]]&lt;5,"2-4 Years",
HR_Data[[#This Row],[YearsAtCompany]]&lt;10,"5-9 Years",
TRUE,"10+ Years"
)</f>
        <v>10+ Years</v>
      </c>
      <c r="AM1329" s="1">
        <f>IF(HR_Data[[#This Row],[Attrition]]="Yes",1,0)</f>
        <v>0</v>
      </c>
    </row>
    <row r="1330" spans="1:39" x14ac:dyDescent="0.3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 cm="1">
        <f t="array" ref="AJ1330">_xlfn.IFS(
HR_Data[[#This Row],[Age]]&lt;25,"Under 25",
HR_Data[[#This Row],[Age]]&lt;35,"25-34",
HR_Data[[#This Row],[Age]]&lt;45,"35-44",
HR_Data[[#This Row],[Age]]&lt;55,"45-54",
TRUE,"55+"
)</f>
        <v>25-34</v>
      </c>
      <c r="AK1330" t="str" cm="1">
        <f t="array" ref="AK1330">_xlfn.IFS(
HR_Data[[#This Row],[MonthlyIncome]]&lt;3000,"&lt;3K",
HR_Data[[#This Row],[MonthlyIncome]]&lt;6000,"3K-6K",
HR_Data[[#This Row],[MonthlyIncome]]&lt;10000,"6K-10K",
TRUE,"10K+"
)</f>
        <v>3K-6K</v>
      </c>
      <c r="AL1330" t="str" cm="1">
        <f t="array" ref="AL1330">_xlfn.IFS(
HR_Data[[#This Row],[YearsAtCompany]]&lt;2,"&lt;2 Years",
HR_Data[[#This Row],[YearsAtCompany]]&lt;5,"2-4 Years",
HR_Data[[#This Row],[YearsAtCompany]]&lt;10,"5-9 Years",
TRUE,"10+ Years"
)</f>
        <v>5-9 Years</v>
      </c>
      <c r="AM1330" s="1">
        <f>IF(HR_Data[[#This Row],[Attrition]]="Yes",1,0)</f>
        <v>0</v>
      </c>
    </row>
    <row r="1331" spans="1:39" x14ac:dyDescent="0.3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 cm="1">
        <f t="array" ref="AJ1331">_xlfn.IFS(
HR_Data[[#This Row],[Age]]&lt;25,"Under 25",
HR_Data[[#This Row],[Age]]&lt;35,"25-34",
HR_Data[[#This Row],[Age]]&lt;45,"35-44",
HR_Data[[#This Row],[Age]]&lt;55,"45-54",
TRUE,"55+"
)</f>
        <v>25-34</v>
      </c>
      <c r="AK1331" t="str" cm="1">
        <f t="array" ref="AK1331">_xlfn.IFS(
HR_Data[[#This Row],[MonthlyIncome]]&lt;3000,"&lt;3K",
HR_Data[[#This Row],[MonthlyIncome]]&lt;6000,"3K-6K",
HR_Data[[#This Row],[MonthlyIncome]]&lt;10000,"6K-10K",
TRUE,"10K+"
)</f>
        <v>&lt;3K</v>
      </c>
      <c r="AL1331" t="str" cm="1">
        <f t="array" ref="AL1331">_xlfn.IFS(
HR_Data[[#This Row],[YearsAtCompany]]&lt;2,"&lt;2 Years",
HR_Data[[#This Row],[YearsAtCompany]]&lt;5,"2-4 Years",
HR_Data[[#This Row],[YearsAtCompany]]&lt;10,"5-9 Years",
TRUE,"10+ Years"
)</f>
        <v>&lt;2 Years</v>
      </c>
      <c r="AM1331" s="1">
        <f>IF(HR_Data[[#This Row],[Attrition]]="Yes",1,0)</f>
        <v>0</v>
      </c>
    </row>
    <row r="1332" spans="1:39" x14ac:dyDescent="0.3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 cm="1">
        <f t="array" ref="AJ1332">_xlfn.IFS(
HR_Data[[#This Row],[Age]]&lt;25,"Under 25",
HR_Data[[#This Row],[Age]]&lt;35,"25-34",
HR_Data[[#This Row],[Age]]&lt;45,"35-44",
HR_Data[[#This Row],[Age]]&lt;55,"45-54",
TRUE,"55+"
)</f>
        <v>35-44</v>
      </c>
      <c r="AK1332" t="str" cm="1">
        <f t="array" ref="AK1332">_xlfn.IFS(
HR_Data[[#This Row],[MonthlyIncome]]&lt;3000,"&lt;3K",
HR_Data[[#This Row],[MonthlyIncome]]&lt;6000,"3K-6K",
HR_Data[[#This Row],[MonthlyIncome]]&lt;10000,"6K-10K",
TRUE,"10K+"
)</f>
        <v>10K+</v>
      </c>
      <c r="AL1332" t="str" cm="1">
        <f t="array" ref="AL1332">_xlfn.IFS(
HR_Data[[#This Row],[YearsAtCompany]]&lt;2,"&lt;2 Years",
HR_Data[[#This Row],[YearsAtCompany]]&lt;5,"2-4 Years",
HR_Data[[#This Row],[YearsAtCompany]]&lt;10,"5-9 Years",
TRUE,"10+ Years"
)</f>
        <v>10+ Years</v>
      </c>
      <c r="AM1332" s="1">
        <f>IF(HR_Data[[#This Row],[Attrition]]="Yes",1,0)</f>
        <v>0</v>
      </c>
    </row>
    <row r="1333" spans="1:39" x14ac:dyDescent="0.3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 cm="1">
        <f t="array" ref="AJ1333">_xlfn.IFS(
HR_Data[[#This Row],[Age]]&lt;25,"Under 25",
HR_Data[[#This Row],[Age]]&lt;35,"25-34",
HR_Data[[#This Row],[Age]]&lt;45,"35-44",
HR_Data[[#This Row],[Age]]&lt;55,"45-54",
TRUE,"55+"
)</f>
        <v>45-54</v>
      </c>
      <c r="AK1333" t="str" cm="1">
        <f t="array" ref="AK1333">_xlfn.IFS(
HR_Data[[#This Row],[MonthlyIncome]]&lt;3000,"&lt;3K",
HR_Data[[#This Row],[MonthlyIncome]]&lt;6000,"3K-6K",
HR_Data[[#This Row],[MonthlyIncome]]&lt;10000,"6K-10K",
TRUE,"10K+"
)</f>
        <v>10K+</v>
      </c>
      <c r="AL1333" t="str" cm="1">
        <f t="array" ref="AL1333">_xlfn.IFS(
HR_Data[[#This Row],[YearsAtCompany]]&lt;2,"&lt;2 Years",
HR_Data[[#This Row],[YearsAtCompany]]&lt;5,"2-4 Years",
HR_Data[[#This Row],[YearsAtCompany]]&lt;10,"5-9 Years",
TRUE,"10+ Years"
)</f>
        <v>10+ Years</v>
      </c>
      <c r="AM1333" s="1">
        <f>IF(HR_Data[[#This Row],[Attrition]]="Yes",1,0)</f>
        <v>0</v>
      </c>
    </row>
    <row r="1334" spans="1:39" x14ac:dyDescent="0.3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 cm="1">
        <f t="array" ref="AJ1334">_xlfn.IFS(
HR_Data[[#This Row],[Age]]&lt;25,"Under 25",
HR_Data[[#This Row],[Age]]&lt;35,"25-34",
HR_Data[[#This Row],[Age]]&lt;45,"35-44",
HR_Data[[#This Row],[Age]]&lt;55,"45-54",
TRUE,"55+"
)</f>
        <v>25-34</v>
      </c>
      <c r="AK1334" t="str" cm="1">
        <f t="array" ref="AK1334">_xlfn.IFS(
HR_Data[[#This Row],[MonthlyIncome]]&lt;3000,"&lt;3K",
HR_Data[[#This Row],[MonthlyIncome]]&lt;6000,"3K-6K",
HR_Data[[#This Row],[MonthlyIncome]]&lt;10000,"6K-10K",
TRUE,"10K+"
)</f>
        <v>&lt;3K</v>
      </c>
      <c r="AL1334" t="str" cm="1">
        <f t="array" ref="AL1334">_xlfn.IFS(
HR_Data[[#This Row],[YearsAtCompany]]&lt;2,"&lt;2 Years",
HR_Data[[#This Row],[YearsAtCompany]]&lt;5,"2-4 Years",
HR_Data[[#This Row],[YearsAtCompany]]&lt;10,"5-9 Years",
TRUE,"10+ Years"
)</f>
        <v>&lt;2 Years</v>
      </c>
      <c r="AM1334" s="1">
        <f>IF(HR_Data[[#This Row],[Attrition]]="Yes",1,0)</f>
        <v>1</v>
      </c>
    </row>
    <row r="1335" spans="1:39" x14ac:dyDescent="0.3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 cm="1">
        <f t="array" ref="AJ1335">_xlfn.IFS(
HR_Data[[#This Row],[Age]]&lt;25,"Under 25",
HR_Data[[#This Row],[Age]]&lt;35,"25-34",
HR_Data[[#This Row],[Age]]&lt;45,"35-44",
HR_Data[[#This Row],[Age]]&lt;55,"45-54",
TRUE,"55+"
)</f>
        <v>45-54</v>
      </c>
      <c r="AK1335" t="str" cm="1">
        <f t="array" ref="AK1335">_xlfn.IFS(
HR_Data[[#This Row],[MonthlyIncome]]&lt;3000,"&lt;3K",
HR_Data[[#This Row],[MonthlyIncome]]&lt;6000,"3K-6K",
HR_Data[[#This Row],[MonthlyIncome]]&lt;10000,"6K-10K",
TRUE,"10K+"
)</f>
        <v>6K-10K</v>
      </c>
      <c r="AL1335" t="str" cm="1">
        <f t="array" ref="AL1335">_xlfn.IFS(
HR_Data[[#This Row],[YearsAtCompany]]&lt;2,"&lt;2 Years",
HR_Data[[#This Row],[YearsAtCompany]]&lt;5,"2-4 Years",
HR_Data[[#This Row],[YearsAtCompany]]&lt;10,"5-9 Years",
TRUE,"10+ Years"
)</f>
        <v>5-9 Years</v>
      </c>
      <c r="AM1335" s="1">
        <f>IF(HR_Data[[#This Row],[Attrition]]="Yes",1,0)</f>
        <v>1</v>
      </c>
    </row>
    <row r="1336" spans="1:39" x14ac:dyDescent="0.3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 cm="1">
        <f t="array" ref="AJ1336">_xlfn.IFS(
HR_Data[[#This Row],[Age]]&lt;25,"Under 25",
HR_Data[[#This Row],[Age]]&lt;35,"25-34",
HR_Data[[#This Row],[Age]]&lt;45,"35-44",
HR_Data[[#This Row],[Age]]&lt;55,"45-54",
TRUE,"55+"
)</f>
        <v>25-34</v>
      </c>
      <c r="AK1336" t="str" cm="1">
        <f t="array" ref="AK1336">_xlfn.IFS(
HR_Data[[#This Row],[MonthlyIncome]]&lt;3000,"&lt;3K",
HR_Data[[#This Row],[MonthlyIncome]]&lt;6000,"3K-6K",
HR_Data[[#This Row],[MonthlyIncome]]&lt;10000,"6K-10K",
TRUE,"10K+"
)</f>
        <v>3K-6K</v>
      </c>
      <c r="AL1336" t="str" cm="1">
        <f t="array" ref="AL1336">_xlfn.IFS(
HR_Data[[#This Row],[YearsAtCompany]]&lt;2,"&lt;2 Years",
HR_Data[[#This Row],[YearsAtCompany]]&lt;5,"2-4 Years",
HR_Data[[#This Row],[YearsAtCompany]]&lt;10,"5-9 Years",
TRUE,"10+ Years"
)</f>
        <v>5-9 Years</v>
      </c>
      <c r="AM1336" s="1">
        <f>IF(HR_Data[[#This Row],[Attrition]]="Yes",1,0)</f>
        <v>0</v>
      </c>
    </row>
    <row r="1337" spans="1:39" x14ac:dyDescent="0.3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 cm="1">
        <f t="array" ref="AJ1337">_xlfn.IFS(
HR_Data[[#This Row],[Age]]&lt;25,"Under 25",
HR_Data[[#This Row],[Age]]&lt;35,"25-34",
HR_Data[[#This Row],[Age]]&lt;45,"35-44",
HR_Data[[#This Row],[Age]]&lt;55,"45-54",
TRUE,"55+"
)</f>
        <v>35-44</v>
      </c>
      <c r="AK1337" t="str" cm="1">
        <f t="array" ref="AK1337">_xlfn.IFS(
HR_Data[[#This Row],[MonthlyIncome]]&lt;3000,"&lt;3K",
HR_Data[[#This Row],[MonthlyIncome]]&lt;6000,"3K-6K",
HR_Data[[#This Row],[MonthlyIncome]]&lt;10000,"6K-10K",
TRUE,"10K+"
)</f>
        <v>3K-6K</v>
      </c>
      <c r="AL1337" t="str" cm="1">
        <f t="array" ref="AL1337">_xlfn.IFS(
HR_Data[[#This Row],[YearsAtCompany]]&lt;2,"&lt;2 Years",
HR_Data[[#This Row],[YearsAtCompany]]&lt;5,"2-4 Years",
HR_Data[[#This Row],[YearsAtCompany]]&lt;10,"5-9 Years",
TRUE,"10+ Years"
)</f>
        <v>2-4 Years</v>
      </c>
      <c r="AM1337" s="1">
        <f>IF(HR_Data[[#This Row],[Attrition]]="Yes",1,0)</f>
        <v>0</v>
      </c>
    </row>
    <row r="1338" spans="1:39" x14ac:dyDescent="0.3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 cm="1">
        <f t="array" ref="AJ1338">_xlfn.IFS(
HR_Data[[#This Row],[Age]]&lt;25,"Under 25",
HR_Data[[#This Row],[Age]]&lt;35,"25-34",
HR_Data[[#This Row],[Age]]&lt;45,"35-44",
HR_Data[[#This Row],[Age]]&lt;55,"45-54",
TRUE,"55+"
)</f>
        <v>55+</v>
      </c>
      <c r="AK1338" t="str" cm="1">
        <f t="array" ref="AK1338">_xlfn.IFS(
HR_Data[[#This Row],[MonthlyIncome]]&lt;3000,"&lt;3K",
HR_Data[[#This Row],[MonthlyIncome]]&lt;6000,"3K-6K",
HR_Data[[#This Row],[MonthlyIncome]]&lt;10000,"6K-10K",
TRUE,"10K+"
)</f>
        <v>&lt;3K</v>
      </c>
      <c r="AL1338" t="str" cm="1">
        <f t="array" ref="AL1338">_xlfn.IFS(
HR_Data[[#This Row],[YearsAtCompany]]&lt;2,"&lt;2 Years",
HR_Data[[#This Row],[YearsAtCompany]]&lt;5,"2-4 Years",
HR_Data[[#This Row],[YearsAtCompany]]&lt;10,"5-9 Years",
TRUE,"10+ Years"
)</f>
        <v>5-9 Years</v>
      </c>
      <c r="AM1338" s="1">
        <f>IF(HR_Data[[#This Row],[Attrition]]="Yes",1,0)</f>
        <v>0</v>
      </c>
    </row>
    <row r="1339" spans="1:39" x14ac:dyDescent="0.3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 cm="1">
        <f t="array" ref="AJ1339">_xlfn.IFS(
HR_Data[[#This Row],[Age]]&lt;25,"Under 25",
HR_Data[[#This Row],[Age]]&lt;35,"25-34",
HR_Data[[#This Row],[Age]]&lt;45,"35-44",
HR_Data[[#This Row],[Age]]&lt;55,"45-54",
TRUE,"55+"
)</f>
        <v>25-34</v>
      </c>
      <c r="AK1339" t="str" cm="1">
        <f t="array" ref="AK1339">_xlfn.IFS(
HR_Data[[#This Row],[MonthlyIncome]]&lt;3000,"&lt;3K",
HR_Data[[#This Row],[MonthlyIncome]]&lt;6000,"3K-6K",
HR_Data[[#This Row],[MonthlyIncome]]&lt;10000,"6K-10K",
TRUE,"10K+"
)</f>
        <v>&lt;3K</v>
      </c>
      <c r="AL1339" t="str" cm="1">
        <f t="array" ref="AL1339">_xlfn.IFS(
HR_Data[[#This Row],[YearsAtCompany]]&lt;2,"&lt;2 Years",
HR_Data[[#This Row],[YearsAtCompany]]&lt;5,"2-4 Years",
HR_Data[[#This Row],[YearsAtCompany]]&lt;10,"5-9 Years",
TRUE,"10+ Years"
)</f>
        <v>&lt;2 Years</v>
      </c>
      <c r="AM1339" s="1">
        <f>IF(HR_Data[[#This Row],[Attrition]]="Yes",1,0)</f>
        <v>0</v>
      </c>
    </row>
    <row r="1340" spans="1:39" x14ac:dyDescent="0.3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 cm="1">
        <f t="array" ref="AJ1340">_xlfn.IFS(
HR_Data[[#This Row],[Age]]&lt;25,"Under 25",
HR_Data[[#This Row],[Age]]&lt;35,"25-34",
HR_Data[[#This Row],[Age]]&lt;45,"35-44",
HR_Data[[#This Row],[Age]]&lt;55,"45-54",
TRUE,"55+"
)</f>
        <v>25-34</v>
      </c>
      <c r="AK1340" t="str" cm="1">
        <f t="array" ref="AK1340">_xlfn.IFS(
HR_Data[[#This Row],[MonthlyIncome]]&lt;3000,"&lt;3K",
HR_Data[[#This Row],[MonthlyIncome]]&lt;6000,"3K-6K",
HR_Data[[#This Row],[MonthlyIncome]]&lt;10000,"6K-10K",
TRUE,"10K+"
)</f>
        <v>&lt;3K</v>
      </c>
      <c r="AL1340" t="str" cm="1">
        <f t="array" ref="AL1340">_xlfn.IFS(
HR_Data[[#This Row],[YearsAtCompany]]&lt;2,"&lt;2 Years",
HR_Data[[#This Row],[YearsAtCompany]]&lt;5,"2-4 Years",
HR_Data[[#This Row],[YearsAtCompany]]&lt;10,"5-9 Years",
TRUE,"10+ Years"
)</f>
        <v>&lt;2 Years</v>
      </c>
      <c r="AM1340" s="1">
        <f>IF(HR_Data[[#This Row],[Attrition]]="Yes",1,0)</f>
        <v>1</v>
      </c>
    </row>
    <row r="1341" spans="1:39" x14ac:dyDescent="0.3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 cm="1">
        <f t="array" ref="AJ1341">_xlfn.IFS(
HR_Data[[#This Row],[Age]]&lt;25,"Under 25",
HR_Data[[#This Row],[Age]]&lt;35,"25-34",
HR_Data[[#This Row],[Age]]&lt;45,"35-44",
HR_Data[[#This Row],[Age]]&lt;55,"45-54",
TRUE,"55+"
)</f>
        <v>Under 25</v>
      </c>
      <c r="AK1341" t="str" cm="1">
        <f t="array" ref="AK1341">_xlfn.IFS(
HR_Data[[#This Row],[MonthlyIncome]]&lt;3000,"&lt;3K",
HR_Data[[#This Row],[MonthlyIncome]]&lt;6000,"3K-6K",
HR_Data[[#This Row],[MonthlyIncome]]&lt;10000,"6K-10K",
TRUE,"10K+"
)</f>
        <v>&lt;3K</v>
      </c>
      <c r="AL1341" t="str" cm="1">
        <f t="array" ref="AL1341">_xlfn.IFS(
HR_Data[[#This Row],[YearsAtCompany]]&lt;2,"&lt;2 Years",
HR_Data[[#This Row],[YearsAtCompany]]&lt;5,"2-4 Years",
HR_Data[[#This Row],[YearsAtCompany]]&lt;10,"5-9 Years",
TRUE,"10+ Years"
)</f>
        <v>&lt;2 Years</v>
      </c>
      <c r="AM1341" s="1">
        <f>IF(HR_Data[[#This Row],[Attrition]]="Yes",1,0)</f>
        <v>1</v>
      </c>
    </row>
    <row r="1342" spans="1:39" x14ac:dyDescent="0.3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 cm="1">
        <f t="array" ref="AJ1342">_xlfn.IFS(
HR_Data[[#This Row],[Age]]&lt;25,"Under 25",
HR_Data[[#This Row],[Age]]&lt;35,"25-34",
HR_Data[[#This Row],[Age]]&lt;45,"35-44",
HR_Data[[#This Row],[Age]]&lt;55,"45-54",
TRUE,"55+"
)</f>
        <v>35-44</v>
      </c>
      <c r="AK1342" t="str" cm="1">
        <f t="array" ref="AK1342">_xlfn.IFS(
HR_Data[[#This Row],[MonthlyIncome]]&lt;3000,"&lt;3K",
HR_Data[[#This Row],[MonthlyIncome]]&lt;6000,"3K-6K",
HR_Data[[#This Row],[MonthlyIncome]]&lt;10000,"6K-10K",
TRUE,"10K+"
)</f>
        <v>3K-6K</v>
      </c>
      <c r="AL1342" t="str" cm="1">
        <f t="array" ref="AL1342">_xlfn.IFS(
HR_Data[[#This Row],[YearsAtCompany]]&lt;2,"&lt;2 Years",
HR_Data[[#This Row],[YearsAtCompany]]&lt;5,"2-4 Years",
HR_Data[[#This Row],[YearsAtCompany]]&lt;10,"5-9 Years",
TRUE,"10+ Years"
)</f>
        <v>10+ Years</v>
      </c>
      <c r="AM1342" s="1">
        <f>IF(HR_Data[[#This Row],[Attrition]]="Yes",1,0)</f>
        <v>0</v>
      </c>
    </row>
    <row r="1343" spans="1:39" x14ac:dyDescent="0.3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 cm="1">
        <f t="array" ref="AJ1343">_xlfn.IFS(
HR_Data[[#This Row],[Age]]&lt;25,"Under 25",
HR_Data[[#This Row],[Age]]&lt;35,"25-34",
HR_Data[[#This Row],[Age]]&lt;45,"35-44",
HR_Data[[#This Row],[Age]]&lt;55,"45-54",
TRUE,"55+"
)</f>
        <v>25-34</v>
      </c>
      <c r="AK1343" t="str" cm="1">
        <f t="array" ref="AK1343">_xlfn.IFS(
HR_Data[[#This Row],[MonthlyIncome]]&lt;3000,"&lt;3K",
HR_Data[[#This Row],[MonthlyIncome]]&lt;6000,"3K-6K",
HR_Data[[#This Row],[MonthlyIncome]]&lt;10000,"6K-10K",
TRUE,"10K+"
)</f>
        <v>3K-6K</v>
      </c>
      <c r="AL1343" t="str" cm="1">
        <f t="array" ref="AL1343">_xlfn.IFS(
HR_Data[[#This Row],[YearsAtCompany]]&lt;2,"&lt;2 Years",
HR_Data[[#This Row],[YearsAtCompany]]&lt;5,"2-4 Years",
HR_Data[[#This Row],[YearsAtCompany]]&lt;10,"5-9 Years",
TRUE,"10+ Years"
)</f>
        <v>10+ Years</v>
      </c>
      <c r="AM1343" s="1">
        <f>IF(HR_Data[[#This Row],[Attrition]]="Yes",1,0)</f>
        <v>0</v>
      </c>
    </row>
    <row r="1344" spans="1:39" x14ac:dyDescent="0.3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 cm="1">
        <f t="array" ref="AJ1344">_xlfn.IFS(
HR_Data[[#This Row],[Age]]&lt;25,"Under 25",
HR_Data[[#This Row],[Age]]&lt;35,"25-34",
HR_Data[[#This Row],[Age]]&lt;45,"35-44",
HR_Data[[#This Row],[Age]]&lt;55,"45-54",
TRUE,"55+"
)</f>
        <v>25-34</v>
      </c>
      <c r="AK1344" t="str" cm="1">
        <f t="array" ref="AK1344">_xlfn.IFS(
HR_Data[[#This Row],[MonthlyIncome]]&lt;3000,"&lt;3K",
HR_Data[[#This Row],[MonthlyIncome]]&lt;6000,"3K-6K",
HR_Data[[#This Row],[MonthlyIncome]]&lt;10000,"6K-10K",
TRUE,"10K+"
)</f>
        <v>6K-10K</v>
      </c>
      <c r="AL1344" t="str" cm="1">
        <f t="array" ref="AL1344">_xlfn.IFS(
HR_Data[[#This Row],[YearsAtCompany]]&lt;2,"&lt;2 Years",
HR_Data[[#This Row],[YearsAtCompany]]&lt;5,"2-4 Years",
HR_Data[[#This Row],[YearsAtCompany]]&lt;10,"5-9 Years",
TRUE,"10+ Years"
)</f>
        <v>5-9 Years</v>
      </c>
      <c r="AM1344" s="1">
        <f>IF(HR_Data[[#This Row],[Attrition]]="Yes",1,0)</f>
        <v>0</v>
      </c>
    </row>
    <row r="1345" spans="1:39" x14ac:dyDescent="0.3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 cm="1">
        <f t="array" ref="AJ1345">_xlfn.IFS(
HR_Data[[#This Row],[Age]]&lt;25,"Under 25",
HR_Data[[#This Row],[Age]]&lt;35,"25-34",
HR_Data[[#This Row],[Age]]&lt;45,"35-44",
HR_Data[[#This Row],[Age]]&lt;55,"45-54",
TRUE,"55+"
)</f>
        <v>25-34</v>
      </c>
      <c r="AK1345" t="str" cm="1">
        <f t="array" ref="AK1345">_xlfn.IFS(
HR_Data[[#This Row],[MonthlyIncome]]&lt;3000,"&lt;3K",
HR_Data[[#This Row],[MonthlyIncome]]&lt;6000,"3K-6K",
HR_Data[[#This Row],[MonthlyIncome]]&lt;10000,"6K-10K",
TRUE,"10K+"
)</f>
        <v>&lt;3K</v>
      </c>
      <c r="AL1345" t="str" cm="1">
        <f t="array" ref="AL1345">_xlfn.IFS(
HR_Data[[#This Row],[YearsAtCompany]]&lt;2,"&lt;2 Years",
HR_Data[[#This Row],[YearsAtCompany]]&lt;5,"2-4 Years",
HR_Data[[#This Row],[YearsAtCompany]]&lt;10,"5-9 Years",
TRUE,"10+ Years"
)</f>
        <v>2-4 Years</v>
      </c>
      <c r="AM1345" s="1">
        <f>IF(HR_Data[[#This Row],[Attrition]]="Yes",1,0)</f>
        <v>0</v>
      </c>
    </row>
    <row r="1346" spans="1:39" x14ac:dyDescent="0.3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 cm="1">
        <f t="array" ref="AJ1346">_xlfn.IFS(
HR_Data[[#This Row],[Age]]&lt;25,"Under 25",
HR_Data[[#This Row],[Age]]&lt;35,"25-34",
HR_Data[[#This Row],[Age]]&lt;45,"35-44",
HR_Data[[#This Row],[Age]]&lt;55,"45-54",
TRUE,"55+"
)</f>
        <v>35-44</v>
      </c>
      <c r="AK1346" t="str" cm="1">
        <f t="array" ref="AK1346">_xlfn.IFS(
HR_Data[[#This Row],[MonthlyIncome]]&lt;3000,"&lt;3K",
HR_Data[[#This Row],[MonthlyIncome]]&lt;6000,"3K-6K",
HR_Data[[#This Row],[MonthlyIncome]]&lt;10000,"6K-10K",
TRUE,"10K+"
)</f>
        <v>3K-6K</v>
      </c>
      <c r="AL1346" t="str" cm="1">
        <f t="array" ref="AL1346">_xlfn.IFS(
HR_Data[[#This Row],[YearsAtCompany]]&lt;2,"&lt;2 Years",
HR_Data[[#This Row],[YearsAtCompany]]&lt;5,"2-4 Years",
HR_Data[[#This Row],[YearsAtCompany]]&lt;10,"5-9 Years",
TRUE,"10+ Years"
)</f>
        <v>5-9 Years</v>
      </c>
      <c r="AM1346" s="1">
        <f>IF(HR_Data[[#This Row],[Attrition]]="Yes",1,0)</f>
        <v>0</v>
      </c>
    </row>
    <row r="1347" spans="1:39" x14ac:dyDescent="0.3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 cm="1">
        <f t="array" ref="AJ1347">_xlfn.IFS(
HR_Data[[#This Row],[Age]]&lt;25,"Under 25",
HR_Data[[#This Row],[Age]]&lt;35,"25-34",
HR_Data[[#This Row],[Age]]&lt;45,"35-44",
HR_Data[[#This Row],[Age]]&lt;55,"45-54",
TRUE,"55+"
)</f>
        <v>35-44</v>
      </c>
      <c r="AK1347" t="str" cm="1">
        <f t="array" ref="AK1347">_xlfn.IFS(
HR_Data[[#This Row],[MonthlyIncome]]&lt;3000,"&lt;3K",
HR_Data[[#This Row],[MonthlyIncome]]&lt;6000,"3K-6K",
HR_Data[[#This Row],[MonthlyIncome]]&lt;10000,"6K-10K",
TRUE,"10K+"
)</f>
        <v>3K-6K</v>
      </c>
      <c r="AL1347" t="str" cm="1">
        <f t="array" ref="AL1347">_xlfn.IFS(
HR_Data[[#This Row],[YearsAtCompany]]&lt;2,"&lt;2 Years",
HR_Data[[#This Row],[YearsAtCompany]]&lt;5,"2-4 Years",
HR_Data[[#This Row],[YearsAtCompany]]&lt;10,"5-9 Years",
TRUE,"10+ Years"
)</f>
        <v>2-4 Years</v>
      </c>
      <c r="AM1347" s="1">
        <f>IF(HR_Data[[#This Row],[Attrition]]="Yes",1,0)</f>
        <v>0</v>
      </c>
    </row>
    <row r="1348" spans="1:39" x14ac:dyDescent="0.3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 cm="1">
        <f t="array" ref="AJ1348">_xlfn.IFS(
HR_Data[[#This Row],[Age]]&lt;25,"Under 25",
HR_Data[[#This Row],[Age]]&lt;35,"25-34",
HR_Data[[#This Row],[Age]]&lt;45,"35-44",
HR_Data[[#This Row],[Age]]&lt;55,"45-54",
TRUE,"55+"
)</f>
        <v>45-54</v>
      </c>
      <c r="AK1348" t="str" cm="1">
        <f t="array" ref="AK1348">_xlfn.IFS(
HR_Data[[#This Row],[MonthlyIncome]]&lt;3000,"&lt;3K",
HR_Data[[#This Row],[MonthlyIncome]]&lt;6000,"3K-6K",
HR_Data[[#This Row],[MonthlyIncome]]&lt;10000,"6K-10K",
TRUE,"10K+"
)</f>
        <v>3K-6K</v>
      </c>
      <c r="AL1348" t="str" cm="1">
        <f t="array" ref="AL1348">_xlfn.IFS(
HR_Data[[#This Row],[YearsAtCompany]]&lt;2,"&lt;2 Years",
HR_Data[[#This Row],[YearsAtCompany]]&lt;5,"2-4 Years",
HR_Data[[#This Row],[YearsAtCompany]]&lt;10,"5-9 Years",
TRUE,"10+ Years"
)</f>
        <v>5-9 Years</v>
      </c>
      <c r="AM1348" s="1">
        <f>IF(HR_Data[[#This Row],[Attrition]]="Yes",1,0)</f>
        <v>0</v>
      </c>
    </row>
    <row r="1349" spans="1:39" x14ac:dyDescent="0.3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 cm="1">
        <f t="array" ref="AJ1349">_xlfn.IFS(
HR_Data[[#This Row],[Age]]&lt;25,"Under 25",
HR_Data[[#This Row],[Age]]&lt;35,"25-34",
HR_Data[[#This Row],[Age]]&lt;45,"35-44",
HR_Data[[#This Row],[Age]]&lt;55,"45-54",
TRUE,"55+"
)</f>
        <v>35-44</v>
      </c>
      <c r="AK1349" t="str" cm="1">
        <f t="array" ref="AK1349">_xlfn.IFS(
HR_Data[[#This Row],[MonthlyIncome]]&lt;3000,"&lt;3K",
HR_Data[[#This Row],[MonthlyIncome]]&lt;6000,"3K-6K",
HR_Data[[#This Row],[MonthlyIncome]]&lt;10000,"6K-10K",
TRUE,"10K+"
)</f>
        <v>3K-6K</v>
      </c>
      <c r="AL1349" t="str" cm="1">
        <f t="array" ref="AL1349">_xlfn.IFS(
HR_Data[[#This Row],[YearsAtCompany]]&lt;2,"&lt;2 Years",
HR_Data[[#This Row],[YearsAtCompany]]&lt;5,"2-4 Years",
HR_Data[[#This Row],[YearsAtCompany]]&lt;10,"5-9 Years",
TRUE,"10+ Years"
)</f>
        <v>10+ Years</v>
      </c>
      <c r="AM1349" s="1">
        <f>IF(HR_Data[[#This Row],[Attrition]]="Yes",1,0)</f>
        <v>0</v>
      </c>
    </row>
    <row r="1350" spans="1:39" x14ac:dyDescent="0.3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 cm="1">
        <f t="array" ref="AJ1350">_xlfn.IFS(
HR_Data[[#This Row],[Age]]&lt;25,"Under 25",
HR_Data[[#This Row],[Age]]&lt;35,"25-34",
HR_Data[[#This Row],[Age]]&lt;45,"35-44",
HR_Data[[#This Row],[Age]]&lt;55,"45-54",
TRUE,"55+"
)</f>
        <v>35-44</v>
      </c>
      <c r="AK1350" t="str" cm="1">
        <f t="array" ref="AK1350">_xlfn.IFS(
HR_Data[[#This Row],[MonthlyIncome]]&lt;3000,"&lt;3K",
HR_Data[[#This Row],[MonthlyIncome]]&lt;6000,"3K-6K",
HR_Data[[#This Row],[MonthlyIncome]]&lt;10000,"6K-10K",
TRUE,"10K+"
)</f>
        <v>10K+</v>
      </c>
      <c r="AL1350" t="str" cm="1">
        <f t="array" ref="AL1350">_xlfn.IFS(
HR_Data[[#This Row],[YearsAtCompany]]&lt;2,"&lt;2 Years",
HR_Data[[#This Row],[YearsAtCompany]]&lt;5,"2-4 Years",
HR_Data[[#This Row],[YearsAtCompany]]&lt;10,"5-9 Years",
TRUE,"10+ Years"
)</f>
        <v>10+ Years</v>
      </c>
      <c r="AM1350" s="1">
        <f>IF(HR_Data[[#This Row],[Attrition]]="Yes",1,0)</f>
        <v>0</v>
      </c>
    </row>
    <row r="1351" spans="1:39" x14ac:dyDescent="0.3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 cm="1">
        <f t="array" ref="AJ1351">_xlfn.IFS(
HR_Data[[#This Row],[Age]]&lt;25,"Under 25",
HR_Data[[#This Row],[Age]]&lt;35,"25-34",
HR_Data[[#This Row],[Age]]&lt;45,"35-44",
HR_Data[[#This Row],[Age]]&lt;55,"45-54",
TRUE,"55+"
)</f>
        <v>25-34</v>
      </c>
      <c r="AK1351" t="str" cm="1">
        <f t="array" ref="AK1351">_xlfn.IFS(
HR_Data[[#This Row],[MonthlyIncome]]&lt;3000,"&lt;3K",
HR_Data[[#This Row],[MonthlyIncome]]&lt;6000,"3K-6K",
HR_Data[[#This Row],[MonthlyIncome]]&lt;10000,"6K-10K",
TRUE,"10K+"
)</f>
        <v>&lt;3K</v>
      </c>
      <c r="AL1351" t="str" cm="1">
        <f t="array" ref="AL1351">_xlfn.IFS(
HR_Data[[#This Row],[YearsAtCompany]]&lt;2,"&lt;2 Years",
HR_Data[[#This Row],[YearsAtCompany]]&lt;5,"2-4 Years",
HR_Data[[#This Row],[YearsAtCompany]]&lt;10,"5-9 Years",
TRUE,"10+ Years"
)</f>
        <v>&lt;2 Years</v>
      </c>
      <c r="AM1351" s="1">
        <f>IF(HR_Data[[#This Row],[Attrition]]="Yes",1,0)</f>
        <v>0</v>
      </c>
    </row>
    <row r="1352" spans="1:39" x14ac:dyDescent="0.3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 cm="1">
        <f t="array" ref="AJ1352">_xlfn.IFS(
HR_Data[[#This Row],[Age]]&lt;25,"Under 25",
HR_Data[[#This Row],[Age]]&lt;35,"25-34",
HR_Data[[#This Row],[Age]]&lt;45,"35-44",
HR_Data[[#This Row],[Age]]&lt;55,"45-54",
TRUE,"55+"
)</f>
        <v>25-34</v>
      </c>
      <c r="AK1352" t="str" cm="1">
        <f t="array" ref="AK1352">_xlfn.IFS(
HR_Data[[#This Row],[MonthlyIncome]]&lt;3000,"&lt;3K",
HR_Data[[#This Row],[MonthlyIncome]]&lt;6000,"3K-6K",
HR_Data[[#This Row],[MonthlyIncome]]&lt;10000,"6K-10K",
TRUE,"10K+"
)</f>
        <v>6K-10K</v>
      </c>
      <c r="AL1352" t="str" cm="1">
        <f t="array" ref="AL1352">_xlfn.IFS(
HR_Data[[#This Row],[YearsAtCompany]]&lt;2,"&lt;2 Years",
HR_Data[[#This Row],[YearsAtCompany]]&lt;5,"2-4 Years",
HR_Data[[#This Row],[YearsAtCompany]]&lt;10,"5-9 Years",
TRUE,"10+ Years"
)</f>
        <v>5-9 Years</v>
      </c>
      <c r="AM1352" s="1">
        <f>IF(HR_Data[[#This Row],[Attrition]]="Yes",1,0)</f>
        <v>0</v>
      </c>
    </row>
    <row r="1353" spans="1:39" x14ac:dyDescent="0.3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 cm="1">
        <f t="array" ref="AJ1353">_xlfn.IFS(
HR_Data[[#This Row],[Age]]&lt;25,"Under 25",
HR_Data[[#This Row],[Age]]&lt;35,"25-34",
HR_Data[[#This Row],[Age]]&lt;45,"35-44",
HR_Data[[#This Row],[Age]]&lt;55,"45-54",
TRUE,"55+"
)</f>
        <v>45-54</v>
      </c>
      <c r="AK1353" t="str" cm="1">
        <f t="array" ref="AK1353">_xlfn.IFS(
HR_Data[[#This Row],[MonthlyIncome]]&lt;3000,"&lt;3K",
HR_Data[[#This Row],[MonthlyIncome]]&lt;6000,"3K-6K",
HR_Data[[#This Row],[MonthlyIncome]]&lt;10000,"6K-10K",
TRUE,"10K+"
)</f>
        <v>10K+</v>
      </c>
      <c r="AL1353" t="str" cm="1">
        <f t="array" ref="AL1353">_xlfn.IFS(
HR_Data[[#This Row],[YearsAtCompany]]&lt;2,"&lt;2 Years",
HR_Data[[#This Row],[YearsAtCompany]]&lt;5,"2-4 Years",
HR_Data[[#This Row],[YearsAtCompany]]&lt;10,"5-9 Years",
TRUE,"10+ Years"
)</f>
        <v>10+ Years</v>
      </c>
      <c r="AM1353" s="1">
        <f>IF(HR_Data[[#This Row],[Attrition]]="Yes",1,0)</f>
        <v>0</v>
      </c>
    </row>
    <row r="1354" spans="1:39" x14ac:dyDescent="0.3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 cm="1">
        <f t="array" ref="AJ1354">_xlfn.IFS(
HR_Data[[#This Row],[Age]]&lt;25,"Under 25",
HR_Data[[#This Row],[Age]]&lt;35,"25-34",
HR_Data[[#This Row],[Age]]&lt;45,"35-44",
HR_Data[[#This Row],[Age]]&lt;55,"45-54",
TRUE,"55+"
)</f>
        <v>35-44</v>
      </c>
      <c r="AK1354" t="str" cm="1">
        <f t="array" ref="AK1354">_xlfn.IFS(
HR_Data[[#This Row],[MonthlyIncome]]&lt;3000,"&lt;3K",
HR_Data[[#This Row],[MonthlyIncome]]&lt;6000,"3K-6K",
HR_Data[[#This Row],[MonthlyIncome]]&lt;10000,"6K-10K",
TRUE,"10K+"
)</f>
        <v>3K-6K</v>
      </c>
      <c r="AL1354" t="str" cm="1">
        <f t="array" ref="AL1354">_xlfn.IFS(
HR_Data[[#This Row],[YearsAtCompany]]&lt;2,"&lt;2 Years",
HR_Data[[#This Row],[YearsAtCompany]]&lt;5,"2-4 Years",
HR_Data[[#This Row],[YearsAtCompany]]&lt;10,"5-9 Years",
TRUE,"10+ Years"
)</f>
        <v>2-4 Years</v>
      </c>
      <c r="AM1354" s="1">
        <f>IF(HR_Data[[#This Row],[Attrition]]="Yes",1,0)</f>
        <v>0</v>
      </c>
    </row>
    <row r="1355" spans="1:39" x14ac:dyDescent="0.3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 cm="1">
        <f t="array" ref="AJ1355">_xlfn.IFS(
HR_Data[[#This Row],[Age]]&lt;25,"Under 25",
HR_Data[[#This Row],[Age]]&lt;35,"25-34",
HR_Data[[#This Row],[Age]]&lt;45,"35-44",
HR_Data[[#This Row],[Age]]&lt;55,"45-54",
TRUE,"55+"
)</f>
        <v>25-34</v>
      </c>
      <c r="AK1355" t="str" cm="1">
        <f t="array" ref="AK1355">_xlfn.IFS(
HR_Data[[#This Row],[MonthlyIncome]]&lt;3000,"&lt;3K",
HR_Data[[#This Row],[MonthlyIncome]]&lt;6000,"3K-6K",
HR_Data[[#This Row],[MonthlyIncome]]&lt;10000,"6K-10K",
TRUE,"10K+"
)</f>
        <v>&lt;3K</v>
      </c>
      <c r="AL1355" t="str" cm="1">
        <f t="array" ref="AL1355">_xlfn.IFS(
HR_Data[[#This Row],[YearsAtCompany]]&lt;2,"&lt;2 Years",
HR_Data[[#This Row],[YearsAtCompany]]&lt;5,"2-4 Years",
HR_Data[[#This Row],[YearsAtCompany]]&lt;10,"5-9 Years",
TRUE,"10+ Years"
)</f>
        <v>5-9 Years</v>
      </c>
      <c r="AM1355" s="1">
        <f>IF(HR_Data[[#This Row],[Attrition]]="Yes",1,0)</f>
        <v>1</v>
      </c>
    </row>
    <row r="1356" spans="1:39" x14ac:dyDescent="0.3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 cm="1">
        <f t="array" ref="AJ1356">_xlfn.IFS(
HR_Data[[#This Row],[Age]]&lt;25,"Under 25",
HR_Data[[#This Row],[Age]]&lt;35,"25-34",
HR_Data[[#This Row],[Age]]&lt;45,"35-44",
HR_Data[[#This Row],[Age]]&lt;55,"45-54",
TRUE,"55+"
)</f>
        <v>55+</v>
      </c>
      <c r="AK1356" t="str" cm="1">
        <f t="array" ref="AK1356">_xlfn.IFS(
HR_Data[[#This Row],[MonthlyIncome]]&lt;3000,"&lt;3K",
HR_Data[[#This Row],[MonthlyIncome]]&lt;6000,"3K-6K",
HR_Data[[#This Row],[MonthlyIncome]]&lt;10000,"6K-10K",
TRUE,"10K+"
)</f>
        <v>&lt;3K</v>
      </c>
      <c r="AL1356" t="str" cm="1">
        <f t="array" ref="AL1356">_xlfn.IFS(
HR_Data[[#This Row],[YearsAtCompany]]&lt;2,"&lt;2 Years",
HR_Data[[#This Row],[YearsAtCompany]]&lt;5,"2-4 Years",
HR_Data[[#This Row],[YearsAtCompany]]&lt;10,"5-9 Years",
TRUE,"10+ Years"
)</f>
        <v>2-4 Years</v>
      </c>
      <c r="AM1356" s="1">
        <f>IF(HR_Data[[#This Row],[Attrition]]="Yes",1,0)</f>
        <v>1</v>
      </c>
    </row>
    <row r="1357" spans="1:39" x14ac:dyDescent="0.3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 cm="1">
        <f t="array" ref="AJ1357">_xlfn.IFS(
HR_Data[[#This Row],[Age]]&lt;25,"Under 25",
HR_Data[[#This Row],[Age]]&lt;35,"25-34",
HR_Data[[#This Row],[Age]]&lt;45,"35-44",
HR_Data[[#This Row],[Age]]&lt;55,"45-54",
TRUE,"55+"
)</f>
        <v>35-44</v>
      </c>
      <c r="AK1357" t="str" cm="1">
        <f t="array" ref="AK1357">_xlfn.IFS(
HR_Data[[#This Row],[MonthlyIncome]]&lt;3000,"&lt;3K",
HR_Data[[#This Row],[MonthlyIncome]]&lt;6000,"3K-6K",
HR_Data[[#This Row],[MonthlyIncome]]&lt;10000,"6K-10K",
TRUE,"10K+"
)</f>
        <v>3K-6K</v>
      </c>
      <c r="AL1357" t="str" cm="1">
        <f t="array" ref="AL1357">_xlfn.IFS(
HR_Data[[#This Row],[YearsAtCompany]]&lt;2,"&lt;2 Years",
HR_Data[[#This Row],[YearsAtCompany]]&lt;5,"2-4 Years",
HR_Data[[#This Row],[YearsAtCompany]]&lt;10,"5-9 Years",
TRUE,"10+ Years"
)</f>
        <v>2-4 Years</v>
      </c>
      <c r="AM1357" s="1">
        <f>IF(HR_Data[[#This Row],[Attrition]]="Yes",1,0)</f>
        <v>0</v>
      </c>
    </row>
    <row r="1358" spans="1:39" x14ac:dyDescent="0.3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 cm="1">
        <f t="array" ref="AJ1358">_xlfn.IFS(
HR_Data[[#This Row],[Age]]&lt;25,"Under 25",
HR_Data[[#This Row],[Age]]&lt;35,"25-34",
HR_Data[[#This Row],[Age]]&lt;45,"35-44",
HR_Data[[#This Row],[Age]]&lt;55,"45-54",
TRUE,"55+"
)</f>
        <v>35-44</v>
      </c>
      <c r="AK1358" t="str" cm="1">
        <f t="array" ref="AK1358">_xlfn.IFS(
HR_Data[[#This Row],[MonthlyIncome]]&lt;3000,"&lt;3K",
HR_Data[[#This Row],[MonthlyIncome]]&lt;6000,"3K-6K",
HR_Data[[#This Row],[MonthlyIncome]]&lt;10000,"6K-10K",
TRUE,"10K+"
)</f>
        <v>3K-6K</v>
      </c>
      <c r="AL1358" t="str" cm="1">
        <f t="array" ref="AL1358">_xlfn.IFS(
HR_Data[[#This Row],[YearsAtCompany]]&lt;2,"&lt;2 Years",
HR_Data[[#This Row],[YearsAtCompany]]&lt;5,"2-4 Years",
HR_Data[[#This Row],[YearsAtCompany]]&lt;10,"5-9 Years",
TRUE,"10+ Years"
)</f>
        <v>5-9 Years</v>
      </c>
      <c r="AM1358" s="1">
        <f>IF(HR_Data[[#This Row],[Attrition]]="Yes",1,0)</f>
        <v>0</v>
      </c>
    </row>
    <row r="1359" spans="1:39" x14ac:dyDescent="0.3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 cm="1">
        <f t="array" ref="AJ1359">_xlfn.IFS(
HR_Data[[#This Row],[Age]]&lt;25,"Under 25",
HR_Data[[#This Row],[Age]]&lt;35,"25-34",
HR_Data[[#This Row],[Age]]&lt;45,"35-44",
HR_Data[[#This Row],[Age]]&lt;55,"45-54",
TRUE,"55+"
)</f>
        <v>35-44</v>
      </c>
      <c r="AK1359" t="str" cm="1">
        <f t="array" ref="AK1359">_xlfn.IFS(
HR_Data[[#This Row],[MonthlyIncome]]&lt;3000,"&lt;3K",
HR_Data[[#This Row],[MonthlyIncome]]&lt;6000,"3K-6K",
HR_Data[[#This Row],[MonthlyIncome]]&lt;10000,"6K-10K",
TRUE,"10K+"
)</f>
        <v>10K+</v>
      </c>
      <c r="AL1359" t="str" cm="1">
        <f t="array" ref="AL1359">_xlfn.IFS(
HR_Data[[#This Row],[YearsAtCompany]]&lt;2,"&lt;2 Years",
HR_Data[[#This Row],[YearsAtCompany]]&lt;5,"2-4 Years",
HR_Data[[#This Row],[YearsAtCompany]]&lt;10,"5-9 Years",
TRUE,"10+ Years"
)</f>
        <v>10+ Years</v>
      </c>
      <c r="AM1359" s="1">
        <f>IF(HR_Data[[#This Row],[Attrition]]="Yes",1,0)</f>
        <v>0</v>
      </c>
    </row>
    <row r="1360" spans="1:39" x14ac:dyDescent="0.3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 cm="1">
        <f t="array" ref="AJ1360">_xlfn.IFS(
HR_Data[[#This Row],[Age]]&lt;25,"Under 25",
HR_Data[[#This Row],[Age]]&lt;35,"25-34",
HR_Data[[#This Row],[Age]]&lt;45,"35-44",
HR_Data[[#This Row],[Age]]&lt;55,"45-54",
TRUE,"55+"
)</f>
        <v>25-34</v>
      </c>
      <c r="AK1360" t="str" cm="1">
        <f t="array" ref="AK1360">_xlfn.IFS(
HR_Data[[#This Row],[MonthlyIncome]]&lt;3000,"&lt;3K",
HR_Data[[#This Row],[MonthlyIncome]]&lt;6000,"3K-6K",
HR_Data[[#This Row],[MonthlyIncome]]&lt;10000,"6K-10K",
TRUE,"10K+"
)</f>
        <v>6K-10K</v>
      </c>
      <c r="AL1360" t="str" cm="1">
        <f t="array" ref="AL1360">_xlfn.IFS(
HR_Data[[#This Row],[YearsAtCompany]]&lt;2,"&lt;2 Years",
HR_Data[[#This Row],[YearsAtCompany]]&lt;5,"2-4 Years",
HR_Data[[#This Row],[YearsAtCompany]]&lt;10,"5-9 Years",
TRUE,"10+ Years"
)</f>
        <v>5-9 Years</v>
      </c>
      <c r="AM1360" s="1">
        <f>IF(HR_Data[[#This Row],[Attrition]]="Yes",1,0)</f>
        <v>0</v>
      </c>
    </row>
    <row r="1361" spans="1:39" x14ac:dyDescent="0.3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 cm="1">
        <f t="array" ref="AJ1361">_xlfn.IFS(
HR_Data[[#This Row],[Age]]&lt;25,"Under 25",
HR_Data[[#This Row],[Age]]&lt;35,"25-34",
HR_Data[[#This Row],[Age]]&lt;45,"35-44",
HR_Data[[#This Row],[Age]]&lt;55,"45-54",
TRUE,"55+"
)</f>
        <v>25-34</v>
      </c>
      <c r="AK1361" t="str" cm="1">
        <f t="array" ref="AK1361">_xlfn.IFS(
HR_Data[[#This Row],[MonthlyIncome]]&lt;3000,"&lt;3K",
HR_Data[[#This Row],[MonthlyIncome]]&lt;6000,"3K-6K",
HR_Data[[#This Row],[MonthlyIncome]]&lt;10000,"6K-10K",
TRUE,"10K+"
)</f>
        <v>6K-10K</v>
      </c>
      <c r="AL1361" t="str" cm="1">
        <f t="array" ref="AL1361">_xlfn.IFS(
HR_Data[[#This Row],[YearsAtCompany]]&lt;2,"&lt;2 Years",
HR_Data[[#This Row],[YearsAtCompany]]&lt;5,"2-4 Years",
HR_Data[[#This Row],[YearsAtCompany]]&lt;10,"5-9 Years",
TRUE,"10+ Years"
)</f>
        <v>2-4 Years</v>
      </c>
      <c r="AM1361" s="1">
        <f>IF(HR_Data[[#This Row],[Attrition]]="Yes",1,0)</f>
        <v>0</v>
      </c>
    </row>
    <row r="1362" spans="1:39" x14ac:dyDescent="0.3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 cm="1">
        <f t="array" ref="AJ1362">_xlfn.IFS(
HR_Data[[#This Row],[Age]]&lt;25,"Under 25",
HR_Data[[#This Row],[Age]]&lt;35,"25-34",
HR_Data[[#This Row],[Age]]&lt;45,"35-44",
HR_Data[[#This Row],[Age]]&lt;55,"45-54",
TRUE,"55+"
)</f>
        <v>25-34</v>
      </c>
      <c r="AK1362" t="str" cm="1">
        <f t="array" ref="AK1362">_xlfn.IFS(
HR_Data[[#This Row],[MonthlyIncome]]&lt;3000,"&lt;3K",
HR_Data[[#This Row],[MonthlyIncome]]&lt;6000,"3K-6K",
HR_Data[[#This Row],[MonthlyIncome]]&lt;10000,"6K-10K",
TRUE,"10K+"
)</f>
        <v>3K-6K</v>
      </c>
      <c r="AL1362" t="str" cm="1">
        <f t="array" ref="AL1362">_xlfn.IFS(
HR_Data[[#This Row],[YearsAtCompany]]&lt;2,"&lt;2 Years",
HR_Data[[#This Row],[YearsAtCompany]]&lt;5,"2-4 Years",
HR_Data[[#This Row],[YearsAtCompany]]&lt;10,"5-9 Years",
TRUE,"10+ Years"
)</f>
        <v>2-4 Years</v>
      </c>
      <c r="AM1362" s="1">
        <f>IF(HR_Data[[#This Row],[Attrition]]="Yes",1,0)</f>
        <v>0</v>
      </c>
    </row>
    <row r="1363" spans="1:39" x14ac:dyDescent="0.3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 cm="1">
        <f t="array" ref="AJ1363">_xlfn.IFS(
HR_Data[[#This Row],[Age]]&lt;25,"Under 25",
HR_Data[[#This Row],[Age]]&lt;35,"25-34",
HR_Data[[#This Row],[Age]]&lt;45,"35-44",
HR_Data[[#This Row],[Age]]&lt;55,"45-54",
TRUE,"55+"
)</f>
        <v>25-34</v>
      </c>
      <c r="AK1363" t="str" cm="1">
        <f t="array" ref="AK1363">_xlfn.IFS(
HR_Data[[#This Row],[MonthlyIncome]]&lt;3000,"&lt;3K",
HR_Data[[#This Row],[MonthlyIncome]]&lt;6000,"3K-6K",
HR_Data[[#This Row],[MonthlyIncome]]&lt;10000,"6K-10K",
TRUE,"10K+"
)</f>
        <v>&lt;3K</v>
      </c>
      <c r="AL1363" t="str" cm="1">
        <f t="array" ref="AL1363">_xlfn.IFS(
HR_Data[[#This Row],[YearsAtCompany]]&lt;2,"&lt;2 Years",
HR_Data[[#This Row],[YearsAtCompany]]&lt;5,"2-4 Years",
HR_Data[[#This Row],[YearsAtCompany]]&lt;10,"5-9 Years",
TRUE,"10+ Years"
)</f>
        <v>5-9 Years</v>
      </c>
      <c r="AM1363" s="1">
        <f>IF(HR_Data[[#This Row],[Attrition]]="Yes",1,0)</f>
        <v>0</v>
      </c>
    </row>
    <row r="1364" spans="1:39" x14ac:dyDescent="0.3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 cm="1">
        <f t="array" ref="AJ1364">_xlfn.IFS(
HR_Data[[#This Row],[Age]]&lt;25,"Under 25",
HR_Data[[#This Row],[Age]]&lt;35,"25-34",
HR_Data[[#This Row],[Age]]&lt;45,"35-44",
HR_Data[[#This Row],[Age]]&lt;55,"45-54",
TRUE,"55+"
)</f>
        <v>45-54</v>
      </c>
      <c r="AK1364" t="str" cm="1">
        <f t="array" ref="AK1364">_xlfn.IFS(
HR_Data[[#This Row],[MonthlyIncome]]&lt;3000,"&lt;3K",
HR_Data[[#This Row],[MonthlyIncome]]&lt;6000,"3K-6K",
HR_Data[[#This Row],[MonthlyIncome]]&lt;10000,"6K-10K",
TRUE,"10K+"
)</f>
        <v>3K-6K</v>
      </c>
      <c r="AL1364" t="str" cm="1">
        <f t="array" ref="AL1364">_xlfn.IFS(
HR_Data[[#This Row],[YearsAtCompany]]&lt;2,"&lt;2 Years",
HR_Data[[#This Row],[YearsAtCompany]]&lt;5,"2-4 Years",
HR_Data[[#This Row],[YearsAtCompany]]&lt;10,"5-9 Years",
TRUE,"10+ Years"
)</f>
        <v>2-4 Years</v>
      </c>
      <c r="AM1364" s="1">
        <f>IF(HR_Data[[#This Row],[Attrition]]="Yes",1,0)</f>
        <v>0</v>
      </c>
    </row>
    <row r="1365" spans="1:39" x14ac:dyDescent="0.3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 cm="1">
        <f t="array" ref="AJ1365">_xlfn.IFS(
HR_Data[[#This Row],[Age]]&lt;25,"Under 25",
HR_Data[[#This Row],[Age]]&lt;35,"25-34",
HR_Data[[#This Row],[Age]]&lt;45,"35-44",
HR_Data[[#This Row],[Age]]&lt;55,"45-54",
TRUE,"55+"
)</f>
        <v>25-34</v>
      </c>
      <c r="AK1365" t="str" cm="1">
        <f t="array" ref="AK1365">_xlfn.IFS(
HR_Data[[#This Row],[MonthlyIncome]]&lt;3000,"&lt;3K",
HR_Data[[#This Row],[MonthlyIncome]]&lt;6000,"3K-6K",
HR_Data[[#This Row],[MonthlyIncome]]&lt;10000,"6K-10K",
TRUE,"10K+"
)</f>
        <v>3K-6K</v>
      </c>
      <c r="AL1365" t="str" cm="1">
        <f t="array" ref="AL1365">_xlfn.IFS(
HR_Data[[#This Row],[YearsAtCompany]]&lt;2,"&lt;2 Years",
HR_Data[[#This Row],[YearsAtCompany]]&lt;5,"2-4 Years",
HR_Data[[#This Row],[YearsAtCompany]]&lt;10,"5-9 Years",
TRUE,"10+ Years"
)</f>
        <v>10+ Years</v>
      </c>
      <c r="AM1365" s="1">
        <f>IF(HR_Data[[#This Row],[Attrition]]="Yes",1,0)</f>
        <v>0</v>
      </c>
    </row>
    <row r="1366" spans="1:39" x14ac:dyDescent="0.3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 cm="1">
        <f t="array" ref="AJ1366">_xlfn.IFS(
HR_Data[[#This Row],[Age]]&lt;25,"Under 25",
HR_Data[[#This Row],[Age]]&lt;35,"25-34",
HR_Data[[#This Row],[Age]]&lt;45,"35-44",
HR_Data[[#This Row],[Age]]&lt;55,"45-54",
TRUE,"55+"
)</f>
        <v>25-34</v>
      </c>
      <c r="AK1366" t="str" cm="1">
        <f t="array" ref="AK1366">_xlfn.IFS(
HR_Data[[#This Row],[MonthlyIncome]]&lt;3000,"&lt;3K",
HR_Data[[#This Row],[MonthlyIncome]]&lt;6000,"3K-6K",
HR_Data[[#This Row],[MonthlyIncome]]&lt;10000,"6K-10K",
TRUE,"10K+"
)</f>
        <v>6K-10K</v>
      </c>
      <c r="AL1366" t="str" cm="1">
        <f t="array" ref="AL1366">_xlfn.IFS(
HR_Data[[#This Row],[YearsAtCompany]]&lt;2,"&lt;2 Years",
HR_Data[[#This Row],[YearsAtCompany]]&lt;5,"2-4 Years",
HR_Data[[#This Row],[YearsAtCompany]]&lt;10,"5-9 Years",
TRUE,"10+ Years"
)</f>
        <v>5-9 Years</v>
      </c>
      <c r="AM1366" s="1">
        <f>IF(HR_Data[[#This Row],[Attrition]]="Yes",1,0)</f>
        <v>0</v>
      </c>
    </row>
    <row r="1367" spans="1:39" x14ac:dyDescent="0.3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 cm="1">
        <f t="array" ref="AJ1367">_xlfn.IFS(
HR_Data[[#This Row],[Age]]&lt;25,"Under 25",
HR_Data[[#This Row],[Age]]&lt;35,"25-34",
HR_Data[[#This Row],[Age]]&lt;45,"35-44",
HR_Data[[#This Row],[Age]]&lt;55,"45-54",
TRUE,"55+"
)</f>
        <v>25-34</v>
      </c>
      <c r="AK1367" t="str" cm="1">
        <f t="array" ref="AK1367">_xlfn.IFS(
HR_Data[[#This Row],[MonthlyIncome]]&lt;3000,"&lt;3K",
HR_Data[[#This Row],[MonthlyIncome]]&lt;6000,"3K-6K",
HR_Data[[#This Row],[MonthlyIncome]]&lt;10000,"6K-10K",
TRUE,"10K+"
)</f>
        <v>&lt;3K</v>
      </c>
      <c r="AL1367" t="str" cm="1">
        <f t="array" ref="AL1367">_xlfn.IFS(
HR_Data[[#This Row],[YearsAtCompany]]&lt;2,"&lt;2 Years",
HR_Data[[#This Row],[YearsAtCompany]]&lt;5,"2-4 Years",
HR_Data[[#This Row],[YearsAtCompany]]&lt;10,"5-9 Years",
TRUE,"10+ Years"
)</f>
        <v>&lt;2 Years</v>
      </c>
      <c r="AM1367" s="1">
        <f>IF(HR_Data[[#This Row],[Attrition]]="Yes",1,0)</f>
        <v>1</v>
      </c>
    </row>
    <row r="1368" spans="1:39" x14ac:dyDescent="0.3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 cm="1">
        <f t="array" ref="AJ1368">_xlfn.IFS(
HR_Data[[#This Row],[Age]]&lt;25,"Under 25",
HR_Data[[#This Row],[Age]]&lt;35,"25-34",
HR_Data[[#This Row],[Age]]&lt;45,"35-44",
HR_Data[[#This Row],[Age]]&lt;55,"45-54",
TRUE,"55+"
)</f>
        <v>35-44</v>
      </c>
      <c r="AK1368" t="str" cm="1">
        <f t="array" ref="AK1368">_xlfn.IFS(
HR_Data[[#This Row],[MonthlyIncome]]&lt;3000,"&lt;3K",
HR_Data[[#This Row],[MonthlyIncome]]&lt;6000,"3K-6K",
HR_Data[[#This Row],[MonthlyIncome]]&lt;10000,"6K-10K",
TRUE,"10K+"
)</f>
        <v>3K-6K</v>
      </c>
      <c r="AL1368" t="str" cm="1">
        <f t="array" ref="AL1368">_xlfn.IFS(
HR_Data[[#This Row],[YearsAtCompany]]&lt;2,"&lt;2 Years",
HR_Data[[#This Row],[YearsAtCompany]]&lt;5,"2-4 Years",
HR_Data[[#This Row],[YearsAtCompany]]&lt;10,"5-9 Years",
TRUE,"10+ Years"
)</f>
        <v>2-4 Years</v>
      </c>
      <c r="AM1368" s="1">
        <f>IF(HR_Data[[#This Row],[Attrition]]="Yes",1,0)</f>
        <v>0</v>
      </c>
    </row>
    <row r="1369" spans="1:39" x14ac:dyDescent="0.3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 cm="1">
        <f t="array" ref="AJ1369">_xlfn.IFS(
HR_Data[[#This Row],[Age]]&lt;25,"Under 25",
HR_Data[[#This Row],[Age]]&lt;35,"25-34",
HR_Data[[#This Row],[Age]]&lt;45,"35-44",
HR_Data[[#This Row],[Age]]&lt;55,"45-54",
TRUE,"55+"
)</f>
        <v>25-34</v>
      </c>
      <c r="AK1369" t="str" cm="1">
        <f t="array" ref="AK1369">_xlfn.IFS(
HR_Data[[#This Row],[MonthlyIncome]]&lt;3000,"&lt;3K",
HR_Data[[#This Row],[MonthlyIncome]]&lt;6000,"3K-6K",
HR_Data[[#This Row],[MonthlyIncome]]&lt;10000,"6K-10K",
TRUE,"10K+"
)</f>
        <v>&lt;3K</v>
      </c>
      <c r="AL1369" t="str" cm="1">
        <f t="array" ref="AL1369">_xlfn.IFS(
HR_Data[[#This Row],[YearsAtCompany]]&lt;2,"&lt;2 Years",
HR_Data[[#This Row],[YearsAtCompany]]&lt;5,"2-4 Years",
HR_Data[[#This Row],[YearsAtCompany]]&lt;10,"5-9 Years",
TRUE,"10+ Years"
)</f>
        <v>5-9 Years</v>
      </c>
      <c r="AM1369" s="1">
        <f>IF(HR_Data[[#This Row],[Attrition]]="Yes",1,0)</f>
        <v>0</v>
      </c>
    </row>
    <row r="1370" spans="1:39" x14ac:dyDescent="0.3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 cm="1">
        <f t="array" ref="AJ1370">_xlfn.IFS(
HR_Data[[#This Row],[Age]]&lt;25,"Under 25",
HR_Data[[#This Row],[Age]]&lt;35,"25-34",
HR_Data[[#This Row],[Age]]&lt;45,"35-44",
HR_Data[[#This Row],[Age]]&lt;55,"45-54",
TRUE,"55+"
)</f>
        <v>25-34</v>
      </c>
      <c r="AK1370" t="str" cm="1">
        <f t="array" ref="AK1370">_xlfn.IFS(
HR_Data[[#This Row],[MonthlyIncome]]&lt;3000,"&lt;3K",
HR_Data[[#This Row],[MonthlyIncome]]&lt;6000,"3K-6K",
HR_Data[[#This Row],[MonthlyIncome]]&lt;10000,"6K-10K",
TRUE,"10K+"
)</f>
        <v>3K-6K</v>
      </c>
      <c r="AL1370" t="str" cm="1">
        <f t="array" ref="AL1370">_xlfn.IFS(
HR_Data[[#This Row],[YearsAtCompany]]&lt;2,"&lt;2 Years",
HR_Data[[#This Row],[YearsAtCompany]]&lt;5,"2-4 Years",
HR_Data[[#This Row],[YearsAtCompany]]&lt;10,"5-9 Years",
TRUE,"10+ Years"
)</f>
        <v>10+ Years</v>
      </c>
      <c r="AM1370" s="1">
        <f>IF(HR_Data[[#This Row],[Attrition]]="Yes",1,0)</f>
        <v>0</v>
      </c>
    </row>
    <row r="1371" spans="1:39" x14ac:dyDescent="0.3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 cm="1">
        <f t="array" ref="AJ1371">_xlfn.IFS(
HR_Data[[#This Row],[Age]]&lt;25,"Under 25",
HR_Data[[#This Row],[Age]]&lt;35,"25-34",
HR_Data[[#This Row],[Age]]&lt;45,"35-44",
HR_Data[[#This Row],[Age]]&lt;55,"45-54",
TRUE,"55+"
)</f>
        <v>25-34</v>
      </c>
      <c r="AK1371" t="str" cm="1">
        <f t="array" ref="AK1371">_xlfn.IFS(
HR_Data[[#This Row],[MonthlyIncome]]&lt;3000,"&lt;3K",
HR_Data[[#This Row],[MonthlyIncome]]&lt;6000,"3K-6K",
HR_Data[[#This Row],[MonthlyIncome]]&lt;10000,"6K-10K",
TRUE,"10K+"
)</f>
        <v>6K-10K</v>
      </c>
      <c r="AL1371" t="str" cm="1">
        <f t="array" ref="AL1371">_xlfn.IFS(
HR_Data[[#This Row],[YearsAtCompany]]&lt;2,"&lt;2 Years",
HR_Data[[#This Row],[YearsAtCompany]]&lt;5,"2-4 Years",
HR_Data[[#This Row],[YearsAtCompany]]&lt;10,"5-9 Years",
TRUE,"10+ Years"
)</f>
        <v>2-4 Years</v>
      </c>
      <c r="AM1371" s="1">
        <f>IF(HR_Data[[#This Row],[Attrition]]="Yes",1,0)</f>
        <v>1</v>
      </c>
    </row>
    <row r="1372" spans="1:39" x14ac:dyDescent="0.3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 cm="1">
        <f t="array" ref="AJ1372">_xlfn.IFS(
HR_Data[[#This Row],[Age]]&lt;25,"Under 25",
HR_Data[[#This Row],[Age]]&lt;35,"25-34",
HR_Data[[#This Row],[Age]]&lt;45,"35-44",
HR_Data[[#This Row],[Age]]&lt;55,"45-54",
TRUE,"55+"
)</f>
        <v>45-54</v>
      </c>
      <c r="AK1372" t="str" cm="1">
        <f t="array" ref="AK1372">_xlfn.IFS(
HR_Data[[#This Row],[MonthlyIncome]]&lt;3000,"&lt;3K",
HR_Data[[#This Row],[MonthlyIncome]]&lt;6000,"3K-6K",
HR_Data[[#This Row],[MonthlyIncome]]&lt;10000,"6K-10K",
TRUE,"10K+"
)</f>
        <v>3K-6K</v>
      </c>
      <c r="AL1372" t="str" cm="1">
        <f t="array" ref="AL1372">_xlfn.IFS(
HR_Data[[#This Row],[YearsAtCompany]]&lt;2,"&lt;2 Years",
HR_Data[[#This Row],[YearsAtCompany]]&lt;5,"2-4 Years",
HR_Data[[#This Row],[YearsAtCompany]]&lt;10,"5-9 Years",
TRUE,"10+ Years"
)</f>
        <v>5-9 Years</v>
      </c>
      <c r="AM1372" s="1">
        <f>IF(HR_Data[[#This Row],[Attrition]]="Yes",1,0)</f>
        <v>0</v>
      </c>
    </row>
    <row r="1373" spans="1:39" x14ac:dyDescent="0.3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 cm="1">
        <f t="array" ref="AJ1373">_xlfn.IFS(
HR_Data[[#This Row],[Age]]&lt;25,"Under 25",
HR_Data[[#This Row],[Age]]&lt;35,"25-34",
HR_Data[[#This Row],[Age]]&lt;45,"35-44",
HR_Data[[#This Row],[Age]]&lt;55,"45-54",
TRUE,"55+"
)</f>
        <v>55+</v>
      </c>
      <c r="AK1373" t="str" cm="1">
        <f t="array" ref="AK1373">_xlfn.IFS(
HR_Data[[#This Row],[MonthlyIncome]]&lt;3000,"&lt;3K",
HR_Data[[#This Row],[MonthlyIncome]]&lt;6000,"3K-6K",
HR_Data[[#This Row],[MonthlyIncome]]&lt;10000,"6K-10K",
TRUE,"10K+"
)</f>
        <v>3K-6K</v>
      </c>
      <c r="AL1373" t="str" cm="1">
        <f t="array" ref="AL1373">_xlfn.IFS(
HR_Data[[#This Row],[YearsAtCompany]]&lt;2,"&lt;2 Years",
HR_Data[[#This Row],[YearsAtCompany]]&lt;5,"2-4 Years",
HR_Data[[#This Row],[YearsAtCompany]]&lt;10,"5-9 Years",
TRUE,"10+ Years"
)</f>
        <v>&lt;2 Years</v>
      </c>
      <c r="AM1373" s="1">
        <f>IF(HR_Data[[#This Row],[Attrition]]="Yes",1,0)</f>
        <v>0</v>
      </c>
    </row>
    <row r="1374" spans="1:39" x14ac:dyDescent="0.3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 cm="1">
        <f t="array" ref="AJ1374">_xlfn.IFS(
HR_Data[[#This Row],[Age]]&lt;25,"Under 25",
HR_Data[[#This Row],[Age]]&lt;35,"25-34",
HR_Data[[#This Row],[Age]]&lt;45,"35-44",
HR_Data[[#This Row],[Age]]&lt;55,"45-54",
TRUE,"55+"
)</f>
        <v>35-44</v>
      </c>
      <c r="AK1374" t="str" cm="1">
        <f t="array" ref="AK1374">_xlfn.IFS(
HR_Data[[#This Row],[MonthlyIncome]]&lt;3000,"&lt;3K",
HR_Data[[#This Row],[MonthlyIncome]]&lt;6000,"3K-6K",
HR_Data[[#This Row],[MonthlyIncome]]&lt;10000,"6K-10K",
TRUE,"10K+"
)</f>
        <v>3K-6K</v>
      </c>
      <c r="AL1374" t="str" cm="1">
        <f t="array" ref="AL1374">_xlfn.IFS(
HR_Data[[#This Row],[YearsAtCompany]]&lt;2,"&lt;2 Years",
HR_Data[[#This Row],[YearsAtCompany]]&lt;5,"2-4 Years",
HR_Data[[#This Row],[YearsAtCompany]]&lt;10,"5-9 Years",
TRUE,"10+ Years"
)</f>
        <v>10+ Years</v>
      </c>
      <c r="AM1374" s="1">
        <f>IF(HR_Data[[#This Row],[Attrition]]="Yes",1,0)</f>
        <v>0</v>
      </c>
    </row>
    <row r="1375" spans="1:39" x14ac:dyDescent="0.3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 cm="1">
        <f t="array" ref="AJ1375">_xlfn.IFS(
HR_Data[[#This Row],[Age]]&lt;25,"Under 25",
HR_Data[[#This Row],[Age]]&lt;35,"25-34",
HR_Data[[#This Row],[Age]]&lt;45,"35-44",
HR_Data[[#This Row],[Age]]&lt;55,"45-54",
TRUE,"55+"
)</f>
        <v>35-44</v>
      </c>
      <c r="AK1375" t="str" cm="1">
        <f t="array" ref="AK1375">_xlfn.IFS(
HR_Data[[#This Row],[MonthlyIncome]]&lt;3000,"&lt;3K",
HR_Data[[#This Row],[MonthlyIncome]]&lt;6000,"3K-6K",
HR_Data[[#This Row],[MonthlyIncome]]&lt;10000,"6K-10K",
TRUE,"10K+"
)</f>
        <v>&lt;3K</v>
      </c>
      <c r="AL1375" t="str" cm="1">
        <f t="array" ref="AL1375">_xlfn.IFS(
HR_Data[[#This Row],[YearsAtCompany]]&lt;2,"&lt;2 Years",
HR_Data[[#This Row],[YearsAtCompany]]&lt;5,"2-4 Years",
HR_Data[[#This Row],[YearsAtCompany]]&lt;10,"5-9 Years",
TRUE,"10+ Years"
)</f>
        <v>10+ Years</v>
      </c>
      <c r="AM1375" s="1">
        <f>IF(HR_Data[[#This Row],[Attrition]]="Yes",1,0)</f>
        <v>0</v>
      </c>
    </row>
    <row r="1376" spans="1:39" x14ac:dyDescent="0.3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 cm="1">
        <f t="array" ref="AJ1376">_xlfn.IFS(
HR_Data[[#This Row],[Age]]&lt;25,"Under 25",
HR_Data[[#This Row],[Age]]&lt;35,"25-34",
HR_Data[[#This Row],[Age]]&lt;45,"35-44",
HR_Data[[#This Row],[Age]]&lt;55,"45-54",
TRUE,"55+"
)</f>
        <v>55+</v>
      </c>
      <c r="AK1376" t="str" cm="1">
        <f t="array" ref="AK1376">_xlfn.IFS(
HR_Data[[#This Row],[MonthlyIncome]]&lt;3000,"&lt;3K",
HR_Data[[#This Row],[MonthlyIncome]]&lt;6000,"3K-6K",
HR_Data[[#This Row],[MonthlyIncome]]&lt;10000,"6K-10K",
TRUE,"10K+"
)</f>
        <v>10K+</v>
      </c>
      <c r="AL1376" t="str" cm="1">
        <f t="array" ref="AL1376">_xlfn.IFS(
HR_Data[[#This Row],[YearsAtCompany]]&lt;2,"&lt;2 Years",
HR_Data[[#This Row],[YearsAtCompany]]&lt;5,"2-4 Years",
HR_Data[[#This Row],[YearsAtCompany]]&lt;10,"5-9 Years",
TRUE,"10+ Years"
)</f>
        <v>&lt;2 Years</v>
      </c>
      <c r="AM1376" s="1">
        <f>IF(HR_Data[[#This Row],[Attrition]]="Yes",1,0)</f>
        <v>0</v>
      </c>
    </row>
    <row r="1377" spans="1:39" x14ac:dyDescent="0.3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 cm="1">
        <f t="array" ref="AJ1377">_xlfn.IFS(
HR_Data[[#This Row],[Age]]&lt;25,"Under 25",
HR_Data[[#This Row],[Age]]&lt;35,"25-34",
HR_Data[[#This Row],[Age]]&lt;45,"35-44",
HR_Data[[#This Row],[Age]]&lt;55,"45-54",
TRUE,"55+"
)</f>
        <v>25-34</v>
      </c>
      <c r="AK1377" t="str" cm="1">
        <f t="array" ref="AK1377">_xlfn.IFS(
HR_Data[[#This Row],[MonthlyIncome]]&lt;3000,"&lt;3K",
HR_Data[[#This Row],[MonthlyIncome]]&lt;6000,"3K-6K",
HR_Data[[#This Row],[MonthlyIncome]]&lt;10000,"6K-10K",
TRUE,"10K+"
)</f>
        <v>&lt;3K</v>
      </c>
      <c r="AL1377" t="str" cm="1">
        <f t="array" ref="AL1377">_xlfn.IFS(
HR_Data[[#This Row],[YearsAtCompany]]&lt;2,"&lt;2 Years",
HR_Data[[#This Row],[YearsAtCompany]]&lt;5,"2-4 Years",
HR_Data[[#This Row],[YearsAtCompany]]&lt;10,"5-9 Years",
TRUE,"10+ Years"
)</f>
        <v>2-4 Years</v>
      </c>
      <c r="AM1377" s="1">
        <f>IF(HR_Data[[#This Row],[Attrition]]="Yes",1,0)</f>
        <v>1</v>
      </c>
    </row>
    <row r="1378" spans="1:39" x14ac:dyDescent="0.3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 cm="1">
        <f t="array" ref="AJ1378">_xlfn.IFS(
HR_Data[[#This Row],[Age]]&lt;25,"Under 25",
HR_Data[[#This Row],[Age]]&lt;35,"25-34",
HR_Data[[#This Row],[Age]]&lt;45,"35-44",
HR_Data[[#This Row],[Age]]&lt;55,"45-54",
TRUE,"55+"
)</f>
        <v>35-44</v>
      </c>
      <c r="AK1378" t="str" cm="1">
        <f t="array" ref="AK1378">_xlfn.IFS(
HR_Data[[#This Row],[MonthlyIncome]]&lt;3000,"&lt;3K",
HR_Data[[#This Row],[MonthlyIncome]]&lt;6000,"3K-6K",
HR_Data[[#This Row],[MonthlyIncome]]&lt;10000,"6K-10K",
TRUE,"10K+"
)</f>
        <v>3K-6K</v>
      </c>
      <c r="AL1378" t="str" cm="1">
        <f t="array" ref="AL1378">_xlfn.IFS(
HR_Data[[#This Row],[YearsAtCompany]]&lt;2,"&lt;2 Years",
HR_Data[[#This Row],[YearsAtCompany]]&lt;5,"2-4 Years",
HR_Data[[#This Row],[YearsAtCompany]]&lt;10,"5-9 Years",
TRUE,"10+ Years"
)</f>
        <v>5-9 Years</v>
      </c>
      <c r="AM1378" s="1">
        <f>IF(HR_Data[[#This Row],[Attrition]]="Yes",1,0)</f>
        <v>0</v>
      </c>
    </row>
    <row r="1379" spans="1:39" x14ac:dyDescent="0.3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 cm="1">
        <f t="array" ref="AJ1379">_xlfn.IFS(
HR_Data[[#This Row],[Age]]&lt;25,"Under 25",
HR_Data[[#This Row],[Age]]&lt;35,"25-34",
HR_Data[[#This Row],[Age]]&lt;45,"35-44",
HR_Data[[#This Row],[Age]]&lt;55,"45-54",
TRUE,"55+"
)</f>
        <v>45-54</v>
      </c>
      <c r="AK1379" t="str" cm="1">
        <f t="array" ref="AK1379">_xlfn.IFS(
HR_Data[[#This Row],[MonthlyIncome]]&lt;3000,"&lt;3K",
HR_Data[[#This Row],[MonthlyIncome]]&lt;6000,"3K-6K",
HR_Data[[#This Row],[MonthlyIncome]]&lt;10000,"6K-10K",
TRUE,"10K+"
)</f>
        <v>10K+</v>
      </c>
      <c r="AL1379" t="str" cm="1">
        <f t="array" ref="AL1379">_xlfn.IFS(
HR_Data[[#This Row],[YearsAtCompany]]&lt;2,"&lt;2 Years",
HR_Data[[#This Row],[YearsAtCompany]]&lt;5,"2-4 Years",
HR_Data[[#This Row],[YearsAtCompany]]&lt;10,"5-9 Years",
TRUE,"10+ Years"
)</f>
        <v>5-9 Years</v>
      </c>
      <c r="AM1379" s="1">
        <f>IF(HR_Data[[#This Row],[Attrition]]="Yes",1,0)</f>
        <v>0</v>
      </c>
    </row>
    <row r="1380" spans="1:39" x14ac:dyDescent="0.3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 cm="1">
        <f t="array" ref="AJ1380">_xlfn.IFS(
HR_Data[[#This Row],[Age]]&lt;25,"Under 25",
HR_Data[[#This Row],[Age]]&lt;35,"25-34",
HR_Data[[#This Row],[Age]]&lt;45,"35-44",
HR_Data[[#This Row],[Age]]&lt;55,"45-54",
TRUE,"55+"
)</f>
        <v>35-44</v>
      </c>
      <c r="AK1380" t="str" cm="1">
        <f t="array" ref="AK1380">_xlfn.IFS(
HR_Data[[#This Row],[MonthlyIncome]]&lt;3000,"&lt;3K",
HR_Data[[#This Row],[MonthlyIncome]]&lt;6000,"3K-6K",
HR_Data[[#This Row],[MonthlyIncome]]&lt;10000,"6K-10K",
TRUE,"10K+"
)</f>
        <v>3K-6K</v>
      </c>
      <c r="AL1380" t="str" cm="1">
        <f t="array" ref="AL1380">_xlfn.IFS(
HR_Data[[#This Row],[YearsAtCompany]]&lt;2,"&lt;2 Years",
HR_Data[[#This Row],[YearsAtCompany]]&lt;5,"2-4 Years",
HR_Data[[#This Row],[YearsAtCompany]]&lt;10,"5-9 Years",
TRUE,"10+ Years"
)</f>
        <v>&lt;2 Years</v>
      </c>
      <c r="AM1380" s="1">
        <f>IF(HR_Data[[#This Row],[Attrition]]="Yes",1,0)</f>
        <v>0</v>
      </c>
    </row>
    <row r="1381" spans="1:39" x14ac:dyDescent="0.3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 cm="1">
        <f t="array" ref="AJ1381">_xlfn.IFS(
HR_Data[[#This Row],[Age]]&lt;25,"Under 25",
HR_Data[[#This Row],[Age]]&lt;35,"25-34",
HR_Data[[#This Row],[Age]]&lt;45,"35-44",
HR_Data[[#This Row],[Age]]&lt;55,"45-54",
TRUE,"55+"
)</f>
        <v>25-34</v>
      </c>
      <c r="AK1381" t="str" cm="1">
        <f t="array" ref="AK1381">_xlfn.IFS(
HR_Data[[#This Row],[MonthlyIncome]]&lt;3000,"&lt;3K",
HR_Data[[#This Row],[MonthlyIncome]]&lt;6000,"3K-6K",
HR_Data[[#This Row],[MonthlyIncome]]&lt;10000,"6K-10K",
TRUE,"10K+"
)</f>
        <v>&lt;3K</v>
      </c>
      <c r="AL1381" t="str" cm="1">
        <f t="array" ref="AL1381">_xlfn.IFS(
HR_Data[[#This Row],[YearsAtCompany]]&lt;2,"&lt;2 Years",
HR_Data[[#This Row],[YearsAtCompany]]&lt;5,"2-4 Years",
HR_Data[[#This Row],[YearsAtCompany]]&lt;10,"5-9 Years",
TRUE,"10+ Years"
)</f>
        <v>&lt;2 Years</v>
      </c>
      <c r="AM1381" s="1">
        <f>IF(HR_Data[[#This Row],[Attrition]]="Yes",1,0)</f>
        <v>1</v>
      </c>
    </row>
    <row r="1382" spans="1:39" x14ac:dyDescent="0.3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 cm="1">
        <f t="array" ref="AJ1382">_xlfn.IFS(
HR_Data[[#This Row],[Age]]&lt;25,"Under 25",
HR_Data[[#This Row],[Age]]&lt;35,"25-34",
HR_Data[[#This Row],[Age]]&lt;45,"35-44",
HR_Data[[#This Row],[Age]]&lt;55,"45-54",
TRUE,"55+"
)</f>
        <v>35-44</v>
      </c>
      <c r="AK1382" t="str" cm="1">
        <f t="array" ref="AK1382">_xlfn.IFS(
HR_Data[[#This Row],[MonthlyIncome]]&lt;3000,"&lt;3K",
HR_Data[[#This Row],[MonthlyIncome]]&lt;6000,"3K-6K",
HR_Data[[#This Row],[MonthlyIncome]]&lt;10000,"6K-10K",
TRUE,"10K+"
)</f>
        <v>3K-6K</v>
      </c>
      <c r="AL1382" t="str" cm="1">
        <f t="array" ref="AL1382">_xlfn.IFS(
HR_Data[[#This Row],[YearsAtCompany]]&lt;2,"&lt;2 Years",
HR_Data[[#This Row],[YearsAtCompany]]&lt;5,"2-4 Years",
HR_Data[[#This Row],[YearsAtCompany]]&lt;10,"5-9 Years",
TRUE,"10+ Years"
)</f>
        <v>5-9 Years</v>
      </c>
      <c r="AM1382" s="1">
        <f>IF(HR_Data[[#This Row],[Attrition]]="Yes",1,0)</f>
        <v>0</v>
      </c>
    </row>
    <row r="1383" spans="1:39" x14ac:dyDescent="0.3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 cm="1">
        <f t="array" ref="AJ1383">_xlfn.IFS(
HR_Data[[#This Row],[Age]]&lt;25,"Under 25",
HR_Data[[#This Row],[Age]]&lt;35,"25-34",
HR_Data[[#This Row],[Age]]&lt;45,"35-44",
HR_Data[[#This Row],[Age]]&lt;55,"45-54",
TRUE,"55+"
)</f>
        <v>25-34</v>
      </c>
      <c r="AK1383" t="str" cm="1">
        <f t="array" ref="AK1383">_xlfn.IFS(
HR_Data[[#This Row],[MonthlyIncome]]&lt;3000,"&lt;3K",
HR_Data[[#This Row],[MonthlyIncome]]&lt;6000,"3K-6K",
HR_Data[[#This Row],[MonthlyIncome]]&lt;10000,"6K-10K",
TRUE,"10K+"
)</f>
        <v>&lt;3K</v>
      </c>
      <c r="AL1383" t="str" cm="1">
        <f t="array" ref="AL1383">_xlfn.IFS(
HR_Data[[#This Row],[YearsAtCompany]]&lt;2,"&lt;2 Years",
HR_Data[[#This Row],[YearsAtCompany]]&lt;5,"2-4 Years",
HR_Data[[#This Row],[YearsAtCompany]]&lt;10,"5-9 Years",
TRUE,"10+ Years"
)</f>
        <v>5-9 Years</v>
      </c>
      <c r="AM1383" s="1">
        <f>IF(HR_Data[[#This Row],[Attrition]]="Yes",1,0)</f>
        <v>0</v>
      </c>
    </row>
    <row r="1384" spans="1:39" x14ac:dyDescent="0.3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 cm="1">
        <f t="array" ref="AJ1384">_xlfn.IFS(
HR_Data[[#This Row],[Age]]&lt;25,"Under 25",
HR_Data[[#This Row],[Age]]&lt;35,"25-34",
HR_Data[[#This Row],[Age]]&lt;45,"35-44",
HR_Data[[#This Row],[Age]]&lt;55,"45-54",
TRUE,"55+"
)</f>
        <v>25-34</v>
      </c>
      <c r="AK1384" t="str" cm="1">
        <f t="array" ref="AK1384">_xlfn.IFS(
HR_Data[[#This Row],[MonthlyIncome]]&lt;3000,"&lt;3K",
HR_Data[[#This Row],[MonthlyIncome]]&lt;6000,"3K-6K",
HR_Data[[#This Row],[MonthlyIncome]]&lt;10000,"6K-10K",
TRUE,"10K+"
)</f>
        <v>3K-6K</v>
      </c>
      <c r="AL1384" t="str" cm="1">
        <f t="array" ref="AL1384">_xlfn.IFS(
HR_Data[[#This Row],[YearsAtCompany]]&lt;2,"&lt;2 Years",
HR_Data[[#This Row],[YearsAtCompany]]&lt;5,"2-4 Years",
HR_Data[[#This Row],[YearsAtCompany]]&lt;10,"5-9 Years",
TRUE,"10+ Years"
)</f>
        <v>2-4 Years</v>
      </c>
      <c r="AM1384" s="1">
        <f>IF(HR_Data[[#This Row],[Attrition]]="Yes",1,0)</f>
        <v>0</v>
      </c>
    </row>
    <row r="1385" spans="1:39" x14ac:dyDescent="0.3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 cm="1">
        <f t="array" ref="AJ1385">_xlfn.IFS(
HR_Data[[#This Row],[Age]]&lt;25,"Under 25",
HR_Data[[#This Row],[Age]]&lt;35,"25-34",
HR_Data[[#This Row],[Age]]&lt;45,"35-44",
HR_Data[[#This Row],[Age]]&lt;55,"45-54",
TRUE,"55+"
)</f>
        <v>35-44</v>
      </c>
      <c r="AK1385" t="str" cm="1">
        <f t="array" ref="AK1385">_xlfn.IFS(
HR_Data[[#This Row],[MonthlyIncome]]&lt;3000,"&lt;3K",
HR_Data[[#This Row],[MonthlyIncome]]&lt;6000,"3K-6K",
HR_Data[[#This Row],[MonthlyIncome]]&lt;10000,"6K-10K",
TRUE,"10K+"
)</f>
        <v>&lt;3K</v>
      </c>
      <c r="AL1385" t="str" cm="1">
        <f t="array" ref="AL1385">_xlfn.IFS(
HR_Data[[#This Row],[YearsAtCompany]]&lt;2,"&lt;2 Years",
HR_Data[[#This Row],[YearsAtCompany]]&lt;5,"2-4 Years",
HR_Data[[#This Row],[YearsAtCompany]]&lt;10,"5-9 Years",
TRUE,"10+ Years"
)</f>
        <v>5-9 Years</v>
      </c>
      <c r="AM1385" s="1">
        <f>IF(HR_Data[[#This Row],[Attrition]]="Yes",1,0)</f>
        <v>0</v>
      </c>
    </row>
    <row r="1386" spans="1:39" x14ac:dyDescent="0.3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 cm="1">
        <f t="array" ref="AJ1386">_xlfn.IFS(
HR_Data[[#This Row],[Age]]&lt;25,"Under 25",
HR_Data[[#This Row],[Age]]&lt;35,"25-34",
HR_Data[[#This Row],[Age]]&lt;45,"35-44",
HR_Data[[#This Row],[Age]]&lt;55,"45-54",
TRUE,"55+"
)</f>
        <v>25-34</v>
      </c>
      <c r="AK1386" t="str" cm="1">
        <f t="array" ref="AK1386">_xlfn.IFS(
HR_Data[[#This Row],[MonthlyIncome]]&lt;3000,"&lt;3K",
HR_Data[[#This Row],[MonthlyIncome]]&lt;6000,"3K-6K",
HR_Data[[#This Row],[MonthlyIncome]]&lt;10000,"6K-10K",
TRUE,"10K+"
)</f>
        <v>6K-10K</v>
      </c>
      <c r="AL1386" t="str" cm="1">
        <f t="array" ref="AL1386">_xlfn.IFS(
HR_Data[[#This Row],[YearsAtCompany]]&lt;2,"&lt;2 Years",
HR_Data[[#This Row],[YearsAtCompany]]&lt;5,"2-4 Years",
HR_Data[[#This Row],[YearsAtCompany]]&lt;10,"5-9 Years",
TRUE,"10+ Years"
)</f>
        <v>10+ Years</v>
      </c>
      <c r="AM1386" s="1">
        <f>IF(HR_Data[[#This Row],[Attrition]]="Yes",1,0)</f>
        <v>0</v>
      </c>
    </row>
    <row r="1387" spans="1:39" x14ac:dyDescent="0.3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 cm="1">
        <f t="array" ref="AJ1387">_xlfn.IFS(
HR_Data[[#This Row],[Age]]&lt;25,"Under 25",
HR_Data[[#This Row],[Age]]&lt;35,"25-34",
HR_Data[[#This Row],[Age]]&lt;45,"35-44",
HR_Data[[#This Row],[Age]]&lt;55,"45-54",
TRUE,"55+"
)</f>
        <v>25-34</v>
      </c>
      <c r="AK1387" t="str" cm="1">
        <f t="array" ref="AK1387">_xlfn.IFS(
HR_Data[[#This Row],[MonthlyIncome]]&lt;3000,"&lt;3K",
HR_Data[[#This Row],[MonthlyIncome]]&lt;6000,"3K-6K",
HR_Data[[#This Row],[MonthlyIncome]]&lt;10000,"6K-10K",
TRUE,"10K+"
)</f>
        <v>6K-10K</v>
      </c>
      <c r="AL1387" t="str" cm="1">
        <f t="array" ref="AL1387">_xlfn.IFS(
HR_Data[[#This Row],[YearsAtCompany]]&lt;2,"&lt;2 Years",
HR_Data[[#This Row],[YearsAtCompany]]&lt;5,"2-4 Years",
HR_Data[[#This Row],[YearsAtCompany]]&lt;10,"5-9 Years",
TRUE,"10+ Years"
)</f>
        <v>5-9 Years</v>
      </c>
      <c r="AM1387" s="1">
        <f>IF(HR_Data[[#This Row],[Attrition]]="Yes",1,0)</f>
        <v>0</v>
      </c>
    </row>
    <row r="1388" spans="1:39" x14ac:dyDescent="0.3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 cm="1">
        <f t="array" ref="AJ1388">_xlfn.IFS(
HR_Data[[#This Row],[Age]]&lt;25,"Under 25",
HR_Data[[#This Row],[Age]]&lt;35,"25-34",
HR_Data[[#This Row],[Age]]&lt;45,"35-44",
HR_Data[[#This Row],[Age]]&lt;55,"45-54",
TRUE,"55+"
)</f>
        <v>25-34</v>
      </c>
      <c r="AK1388" t="str" cm="1">
        <f t="array" ref="AK1388">_xlfn.IFS(
HR_Data[[#This Row],[MonthlyIncome]]&lt;3000,"&lt;3K",
HR_Data[[#This Row],[MonthlyIncome]]&lt;6000,"3K-6K",
HR_Data[[#This Row],[MonthlyIncome]]&lt;10000,"6K-10K",
TRUE,"10K+"
)</f>
        <v>&lt;3K</v>
      </c>
      <c r="AL1388" t="str" cm="1">
        <f t="array" ref="AL1388">_xlfn.IFS(
HR_Data[[#This Row],[YearsAtCompany]]&lt;2,"&lt;2 Years",
HR_Data[[#This Row],[YearsAtCompany]]&lt;5,"2-4 Years",
HR_Data[[#This Row],[YearsAtCompany]]&lt;10,"5-9 Years",
TRUE,"10+ Years"
)</f>
        <v>5-9 Years</v>
      </c>
      <c r="AM1388" s="1">
        <f>IF(HR_Data[[#This Row],[Attrition]]="Yes",1,0)</f>
        <v>0</v>
      </c>
    </row>
    <row r="1389" spans="1:39" x14ac:dyDescent="0.3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 cm="1">
        <f t="array" ref="AJ1389">_xlfn.IFS(
HR_Data[[#This Row],[Age]]&lt;25,"Under 25",
HR_Data[[#This Row],[Age]]&lt;35,"25-34",
HR_Data[[#This Row],[Age]]&lt;45,"35-44",
HR_Data[[#This Row],[Age]]&lt;55,"45-54",
TRUE,"55+"
)</f>
        <v>25-34</v>
      </c>
      <c r="AK1389" t="str" cm="1">
        <f t="array" ref="AK1389">_xlfn.IFS(
HR_Data[[#This Row],[MonthlyIncome]]&lt;3000,"&lt;3K",
HR_Data[[#This Row],[MonthlyIncome]]&lt;6000,"3K-6K",
HR_Data[[#This Row],[MonthlyIncome]]&lt;10000,"6K-10K",
TRUE,"10K+"
)</f>
        <v>3K-6K</v>
      </c>
      <c r="AL1389" t="str" cm="1">
        <f t="array" ref="AL1389">_xlfn.IFS(
HR_Data[[#This Row],[YearsAtCompany]]&lt;2,"&lt;2 Years",
HR_Data[[#This Row],[YearsAtCompany]]&lt;5,"2-4 Years",
HR_Data[[#This Row],[YearsAtCompany]]&lt;10,"5-9 Years",
TRUE,"10+ Years"
)</f>
        <v>5-9 Years</v>
      </c>
      <c r="AM1389" s="1">
        <f>IF(HR_Data[[#This Row],[Attrition]]="Yes",1,0)</f>
        <v>0</v>
      </c>
    </row>
    <row r="1390" spans="1:39" x14ac:dyDescent="0.3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 cm="1">
        <f t="array" ref="AJ1390">_xlfn.IFS(
HR_Data[[#This Row],[Age]]&lt;25,"Under 25",
HR_Data[[#This Row],[Age]]&lt;35,"25-34",
HR_Data[[#This Row],[Age]]&lt;45,"35-44",
HR_Data[[#This Row],[Age]]&lt;55,"45-54",
TRUE,"55+"
)</f>
        <v>25-34</v>
      </c>
      <c r="AK1390" t="str" cm="1">
        <f t="array" ref="AK1390">_xlfn.IFS(
HR_Data[[#This Row],[MonthlyIncome]]&lt;3000,"&lt;3K",
HR_Data[[#This Row],[MonthlyIncome]]&lt;6000,"3K-6K",
HR_Data[[#This Row],[MonthlyIncome]]&lt;10000,"6K-10K",
TRUE,"10K+"
)</f>
        <v>6K-10K</v>
      </c>
      <c r="AL1390" t="str" cm="1">
        <f t="array" ref="AL1390">_xlfn.IFS(
HR_Data[[#This Row],[YearsAtCompany]]&lt;2,"&lt;2 Years",
HR_Data[[#This Row],[YearsAtCompany]]&lt;5,"2-4 Years",
HR_Data[[#This Row],[YearsAtCompany]]&lt;10,"5-9 Years",
TRUE,"10+ Years"
)</f>
        <v>5-9 Years</v>
      </c>
      <c r="AM1390" s="1">
        <f>IF(HR_Data[[#This Row],[Attrition]]="Yes",1,0)</f>
        <v>0</v>
      </c>
    </row>
    <row r="1391" spans="1:39" x14ac:dyDescent="0.3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 cm="1">
        <f t="array" ref="AJ1391">_xlfn.IFS(
HR_Data[[#This Row],[Age]]&lt;25,"Under 25",
HR_Data[[#This Row],[Age]]&lt;35,"25-34",
HR_Data[[#This Row],[Age]]&lt;45,"35-44",
HR_Data[[#This Row],[Age]]&lt;55,"45-54",
TRUE,"55+"
)</f>
        <v>25-34</v>
      </c>
      <c r="AK1391" t="str" cm="1">
        <f t="array" ref="AK1391">_xlfn.IFS(
HR_Data[[#This Row],[MonthlyIncome]]&lt;3000,"&lt;3K",
HR_Data[[#This Row],[MonthlyIncome]]&lt;6000,"3K-6K",
HR_Data[[#This Row],[MonthlyIncome]]&lt;10000,"6K-10K",
TRUE,"10K+"
)</f>
        <v>3K-6K</v>
      </c>
      <c r="AL1391" t="str" cm="1">
        <f t="array" ref="AL1391">_xlfn.IFS(
HR_Data[[#This Row],[YearsAtCompany]]&lt;2,"&lt;2 Years",
HR_Data[[#This Row],[YearsAtCompany]]&lt;5,"2-4 Years",
HR_Data[[#This Row],[YearsAtCompany]]&lt;10,"5-9 Years",
TRUE,"10+ Years"
)</f>
        <v>10+ Years</v>
      </c>
      <c r="AM1391" s="1">
        <f>IF(HR_Data[[#This Row],[Attrition]]="Yes",1,0)</f>
        <v>0</v>
      </c>
    </row>
    <row r="1392" spans="1:39" x14ac:dyDescent="0.3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 cm="1">
        <f t="array" ref="AJ1392">_xlfn.IFS(
HR_Data[[#This Row],[Age]]&lt;25,"Under 25",
HR_Data[[#This Row],[Age]]&lt;35,"25-34",
HR_Data[[#This Row],[Age]]&lt;45,"35-44",
HR_Data[[#This Row],[Age]]&lt;55,"45-54",
TRUE,"55+"
)</f>
        <v>25-34</v>
      </c>
      <c r="AK1392" t="str" cm="1">
        <f t="array" ref="AK1392">_xlfn.IFS(
HR_Data[[#This Row],[MonthlyIncome]]&lt;3000,"&lt;3K",
HR_Data[[#This Row],[MonthlyIncome]]&lt;6000,"3K-6K",
HR_Data[[#This Row],[MonthlyIncome]]&lt;10000,"6K-10K",
TRUE,"10K+"
)</f>
        <v>&lt;3K</v>
      </c>
      <c r="AL1392" t="str" cm="1">
        <f t="array" ref="AL1392">_xlfn.IFS(
HR_Data[[#This Row],[YearsAtCompany]]&lt;2,"&lt;2 Years",
HR_Data[[#This Row],[YearsAtCompany]]&lt;5,"2-4 Years",
HR_Data[[#This Row],[YearsAtCompany]]&lt;10,"5-9 Years",
TRUE,"10+ Years"
)</f>
        <v>2-4 Years</v>
      </c>
      <c r="AM1392" s="1">
        <f>IF(HR_Data[[#This Row],[Attrition]]="Yes",1,0)</f>
        <v>1</v>
      </c>
    </row>
    <row r="1393" spans="1:39" x14ac:dyDescent="0.3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 cm="1">
        <f t="array" ref="AJ1393">_xlfn.IFS(
HR_Data[[#This Row],[Age]]&lt;25,"Under 25",
HR_Data[[#This Row],[Age]]&lt;35,"25-34",
HR_Data[[#This Row],[Age]]&lt;45,"35-44",
HR_Data[[#This Row],[Age]]&lt;55,"45-54",
TRUE,"55+"
)</f>
        <v>35-44</v>
      </c>
      <c r="AK1393" t="str" cm="1">
        <f t="array" ref="AK1393">_xlfn.IFS(
HR_Data[[#This Row],[MonthlyIncome]]&lt;3000,"&lt;3K",
HR_Data[[#This Row],[MonthlyIncome]]&lt;6000,"3K-6K",
HR_Data[[#This Row],[MonthlyIncome]]&lt;10000,"6K-10K",
TRUE,"10K+"
)</f>
        <v>&lt;3K</v>
      </c>
      <c r="AL1393" t="str" cm="1">
        <f t="array" ref="AL1393">_xlfn.IFS(
HR_Data[[#This Row],[YearsAtCompany]]&lt;2,"&lt;2 Years",
HR_Data[[#This Row],[YearsAtCompany]]&lt;5,"2-4 Years",
HR_Data[[#This Row],[YearsAtCompany]]&lt;10,"5-9 Years",
TRUE,"10+ Years"
)</f>
        <v>&lt;2 Years</v>
      </c>
      <c r="AM1393" s="1">
        <f>IF(HR_Data[[#This Row],[Attrition]]="Yes",1,0)</f>
        <v>0</v>
      </c>
    </row>
    <row r="1394" spans="1:39" x14ac:dyDescent="0.3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 cm="1">
        <f t="array" ref="AJ1394">_xlfn.IFS(
HR_Data[[#This Row],[Age]]&lt;25,"Under 25",
HR_Data[[#This Row],[Age]]&lt;35,"25-34",
HR_Data[[#This Row],[Age]]&lt;45,"35-44",
HR_Data[[#This Row],[Age]]&lt;55,"45-54",
TRUE,"55+"
)</f>
        <v>35-44</v>
      </c>
      <c r="AK1394" t="str" cm="1">
        <f t="array" ref="AK1394">_xlfn.IFS(
HR_Data[[#This Row],[MonthlyIncome]]&lt;3000,"&lt;3K",
HR_Data[[#This Row],[MonthlyIncome]]&lt;6000,"3K-6K",
HR_Data[[#This Row],[MonthlyIncome]]&lt;10000,"6K-10K",
TRUE,"10K+"
)</f>
        <v>3K-6K</v>
      </c>
      <c r="AL1394" t="str" cm="1">
        <f t="array" ref="AL1394">_xlfn.IFS(
HR_Data[[#This Row],[YearsAtCompany]]&lt;2,"&lt;2 Years",
HR_Data[[#This Row],[YearsAtCompany]]&lt;5,"2-4 Years",
HR_Data[[#This Row],[YearsAtCompany]]&lt;10,"5-9 Years",
TRUE,"10+ Years"
)</f>
        <v>10+ Years</v>
      </c>
      <c r="AM1394" s="1">
        <f>IF(HR_Data[[#This Row],[Attrition]]="Yes",1,0)</f>
        <v>0</v>
      </c>
    </row>
    <row r="1395" spans="1:39" x14ac:dyDescent="0.3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 cm="1">
        <f t="array" ref="AJ1395">_xlfn.IFS(
HR_Data[[#This Row],[Age]]&lt;25,"Under 25",
HR_Data[[#This Row],[Age]]&lt;35,"25-34",
HR_Data[[#This Row],[Age]]&lt;45,"35-44",
HR_Data[[#This Row],[Age]]&lt;55,"45-54",
TRUE,"55+"
)</f>
        <v>25-34</v>
      </c>
      <c r="AK1395" t="str" cm="1">
        <f t="array" ref="AK1395">_xlfn.IFS(
HR_Data[[#This Row],[MonthlyIncome]]&lt;3000,"&lt;3K",
HR_Data[[#This Row],[MonthlyIncome]]&lt;6000,"3K-6K",
HR_Data[[#This Row],[MonthlyIncome]]&lt;10000,"6K-10K",
TRUE,"10K+"
)</f>
        <v>3K-6K</v>
      </c>
      <c r="AL1395" t="str" cm="1">
        <f t="array" ref="AL1395">_xlfn.IFS(
HR_Data[[#This Row],[YearsAtCompany]]&lt;2,"&lt;2 Years",
HR_Data[[#This Row],[YearsAtCompany]]&lt;5,"2-4 Years",
HR_Data[[#This Row],[YearsAtCompany]]&lt;10,"5-9 Years",
TRUE,"10+ Years"
)</f>
        <v>5-9 Years</v>
      </c>
      <c r="AM1395" s="1">
        <f>IF(HR_Data[[#This Row],[Attrition]]="Yes",1,0)</f>
        <v>0</v>
      </c>
    </row>
    <row r="1396" spans="1:39" x14ac:dyDescent="0.3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 cm="1">
        <f t="array" ref="AJ1396">_xlfn.IFS(
HR_Data[[#This Row],[Age]]&lt;25,"Under 25",
HR_Data[[#This Row],[Age]]&lt;35,"25-34",
HR_Data[[#This Row],[Age]]&lt;45,"35-44",
HR_Data[[#This Row],[Age]]&lt;55,"45-54",
TRUE,"55+"
)</f>
        <v>25-34</v>
      </c>
      <c r="AK1396" t="str" cm="1">
        <f t="array" ref="AK1396">_xlfn.IFS(
HR_Data[[#This Row],[MonthlyIncome]]&lt;3000,"&lt;3K",
HR_Data[[#This Row],[MonthlyIncome]]&lt;6000,"3K-6K",
HR_Data[[#This Row],[MonthlyIncome]]&lt;10000,"6K-10K",
TRUE,"10K+"
)</f>
        <v>6K-10K</v>
      </c>
      <c r="AL1396" t="str" cm="1">
        <f t="array" ref="AL1396">_xlfn.IFS(
HR_Data[[#This Row],[YearsAtCompany]]&lt;2,"&lt;2 Years",
HR_Data[[#This Row],[YearsAtCompany]]&lt;5,"2-4 Years",
HR_Data[[#This Row],[YearsAtCompany]]&lt;10,"5-9 Years",
TRUE,"10+ Years"
)</f>
        <v>&lt;2 Years</v>
      </c>
      <c r="AM1396" s="1">
        <f>IF(HR_Data[[#This Row],[Attrition]]="Yes",1,0)</f>
        <v>0</v>
      </c>
    </row>
    <row r="1397" spans="1:39" x14ac:dyDescent="0.3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 cm="1">
        <f t="array" ref="AJ1397">_xlfn.IFS(
HR_Data[[#This Row],[Age]]&lt;25,"Under 25",
HR_Data[[#This Row],[Age]]&lt;35,"25-34",
HR_Data[[#This Row],[Age]]&lt;45,"35-44",
HR_Data[[#This Row],[Age]]&lt;55,"45-54",
TRUE,"55+"
)</f>
        <v>25-34</v>
      </c>
      <c r="AK1397" t="str" cm="1">
        <f t="array" ref="AK1397">_xlfn.IFS(
HR_Data[[#This Row],[MonthlyIncome]]&lt;3000,"&lt;3K",
HR_Data[[#This Row],[MonthlyIncome]]&lt;6000,"3K-6K",
HR_Data[[#This Row],[MonthlyIncome]]&lt;10000,"6K-10K",
TRUE,"10K+"
)</f>
        <v>3K-6K</v>
      </c>
      <c r="AL1397" t="str" cm="1">
        <f t="array" ref="AL1397">_xlfn.IFS(
HR_Data[[#This Row],[YearsAtCompany]]&lt;2,"&lt;2 Years",
HR_Data[[#This Row],[YearsAtCompany]]&lt;5,"2-4 Years",
HR_Data[[#This Row],[YearsAtCompany]]&lt;10,"5-9 Years",
TRUE,"10+ Years"
)</f>
        <v>10+ Years</v>
      </c>
      <c r="AM1397" s="1">
        <f>IF(HR_Data[[#This Row],[Attrition]]="Yes",1,0)</f>
        <v>1</v>
      </c>
    </row>
    <row r="1398" spans="1:39" x14ac:dyDescent="0.3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 cm="1">
        <f t="array" ref="AJ1398">_xlfn.IFS(
HR_Data[[#This Row],[Age]]&lt;25,"Under 25",
HR_Data[[#This Row],[Age]]&lt;35,"25-34",
HR_Data[[#This Row],[Age]]&lt;45,"35-44",
HR_Data[[#This Row],[Age]]&lt;55,"45-54",
TRUE,"55+"
)</f>
        <v>45-54</v>
      </c>
      <c r="AK1398" t="str" cm="1">
        <f t="array" ref="AK1398">_xlfn.IFS(
HR_Data[[#This Row],[MonthlyIncome]]&lt;3000,"&lt;3K",
HR_Data[[#This Row],[MonthlyIncome]]&lt;6000,"3K-6K",
HR_Data[[#This Row],[MonthlyIncome]]&lt;10000,"6K-10K",
TRUE,"10K+"
)</f>
        <v>10K+</v>
      </c>
      <c r="AL1398" t="str" cm="1">
        <f t="array" ref="AL1398">_xlfn.IFS(
HR_Data[[#This Row],[YearsAtCompany]]&lt;2,"&lt;2 Years",
HR_Data[[#This Row],[YearsAtCompany]]&lt;5,"2-4 Years",
HR_Data[[#This Row],[YearsAtCompany]]&lt;10,"5-9 Years",
TRUE,"10+ Years"
)</f>
        <v>2-4 Years</v>
      </c>
      <c r="AM1398" s="1">
        <f>IF(HR_Data[[#This Row],[Attrition]]="Yes",1,0)</f>
        <v>1</v>
      </c>
    </row>
    <row r="1399" spans="1:39" x14ac:dyDescent="0.3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 cm="1">
        <f t="array" ref="AJ1399">_xlfn.IFS(
HR_Data[[#This Row],[Age]]&lt;25,"Under 25",
HR_Data[[#This Row],[Age]]&lt;35,"25-34",
HR_Data[[#This Row],[Age]]&lt;45,"35-44",
HR_Data[[#This Row],[Age]]&lt;55,"45-54",
TRUE,"55+"
)</f>
        <v>45-54</v>
      </c>
      <c r="AK1399" t="str" cm="1">
        <f t="array" ref="AK1399">_xlfn.IFS(
HR_Data[[#This Row],[MonthlyIncome]]&lt;3000,"&lt;3K",
HR_Data[[#This Row],[MonthlyIncome]]&lt;6000,"3K-6K",
HR_Data[[#This Row],[MonthlyIncome]]&lt;10000,"6K-10K",
TRUE,"10K+"
)</f>
        <v>&lt;3K</v>
      </c>
      <c r="AL1399" t="str" cm="1">
        <f t="array" ref="AL1399">_xlfn.IFS(
HR_Data[[#This Row],[YearsAtCompany]]&lt;2,"&lt;2 Years",
HR_Data[[#This Row],[YearsAtCompany]]&lt;5,"2-4 Years",
HR_Data[[#This Row],[YearsAtCompany]]&lt;10,"5-9 Years",
TRUE,"10+ Years"
)</f>
        <v>2-4 Years</v>
      </c>
      <c r="AM1399" s="1">
        <f>IF(HR_Data[[#This Row],[Attrition]]="Yes",1,0)</f>
        <v>0</v>
      </c>
    </row>
    <row r="1400" spans="1:39" x14ac:dyDescent="0.3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 cm="1">
        <f t="array" ref="AJ1400">_xlfn.IFS(
HR_Data[[#This Row],[Age]]&lt;25,"Under 25",
HR_Data[[#This Row],[Age]]&lt;35,"25-34",
HR_Data[[#This Row],[Age]]&lt;45,"35-44",
HR_Data[[#This Row],[Age]]&lt;55,"45-54",
TRUE,"55+"
)</f>
        <v>25-34</v>
      </c>
      <c r="AK1400" t="str" cm="1">
        <f t="array" ref="AK1400">_xlfn.IFS(
HR_Data[[#This Row],[MonthlyIncome]]&lt;3000,"&lt;3K",
HR_Data[[#This Row],[MonthlyIncome]]&lt;6000,"3K-6K",
HR_Data[[#This Row],[MonthlyIncome]]&lt;10000,"6K-10K",
TRUE,"10K+"
)</f>
        <v>3K-6K</v>
      </c>
      <c r="AL1400" t="str" cm="1">
        <f t="array" ref="AL1400">_xlfn.IFS(
HR_Data[[#This Row],[YearsAtCompany]]&lt;2,"&lt;2 Years",
HR_Data[[#This Row],[YearsAtCompany]]&lt;5,"2-4 Years",
HR_Data[[#This Row],[YearsAtCompany]]&lt;10,"5-9 Years",
TRUE,"10+ Years"
)</f>
        <v>5-9 Years</v>
      </c>
      <c r="AM1400" s="1">
        <f>IF(HR_Data[[#This Row],[Attrition]]="Yes",1,0)</f>
        <v>0</v>
      </c>
    </row>
    <row r="1401" spans="1:39" x14ac:dyDescent="0.3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 cm="1">
        <f t="array" ref="AJ1401">_xlfn.IFS(
HR_Data[[#This Row],[Age]]&lt;25,"Under 25",
HR_Data[[#This Row],[Age]]&lt;35,"25-34",
HR_Data[[#This Row],[Age]]&lt;45,"35-44",
HR_Data[[#This Row],[Age]]&lt;55,"45-54",
TRUE,"55+"
)</f>
        <v>35-44</v>
      </c>
      <c r="AK1401" t="str" cm="1">
        <f t="array" ref="AK1401">_xlfn.IFS(
HR_Data[[#This Row],[MonthlyIncome]]&lt;3000,"&lt;3K",
HR_Data[[#This Row],[MonthlyIncome]]&lt;6000,"3K-6K",
HR_Data[[#This Row],[MonthlyIncome]]&lt;10000,"6K-10K",
TRUE,"10K+"
)</f>
        <v>6K-10K</v>
      </c>
      <c r="AL1401" t="str" cm="1">
        <f t="array" ref="AL1401">_xlfn.IFS(
HR_Data[[#This Row],[YearsAtCompany]]&lt;2,"&lt;2 Years",
HR_Data[[#This Row],[YearsAtCompany]]&lt;5,"2-4 Years",
HR_Data[[#This Row],[YearsAtCompany]]&lt;10,"5-9 Years",
TRUE,"10+ Years"
)</f>
        <v>10+ Years</v>
      </c>
      <c r="AM1401" s="1">
        <f>IF(HR_Data[[#This Row],[Attrition]]="Yes",1,0)</f>
        <v>0</v>
      </c>
    </row>
    <row r="1402" spans="1:39" x14ac:dyDescent="0.3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 cm="1">
        <f t="array" ref="AJ1402">_xlfn.IFS(
HR_Data[[#This Row],[Age]]&lt;25,"Under 25",
HR_Data[[#This Row],[Age]]&lt;35,"25-34",
HR_Data[[#This Row],[Age]]&lt;45,"35-44",
HR_Data[[#This Row],[Age]]&lt;55,"45-54",
TRUE,"55+"
)</f>
        <v>35-44</v>
      </c>
      <c r="AK1402" t="str" cm="1">
        <f t="array" ref="AK1402">_xlfn.IFS(
HR_Data[[#This Row],[MonthlyIncome]]&lt;3000,"&lt;3K",
HR_Data[[#This Row],[MonthlyIncome]]&lt;6000,"3K-6K",
HR_Data[[#This Row],[MonthlyIncome]]&lt;10000,"6K-10K",
TRUE,"10K+"
)</f>
        <v>&lt;3K</v>
      </c>
      <c r="AL1402" t="str" cm="1">
        <f t="array" ref="AL1402">_xlfn.IFS(
HR_Data[[#This Row],[YearsAtCompany]]&lt;2,"&lt;2 Years",
HR_Data[[#This Row],[YearsAtCompany]]&lt;5,"2-4 Years",
HR_Data[[#This Row],[YearsAtCompany]]&lt;10,"5-9 Years",
TRUE,"10+ Years"
)</f>
        <v>5-9 Years</v>
      </c>
      <c r="AM1402" s="1">
        <f>IF(HR_Data[[#This Row],[Attrition]]="Yes",1,0)</f>
        <v>0</v>
      </c>
    </row>
    <row r="1403" spans="1:39" x14ac:dyDescent="0.3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 cm="1">
        <f t="array" ref="AJ1403">_xlfn.IFS(
HR_Data[[#This Row],[Age]]&lt;25,"Under 25",
HR_Data[[#This Row],[Age]]&lt;35,"25-34",
HR_Data[[#This Row],[Age]]&lt;45,"35-44",
HR_Data[[#This Row],[Age]]&lt;55,"45-54",
TRUE,"55+"
)</f>
        <v>55+</v>
      </c>
      <c r="AK1403" t="str" cm="1">
        <f t="array" ref="AK1403">_xlfn.IFS(
HR_Data[[#This Row],[MonthlyIncome]]&lt;3000,"&lt;3K",
HR_Data[[#This Row],[MonthlyIncome]]&lt;6000,"3K-6K",
HR_Data[[#This Row],[MonthlyIncome]]&lt;10000,"6K-10K",
TRUE,"10K+"
)</f>
        <v>10K+</v>
      </c>
      <c r="AL1403" t="str" cm="1">
        <f t="array" ref="AL1403">_xlfn.IFS(
HR_Data[[#This Row],[YearsAtCompany]]&lt;2,"&lt;2 Years",
HR_Data[[#This Row],[YearsAtCompany]]&lt;5,"2-4 Years",
HR_Data[[#This Row],[YearsAtCompany]]&lt;10,"5-9 Years",
TRUE,"10+ Years"
)</f>
        <v>10+ Years</v>
      </c>
      <c r="AM1403" s="1">
        <f>IF(HR_Data[[#This Row],[Attrition]]="Yes",1,0)</f>
        <v>0</v>
      </c>
    </row>
    <row r="1404" spans="1:39" x14ac:dyDescent="0.3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 cm="1">
        <f t="array" ref="AJ1404">_xlfn.IFS(
HR_Data[[#This Row],[Age]]&lt;25,"Under 25",
HR_Data[[#This Row],[Age]]&lt;35,"25-34",
HR_Data[[#This Row],[Age]]&lt;45,"35-44",
HR_Data[[#This Row],[Age]]&lt;55,"45-54",
TRUE,"55+"
)</f>
        <v>25-34</v>
      </c>
      <c r="AK1404" t="str" cm="1">
        <f t="array" ref="AK1404">_xlfn.IFS(
HR_Data[[#This Row],[MonthlyIncome]]&lt;3000,"&lt;3K",
HR_Data[[#This Row],[MonthlyIncome]]&lt;6000,"3K-6K",
HR_Data[[#This Row],[MonthlyIncome]]&lt;10000,"6K-10K",
TRUE,"10K+"
)</f>
        <v>&lt;3K</v>
      </c>
      <c r="AL1404" t="str" cm="1">
        <f t="array" ref="AL1404">_xlfn.IFS(
HR_Data[[#This Row],[YearsAtCompany]]&lt;2,"&lt;2 Years",
HR_Data[[#This Row],[YearsAtCompany]]&lt;5,"2-4 Years",
HR_Data[[#This Row],[YearsAtCompany]]&lt;10,"5-9 Years",
TRUE,"10+ Years"
)</f>
        <v>&lt;2 Years</v>
      </c>
      <c r="AM1404" s="1">
        <f>IF(HR_Data[[#This Row],[Attrition]]="Yes",1,0)</f>
        <v>0</v>
      </c>
    </row>
    <row r="1405" spans="1:39" x14ac:dyDescent="0.3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 cm="1">
        <f t="array" ref="AJ1405">_xlfn.IFS(
HR_Data[[#This Row],[Age]]&lt;25,"Under 25",
HR_Data[[#This Row],[Age]]&lt;35,"25-34",
HR_Data[[#This Row],[Age]]&lt;45,"35-44",
HR_Data[[#This Row],[Age]]&lt;55,"45-54",
TRUE,"55+"
)</f>
        <v>35-44</v>
      </c>
      <c r="AK1405" t="str" cm="1">
        <f t="array" ref="AK1405">_xlfn.IFS(
HR_Data[[#This Row],[MonthlyIncome]]&lt;3000,"&lt;3K",
HR_Data[[#This Row],[MonthlyIncome]]&lt;6000,"3K-6K",
HR_Data[[#This Row],[MonthlyIncome]]&lt;10000,"6K-10K",
TRUE,"10K+"
)</f>
        <v>10K+</v>
      </c>
      <c r="AL1405" t="str" cm="1">
        <f t="array" ref="AL1405">_xlfn.IFS(
HR_Data[[#This Row],[YearsAtCompany]]&lt;2,"&lt;2 Years",
HR_Data[[#This Row],[YearsAtCompany]]&lt;5,"2-4 Years",
HR_Data[[#This Row],[YearsAtCompany]]&lt;10,"5-9 Years",
TRUE,"10+ Years"
)</f>
        <v>10+ Years</v>
      </c>
      <c r="AM1405" s="1">
        <f>IF(HR_Data[[#This Row],[Attrition]]="Yes",1,0)</f>
        <v>0</v>
      </c>
    </row>
    <row r="1406" spans="1:39" x14ac:dyDescent="0.3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 cm="1">
        <f t="array" ref="AJ1406">_xlfn.IFS(
HR_Data[[#This Row],[Age]]&lt;25,"Under 25",
HR_Data[[#This Row],[Age]]&lt;35,"25-34",
HR_Data[[#This Row],[Age]]&lt;45,"35-44",
HR_Data[[#This Row],[Age]]&lt;55,"45-54",
TRUE,"55+"
)</f>
        <v>35-44</v>
      </c>
      <c r="AK1406" t="str" cm="1">
        <f t="array" ref="AK1406">_xlfn.IFS(
HR_Data[[#This Row],[MonthlyIncome]]&lt;3000,"&lt;3K",
HR_Data[[#This Row],[MonthlyIncome]]&lt;6000,"3K-6K",
HR_Data[[#This Row],[MonthlyIncome]]&lt;10000,"6K-10K",
TRUE,"10K+"
)</f>
        <v>3K-6K</v>
      </c>
      <c r="AL1406" t="str" cm="1">
        <f t="array" ref="AL1406">_xlfn.IFS(
HR_Data[[#This Row],[YearsAtCompany]]&lt;2,"&lt;2 Years",
HR_Data[[#This Row],[YearsAtCompany]]&lt;5,"2-4 Years",
HR_Data[[#This Row],[YearsAtCompany]]&lt;10,"5-9 Years",
TRUE,"10+ Years"
)</f>
        <v>10+ Years</v>
      </c>
      <c r="AM1406" s="1">
        <f>IF(HR_Data[[#This Row],[Attrition]]="Yes",1,0)</f>
        <v>0</v>
      </c>
    </row>
    <row r="1407" spans="1:39" x14ac:dyDescent="0.3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 cm="1">
        <f t="array" ref="AJ1407">_xlfn.IFS(
HR_Data[[#This Row],[Age]]&lt;25,"Under 25",
HR_Data[[#This Row],[Age]]&lt;35,"25-34",
HR_Data[[#This Row],[Age]]&lt;45,"35-44",
HR_Data[[#This Row],[Age]]&lt;55,"45-54",
TRUE,"55+"
)</f>
        <v>25-34</v>
      </c>
      <c r="AK1407" t="str" cm="1">
        <f t="array" ref="AK1407">_xlfn.IFS(
HR_Data[[#This Row],[MonthlyIncome]]&lt;3000,"&lt;3K",
HR_Data[[#This Row],[MonthlyIncome]]&lt;6000,"3K-6K",
HR_Data[[#This Row],[MonthlyIncome]]&lt;10000,"6K-10K",
TRUE,"10K+"
)</f>
        <v>10K+</v>
      </c>
      <c r="AL1407" t="str" cm="1">
        <f t="array" ref="AL1407">_xlfn.IFS(
HR_Data[[#This Row],[YearsAtCompany]]&lt;2,"&lt;2 Years",
HR_Data[[#This Row],[YearsAtCompany]]&lt;5,"2-4 Years",
HR_Data[[#This Row],[YearsAtCompany]]&lt;10,"5-9 Years",
TRUE,"10+ Years"
)</f>
        <v>10+ Years</v>
      </c>
      <c r="AM1407" s="1">
        <f>IF(HR_Data[[#This Row],[Attrition]]="Yes",1,0)</f>
        <v>0</v>
      </c>
    </row>
    <row r="1408" spans="1:39" x14ac:dyDescent="0.3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 cm="1">
        <f t="array" ref="AJ1408">_xlfn.IFS(
HR_Data[[#This Row],[Age]]&lt;25,"Under 25",
HR_Data[[#This Row],[Age]]&lt;35,"25-34",
HR_Data[[#This Row],[Age]]&lt;45,"35-44",
HR_Data[[#This Row],[Age]]&lt;55,"45-54",
TRUE,"55+"
)</f>
        <v>45-54</v>
      </c>
      <c r="AK1408" t="str" cm="1">
        <f t="array" ref="AK1408">_xlfn.IFS(
HR_Data[[#This Row],[MonthlyIncome]]&lt;3000,"&lt;3K",
HR_Data[[#This Row],[MonthlyIncome]]&lt;6000,"3K-6K",
HR_Data[[#This Row],[MonthlyIncome]]&lt;10000,"6K-10K",
TRUE,"10K+"
)</f>
        <v>3K-6K</v>
      </c>
      <c r="AL1408" t="str" cm="1">
        <f t="array" ref="AL1408">_xlfn.IFS(
HR_Data[[#This Row],[YearsAtCompany]]&lt;2,"&lt;2 Years",
HR_Data[[#This Row],[YearsAtCompany]]&lt;5,"2-4 Years",
HR_Data[[#This Row],[YearsAtCompany]]&lt;10,"5-9 Years",
TRUE,"10+ Years"
)</f>
        <v>5-9 Years</v>
      </c>
      <c r="AM1408" s="1">
        <f>IF(HR_Data[[#This Row],[Attrition]]="Yes",1,0)</f>
        <v>0</v>
      </c>
    </row>
    <row r="1409" spans="1:39" x14ac:dyDescent="0.3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 cm="1">
        <f t="array" ref="AJ1409">_xlfn.IFS(
HR_Data[[#This Row],[Age]]&lt;25,"Under 25",
HR_Data[[#This Row],[Age]]&lt;35,"25-34",
HR_Data[[#This Row],[Age]]&lt;45,"35-44",
HR_Data[[#This Row],[Age]]&lt;55,"45-54",
TRUE,"55+"
)</f>
        <v>Under 25</v>
      </c>
      <c r="AK1409" t="str" cm="1">
        <f t="array" ref="AK1409">_xlfn.IFS(
HR_Data[[#This Row],[MonthlyIncome]]&lt;3000,"&lt;3K",
HR_Data[[#This Row],[MonthlyIncome]]&lt;6000,"3K-6K",
HR_Data[[#This Row],[MonthlyIncome]]&lt;10000,"6K-10K",
TRUE,"10K+"
)</f>
        <v>3K-6K</v>
      </c>
      <c r="AL1409" t="str" cm="1">
        <f t="array" ref="AL1409">_xlfn.IFS(
HR_Data[[#This Row],[YearsAtCompany]]&lt;2,"&lt;2 Years",
HR_Data[[#This Row],[YearsAtCompany]]&lt;5,"2-4 Years",
HR_Data[[#This Row],[YearsAtCompany]]&lt;10,"5-9 Years",
TRUE,"10+ Years"
)</f>
        <v>2-4 Years</v>
      </c>
      <c r="AM1409" s="1">
        <f>IF(HR_Data[[#This Row],[Attrition]]="Yes",1,0)</f>
        <v>0</v>
      </c>
    </row>
    <row r="1410" spans="1:39" x14ac:dyDescent="0.3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 cm="1">
        <f t="array" ref="AJ1410">_xlfn.IFS(
HR_Data[[#This Row],[Age]]&lt;25,"Under 25",
HR_Data[[#This Row],[Age]]&lt;35,"25-34",
HR_Data[[#This Row],[Age]]&lt;45,"35-44",
HR_Data[[#This Row],[Age]]&lt;55,"45-54",
TRUE,"55+"
)</f>
        <v>Under 25</v>
      </c>
      <c r="AK1410" t="str" cm="1">
        <f t="array" ref="AK1410">_xlfn.IFS(
HR_Data[[#This Row],[MonthlyIncome]]&lt;3000,"&lt;3K",
HR_Data[[#This Row],[MonthlyIncome]]&lt;6000,"3K-6K",
HR_Data[[#This Row],[MonthlyIncome]]&lt;10000,"6K-10K",
TRUE,"10K+"
)</f>
        <v>&lt;3K</v>
      </c>
      <c r="AL1410" t="str" cm="1">
        <f t="array" ref="AL1410">_xlfn.IFS(
HR_Data[[#This Row],[YearsAtCompany]]&lt;2,"&lt;2 Years",
HR_Data[[#This Row],[YearsAtCompany]]&lt;5,"2-4 Years",
HR_Data[[#This Row],[YearsAtCompany]]&lt;10,"5-9 Years",
TRUE,"10+ Years"
)</f>
        <v>5-9 Years</v>
      </c>
      <c r="AM1410" s="1">
        <f>IF(HR_Data[[#This Row],[Attrition]]="Yes",1,0)</f>
        <v>0</v>
      </c>
    </row>
    <row r="1411" spans="1:39" x14ac:dyDescent="0.3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 cm="1">
        <f t="array" ref="AJ1411">_xlfn.IFS(
HR_Data[[#This Row],[Age]]&lt;25,"Under 25",
HR_Data[[#This Row],[Age]]&lt;35,"25-34",
HR_Data[[#This Row],[Age]]&lt;45,"35-44",
HR_Data[[#This Row],[Age]]&lt;55,"45-54",
TRUE,"55+"
)</f>
        <v>35-44</v>
      </c>
      <c r="AK1411" t="str" cm="1">
        <f t="array" ref="AK1411">_xlfn.IFS(
HR_Data[[#This Row],[MonthlyIncome]]&lt;3000,"&lt;3K",
HR_Data[[#This Row],[MonthlyIncome]]&lt;6000,"3K-6K",
HR_Data[[#This Row],[MonthlyIncome]]&lt;10000,"6K-10K",
TRUE,"10K+"
)</f>
        <v>6K-10K</v>
      </c>
      <c r="AL1411" t="str" cm="1">
        <f t="array" ref="AL1411">_xlfn.IFS(
HR_Data[[#This Row],[YearsAtCompany]]&lt;2,"&lt;2 Years",
HR_Data[[#This Row],[YearsAtCompany]]&lt;5,"2-4 Years",
HR_Data[[#This Row],[YearsAtCompany]]&lt;10,"5-9 Years",
TRUE,"10+ Years"
)</f>
        <v>10+ Years</v>
      </c>
      <c r="AM1411" s="1">
        <f>IF(HR_Data[[#This Row],[Attrition]]="Yes",1,0)</f>
        <v>0</v>
      </c>
    </row>
    <row r="1412" spans="1:39" x14ac:dyDescent="0.3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 cm="1">
        <f t="array" ref="AJ1412">_xlfn.IFS(
HR_Data[[#This Row],[Age]]&lt;25,"Under 25",
HR_Data[[#This Row],[Age]]&lt;35,"25-34",
HR_Data[[#This Row],[Age]]&lt;45,"35-44",
HR_Data[[#This Row],[Age]]&lt;55,"45-54",
TRUE,"55+"
)</f>
        <v>35-44</v>
      </c>
      <c r="AK1412" t="str" cm="1">
        <f t="array" ref="AK1412">_xlfn.IFS(
HR_Data[[#This Row],[MonthlyIncome]]&lt;3000,"&lt;3K",
HR_Data[[#This Row],[MonthlyIncome]]&lt;6000,"3K-6K",
HR_Data[[#This Row],[MonthlyIncome]]&lt;10000,"6K-10K",
TRUE,"10K+"
)</f>
        <v>3K-6K</v>
      </c>
      <c r="AL1412" t="str" cm="1">
        <f t="array" ref="AL1412">_xlfn.IFS(
HR_Data[[#This Row],[YearsAtCompany]]&lt;2,"&lt;2 Years",
HR_Data[[#This Row],[YearsAtCompany]]&lt;5,"2-4 Years",
HR_Data[[#This Row],[YearsAtCompany]]&lt;10,"5-9 Years",
TRUE,"10+ Years"
)</f>
        <v>10+ Years</v>
      </c>
      <c r="AM1412" s="1">
        <f>IF(HR_Data[[#This Row],[Attrition]]="Yes",1,0)</f>
        <v>0</v>
      </c>
    </row>
    <row r="1413" spans="1:39" x14ac:dyDescent="0.3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 cm="1">
        <f t="array" ref="AJ1413">_xlfn.IFS(
HR_Data[[#This Row],[Age]]&lt;25,"Under 25",
HR_Data[[#This Row],[Age]]&lt;35,"25-34",
HR_Data[[#This Row],[Age]]&lt;45,"35-44",
HR_Data[[#This Row],[Age]]&lt;55,"45-54",
TRUE,"55+"
)</f>
        <v>25-34</v>
      </c>
      <c r="AK1413" t="str" cm="1">
        <f t="array" ref="AK1413">_xlfn.IFS(
HR_Data[[#This Row],[MonthlyIncome]]&lt;3000,"&lt;3K",
HR_Data[[#This Row],[MonthlyIncome]]&lt;6000,"3K-6K",
HR_Data[[#This Row],[MonthlyIncome]]&lt;10000,"6K-10K",
TRUE,"10K+"
)</f>
        <v>&lt;3K</v>
      </c>
      <c r="AL1413" t="str" cm="1">
        <f t="array" ref="AL1413">_xlfn.IFS(
HR_Data[[#This Row],[YearsAtCompany]]&lt;2,"&lt;2 Years",
HR_Data[[#This Row],[YearsAtCompany]]&lt;5,"2-4 Years",
HR_Data[[#This Row],[YearsAtCompany]]&lt;10,"5-9 Years",
TRUE,"10+ Years"
)</f>
        <v>2-4 Years</v>
      </c>
      <c r="AM1413" s="1">
        <f>IF(HR_Data[[#This Row],[Attrition]]="Yes",1,0)</f>
        <v>0</v>
      </c>
    </row>
    <row r="1414" spans="1:39" x14ac:dyDescent="0.3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 cm="1">
        <f t="array" ref="AJ1414">_xlfn.IFS(
HR_Data[[#This Row],[Age]]&lt;25,"Under 25",
HR_Data[[#This Row],[Age]]&lt;35,"25-34",
HR_Data[[#This Row],[Age]]&lt;45,"35-44",
HR_Data[[#This Row],[Age]]&lt;55,"45-54",
TRUE,"55+"
)</f>
        <v>25-34</v>
      </c>
      <c r="AK1414" t="str" cm="1">
        <f t="array" ref="AK1414">_xlfn.IFS(
HR_Data[[#This Row],[MonthlyIncome]]&lt;3000,"&lt;3K",
HR_Data[[#This Row],[MonthlyIncome]]&lt;6000,"3K-6K",
HR_Data[[#This Row],[MonthlyIncome]]&lt;10000,"6K-10K",
TRUE,"10K+"
)</f>
        <v>3K-6K</v>
      </c>
      <c r="AL1414" t="str" cm="1">
        <f t="array" ref="AL1414">_xlfn.IFS(
HR_Data[[#This Row],[YearsAtCompany]]&lt;2,"&lt;2 Years",
HR_Data[[#This Row],[YearsAtCompany]]&lt;5,"2-4 Years",
HR_Data[[#This Row],[YearsAtCompany]]&lt;10,"5-9 Years",
TRUE,"10+ Years"
)</f>
        <v>10+ Years</v>
      </c>
      <c r="AM1414" s="1">
        <f>IF(HR_Data[[#This Row],[Attrition]]="Yes",1,0)</f>
        <v>0</v>
      </c>
    </row>
    <row r="1415" spans="1:39" x14ac:dyDescent="0.3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 cm="1">
        <f t="array" ref="AJ1415">_xlfn.IFS(
HR_Data[[#This Row],[Age]]&lt;25,"Under 25",
HR_Data[[#This Row],[Age]]&lt;35,"25-34",
HR_Data[[#This Row],[Age]]&lt;45,"35-44",
HR_Data[[#This Row],[Age]]&lt;55,"45-54",
TRUE,"55+"
)</f>
        <v>25-34</v>
      </c>
      <c r="AK1415" t="str" cm="1">
        <f t="array" ref="AK1415">_xlfn.IFS(
HR_Data[[#This Row],[MonthlyIncome]]&lt;3000,"&lt;3K",
HR_Data[[#This Row],[MonthlyIncome]]&lt;6000,"3K-6K",
HR_Data[[#This Row],[MonthlyIncome]]&lt;10000,"6K-10K",
TRUE,"10K+"
)</f>
        <v>3K-6K</v>
      </c>
      <c r="AL1415" t="str" cm="1">
        <f t="array" ref="AL1415">_xlfn.IFS(
HR_Data[[#This Row],[YearsAtCompany]]&lt;2,"&lt;2 Years",
HR_Data[[#This Row],[YearsAtCompany]]&lt;5,"2-4 Years",
HR_Data[[#This Row],[YearsAtCompany]]&lt;10,"5-9 Years",
TRUE,"10+ Years"
)</f>
        <v>2-4 Years</v>
      </c>
      <c r="AM1415" s="1">
        <f>IF(HR_Data[[#This Row],[Attrition]]="Yes",1,0)</f>
        <v>0</v>
      </c>
    </row>
    <row r="1416" spans="1:39" x14ac:dyDescent="0.3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 cm="1">
        <f t="array" ref="AJ1416">_xlfn.IFS(
HR_Data[[#This Row],[Age]]&lt;25,"Under 25",
HR_Data[[#This Row],[Age]]&lt;35,"25-34",
HR_Data[[#This Row],[Age]]&lt;45,"35-44",
HR_Data[[#This Row],[Age]]&lt;55,"45-54",
TRUE,"55+"
)</f>
        <v>45-54</v>
      </c>
      <c r="AK1416" t="str" cm="1">
        <f t="array" ref="AK1416">_xlfn.IFS(
HR_Data[[#This Row],[MonthlyIncome]]&lt;3000,"&lt;3K",
HR_Data[[#This Row],[MonthlyIncome]]&lt;6000,"3K-6K",
HR_Data[[#This Row],[MonthlyIncome]]&lt;10000,"6K-10K",
TRUE,"10K+"
)</f>
        <v>6K-10K</v>
      </c>
      <c r="AL1416" t="str" cm="1">
        <f t="array" ref="AL1416">_xlfn.IFS(
HR_Data[[#This Row],[YearsAtCompany]]&lt;2,"&lt;2 Years",
HR_Data[[#This Row],[YearsAtCompany]]&lt;5,"2-4 Years",
HR_Data[[#This Row],[YearsAtCompany]]&lt;10,"5-9 Years",
TRUE,"10+ Years"
)</f>
        <v>10+ Years</v>
      </c>
      <c r="AM1416" s="1">
        <f>IF(HR_Data[[#This Row],[Attrition]]="Yes",1,0)</f>
        <v>0</v>
      </c>
    </row>
    <row r="1417" spans="1:39" x14ac:dyDescent="0.3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 cm="1">
        <f t="array" ref="AJ1417">_xlfn.IFS(
HR_Data[[#This Row],[Age]]&lt;25,"Under 25",
HR_Data[[#This Row],[Age]]&lt;35,"25-34",
HR_Data[[#This Row],[Age]]&lt;45,"35-44",
HR_Data[[#This Row],[Age]]&lt;55,"45-54",
TRUE,"55+"
)</f>
        <v>25-34</v>
      </c>
      <c r="AK1417" t="str" cm="1">
        <f t="array" ref="AK1417">_xlfn.IFS(
HR_Data[[#This Row],[MonthlyIncome]]&lt;3000,"&lt;3K",
HR_Data[[#This Row],[MonthlyIncome]]&lt;6000,"3K-6K",
HR_Data[[#This Row],[MonthlyIncome]]&lt;10000,"6K-10K",
TRUE,"10K+"
)</f>
        <v>&lt;3K</v>
      </c>
      <c r="AL1417" t="str" cm="1">
        <f t="array" ref="AL1417">_xlfn.IFS(
HR_Data[[#This Row],[YearsAtCompany]]&lt;2,"&lt;2 Years",
HR_Data[[#This Row],[YearsAtCompany]]&lt;5,"2-4 Years",
HR_Data[[#This Row],[YearsAtCompany]]&lt;10,"5-9 Years",
TRUE,"10+ Years"
)</f>
        <v>&lt;2 Years</v>
      </c>
      <c r="AM1417" s="1">
        <f>IF(HR_Data[[#This Row],[Attrition]]="Yes",1,0)</f>
        <v>0</v>
      </c>
    </row>
    <row r="1418" spans="1:39" x14ac:dyDescent="0.3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 cm="1">
        <f t="array" ref="AJ1418">_xlfn.IFS(
HR_Data[[#This Row],[Age]]&lt;25,"Under 25",
HR_Data[[#This Row],[Age]]&lt;35,"25-34",
HR_Data[[#This Row],[Age]]&lt;45,"35-44",
HR_Data[[#This Row],[Age]]&lt;55,"45-54",
TRUE,"55+"
)</f>
        <v>35-44</v>
      </c>
      <c r="AK1418" t="str" cm="1">
        <f t="array" ref="AK1418">_xlfn.IFS(
HR_Data[[#This Row],[MonthlyIncome]]&lt;3000,"&lt;3K",
HR_Data[[#This Row],[MonthlyIncome]]&lt;6000,"3K-6K",
HR_Data[[#This Row],[MonthlyIncome]]&lt;10000,"6K-10K",
TRUE,"10K+"
)</f>
        <v>3K-6K</v>
      </c>
      <c r="AL1418" t="str" cm="1">
        <f t="array" ref="AL1418">_xlfn.IFS(
HR_Data[[#This Row],[YearsAtCompany]]&lt;2,"&lt;2 Years",
HR_Data[[#This Row],[YearsAtCompany]]&lt;5,"2-4 Years",
HR_Data[[#This Row],[YearsAtCompany]]&lt;10,"5-9 Years",
TRUE,"10+ Years"
)</f>
        <v>10+ Years</v>
      </c>
      <c r="AM1418" s="1">
        <f>IF(HR_Data[[#This Row],[Attrition]]="Yes",1,0)</f>
        <v>0</v>
      </c>
    </row>
    <row r="1419" spans="1:39" x14ac:dyDescent="0.3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 cm="1">
        <f t="array" ref="AJ1419">_xlfn.IFS(
HR_Data[[#This Row],[Age]]&lt;25,"Under 25",
HR_Data[[#This Row],[Age]]&lt;35,"25-34",
HR_Data[[#This Row],[Age]]&lt;45,"35-44",
HR_Data[[#This Row],[Age]]&lt;55,"45-54",
TRUE,"55+"
)</f>
        <v>25-34</v>
      </c>
      <c r="AK1419" t="str" cm="1">
        <f t="array" ref="AK1419">_xlfn.IFS(
HR_Data[[#This Row],[MonthlyIncome]]&lt;3000,"&lt;3K",
HR_Data[[#This Row],[MonthlyIncome]]&lt;6000,"3K-6K",
HR_Data[[#This Row],[MonthlyIncome]]&lt;10000,"6K-10K",
TRUE,"10K+"
)</f>
        <v>3K-6K</v>
      </c>
      <c r="AL1419" t="str" cm="1">
        <f t="array" ref="AL1419">_xlfn.IFS(
HR_Data[[#This Row],[YearsAtCompany]]&lt;2,"&lt;2 Years",
HR_Data[[#This Row],[YearsAtCompany]]&lt;5,"2-4 Years",
HR_Data[[#This Row],[YearsAtCompany]]&lt;10,"5-9 Years",
TRUE,"10+ Years"
)</f>
        <v>2-4 Years</v>
      </c>
      <c r="AM1419" s="1">
        <f>IF(HR_Data[[#This Row],[Attrition]]="Yes",1,0)</f>
        <v>0</v>
      </c>
    </row>
    <row r="1420" spans="1:39" x14ac:dyDescent="0.3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 cm="1">
        <f t="array" ref="AJ1420">_xlfn.IFS(
HR_Data[[#This Row],[Age]]&lt;25,"Under 25",
HR_Data[[#This Row],[Age]]&lt;35,"25-34",
HR_Data[[#This Row],[Age]]&lt;45,"35-44",
HR_Data[[#This Row],[Age]]&lt;55,"45-54",
TRUE,"55+"
)</f>
        <v>35-44</v>
      </c>
      <c r="AK1420" t="str" cm="1">
        <f t="array" ref="AK1420">_xlfn.IFS(
HR_Data[[#This Row],[MonthlyIncome]]&lt;3000,"&lt;3K",
HR_Data[[#This Row],[MonthlyIncome]]&lt;6000,"3K-6K",
HR_Data[[#This Row],[MonthlyIncome]]&lt;10000,"6K-10K",
TRUE,"10K+"
)</f>
        <v>3K-6K</v>
      </c>
      <c r="AL1420" t="str" cm="1">
        <f t="array" ref="AL1420">_xlfn.IFS(
HR_Data[[#This Row],[YearsAtCompany]]&lt;2,"&lt;2 Years",
HR_Data[[#This Row],[YearsAtCompany]]&lt;5,"2-4 Years",
HR_Data[[#This Row],[YearsAtCompany]]&lt;10,"5-9 Years",
TRUE,"10+ Years"
)</f>
        <v>5-9 Years</v>
      </c>
      <c r="AM1420" s="1">
        <f>IF(HR_Data[[#This Row],[Attrition]]="Yes",1,0)</f>
        <v>0</v>
      </c>
    </row>
    <row r="1421" spans="1:39" x14ac:dyDescent="0.3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 cm="1">
        <f t="array" ref="AJ1421">_xlfn.IFS(
HR_Data[[#This Row],[Age]]&lt;25,"Under 25",
HR_Data[[#This Row],[Age]]&lt;35,"25-34",
HR_Data[[#This Row],[Age]]&lt;45,"35-44",
HR_Data[[#This Row],[Age]]&lt;55,"45-54",
TRUE,"55+"
)</f>
        <v>35-44</v>
      </c>
      <c r="AK1421" t="str" cm="1">
        <f t="array" ref="AK1421">_xlfn.IFS(
HR_Data[[#This Row],[MonthlyIncome]]&lt;3000,"&lt;3K",
HR_Data[[#This Row],[MonthlyIncome]]&lt;6000,"3K-6K",
HR_Data[[#This Row],[MonthlyIncome]]&lt;10000,"6K-10K",
TRUE,"10K+"
)</f>
        <v>3K-6K</v>
      </c>
      <c r="AL1421" t="str" cm="1">
        <f t="array" ref="AL1421">_xlfn.IFS(
HR_Data[[#This Row],[YearsAtCompany]]&lt;2,"&lt;2 Years",
HR_Data[[#This Row],[YearsAtCompany]]&lt;5,"2-4 Years",
HR_Data[[#This Row],[YearsAtCompany]]&lt;10,"5-9 Years",
TRUE,"10+ Years"
)</f>
        <v>2-4 Years</v>
      </c>
      <c r="AM1421" s="1">
        <f>IF(HR_Data[[#This Row],[Attrition]]="Yes",1,0)</f>
        <v>0</v>
      </c>
    </row>
    <row r="1422" spans="1:39" x14ac:dyDescent="0.3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 cm="1">
        <f t="array" ref="AJ1422">_xlfn.IFS(
HR_Data[[#This Row],[Age]]&lt;25,"Under 25",
HR_Data[[#This Row],[Age]]&lt;35,"25-34",
HR_Data[[#This Row],[Age]]&lt;45,"35-44",
HR_Data[[#This Row],[Age]]&lt;55,"45-54",
TRUE,"55+"
)</f>
        <v>35-44</v>
      </c>
      <c r="AK1422" t="str" cm="1">
        <f t="array" ref="AK1422">_xlfn.IFS(
HR_Data[[#This Row],[MonthlyIncome]]&lt;3000,"&lt;3K",
HR_Data[[#This Row],[MonthlyIncome]]&lt;6000,"3K-6K",
HR_Data[[#This Row],[MonthlyIncome]]&lt;10000,"6K-10K",
TRUE,"10K+"
)</f>
        <v>&lt;3K</v>
      </c>
      <c r="AL1422" t="str" cm="1">
        <f t="array" ref="AL1422">_xlfn.IFS(
HR_Data[[#This Row],[YearsAtCompany]]&lt;2,"&lt;2 Years",
HR_Data[[#This Row],[YearsAtCompany]]&lt;5,"2-4 Years",
HR_Data[[#This Row],[YearsAtCompany]]&lt;10,"5-9 Years",
TRUE,"10+ Years"
)</f>
        <v>5-9 Years</v>
      </c>
      <c r="AM1422" s="1">
        <f>IF(HR_Data[[#This Row],[Attrition]]="Yes",1,0)</f>
        <v>0</v>
      </c>
    </row>
    <row r="1423" spans="1:39" x14ac:dyDescent="0.3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 cm="1">
        <f t="array" ref="AJ1423">_xlfn.IFS(
HR_Data[[#This Row],[Age]]&lt;25,"Under 25",
HR_Data[[#This Row],[Age]]&lt;35,"25-34",
HR_Data[[#This Row],[Age]]&lt;45,"35-44",
HR_Data[[#This Row],[Age]]&lt;55,"45-54",
TRUE,"55+"
)</f>
        <v>45-54</v>
      </c>
      <c r="AK1423" t="str" cm="1">
        <f t="array" ref="AK1423">_xlfn.IFS(
HR_Data[[#This Row],[MonthlyIncome]]&lt;3000,"&lt;3K",
HR_Data[[#This Row],[MonthlyIncome]]&lt;6000,"3K-6K",
HR_Data[[#This Row],[MonthlyIncome]]&lt;10000,"6K-10K",
TRUE,"10K+"
)</f>
        <v>10K+</v>
      </c>
      <c r="AL1423" t="str" cm="1">
        <f t="array" ref="AL1423">_xlfn.IFS(
HR_Data[[#This Row],[YearsAtCompany]]&lt;2,"&lt;2 Years",
HR_Data[[#This Row],[YearsAtCompany]]&lt;5,"2-4 Years",
HR_Data[[#This Row],[YearsAtCompany]]&lt;10,"5-9 Years",
TRUE,"10+ Years"
)</f>
        <v>10+ Years</v>
      </c>
      <c r="AM1423" s="1">
        <f>IF(HR_Data[[#This Row],[Attrition]]="Yes",1,0)</f>
        <v>0</v>
      </c>
    </row>
    <row r="1424" spans="1:39" x14ac:dyDescent="0.3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 cm="1">
        <f t="array" ref="AJ1424">_xlfn.IFS(
HR_Data[[#This Row],[Age]]&lt;25,"Under 25",
HR_Data[[#This Row],[Age]]&lt;35,"25-34",
HR_Data[[#This Row],[Age]]&lt;45,"35-44",
HR_Data[[#This Row],[Age]]&lt;55,"45-54",
TRUE,"55+"
)</f>
        <v>35-44</v>
      </c>
      <c r="AK1424" t="str" cm="1">
        <f t="array" ref="AK1424">_xlfn.IFS(
HR_Data[[#This Row],[MonthlyIncome]]&lt;3000,"&lt;3K",
HR_Data[[#This Row],[MonthlyIncome]]&lt;6000,"3K-6K",
HR_Data[[#This Row],[MonthlyIncome]]&lt;10000,"6K-10K",
TRUE,"10K+"
)</f>
        <v>&lt;3K</v>
      </c>
      <c r="AL1424" t="str" cm="1">
        <f t="array" ref="AL1424">_xlfn.IFS(
HR_Data[[#This Row],[YearsAtCompany]]&lt;2,"&lt;2 Years",
HR_Data[[#This Row],[YearsAtCompany]]&lt;5,"2-4 Years",
HR_Data[[#This Row],[YearsAtCompany]]&lt;10,"5-9 Years",
TRUE,"10+ Years"
)</f>
        <v>2-4 Years</v>
      </c>
      <c r="AM1424" s="1">
        <f>IF(HR_Data[[#This Row],[Attrition]]="Yes",1,0)</f>
        <v>0</v>
      </c>
    </row>
    <row r="1425" spans="1:39" x14ac:dyDescent="0.3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 cm="1">
        <f t="array" ref="AJ1425">_xlfn.IFS(
HR_Data[[#This Row],[Age]]&lt;25,"Under 25",
HR_Data[[#This Row],[Age]]&lt;35,"25-34",
HR_Data[[#This Row],[Age]]&lt;45,"35-44",
HR_Data[[#This Row],[Age]]&lt;55,"45-54",
TRUE,"55+"
)</f>
        <v>Under 25</v>
      </c>
      <c r="AK1425" t="str" cm="1">
        <f t="array" ref="AK1425">_xlfn.IFS(
HR_Data[[#This Row],[MonthlyIncome]]&lt;3000,"&lt;3K",
HR_Data[[#This Row],[MonthlyIncome]]&lt;6000,"3K-6K",
HR_Data[[#This Row],[MonthlyIncome]]&lt;10000,"6K-10K",
TRUE,"10K+"
)</f>
        <v>3K-6K</v>
      </c>
      <c r="AL1425" t="str" cm="1">
        <f t="array" ref="AL1425">_xlfn.IFS(
HR_Data[[#This Row],[YearsAtCompany]]&lt;2,"&lt;2 Years",
HR_Data[[#This Row],[YearsAtCompany]]&lt;5,"2-4 Years",
HR_Data[[#This Row],[YearsAtCompany]]&lt;10,"5-9 Years",
TRUE,"10+ Years"
)</f>
        <v>2-4 Years</v>
      </c>
      <c r="AM1425" s="1">
        <f>IF(HR_Data[[#This Row],[Attrition]]="Yes",1,0)</f>
        <v>0</v>
      </c>
    </row>
    <row r="1426" spans="1:39" x14ac:dyDescent="0.3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 cm="1">
        <f t="array" ref="AJ1426">_xlfn.IFS(
HR_Data[[#This Row],[Age]]&lt;25,"Under 25",
HR_Data[[#This Row],[Age]]&lt;35,"25-34",
HR_Data[[#This Row],[Age]]&lt;45,"35-44",
HR_Data[[#This Row],[Age]]&lt;55,"45-54",
TRUE,"55+"
)</f>
        <v>35-44</v>
      </c>
      <c r="AK1426" t="str" cm="1">
        <f t="array" ref="AK1426">_xlfn.IFS(
HR_Data[[#This Row],[MonthlyIncome]]&lt;3000,"&lt;3K",
HR_Data[[#This Row],[MonthlyIncome]]&lt;6000,"3K-6K",
HR_Data[[#This Row],[MonthlyIncome]]&lt;10000,"6K-10K",
TRUE,"10K+"
)</f>
        <v>3K-6K</v>
      </c>
      <c r="AL1426" t="str" cm="1">
        <f t="array" ref="AL1426">_xlfn.IFS(
HR_Data[[#This Row],[YearsAtCompany]]&lt;2,"&lt;2 Years",
HR_Data[[#This Row],[YearsAtCompany]]&lt;5,"2-4 Years",
HR_Data[[#This Row],[YearsAtCompany]]&lt;10,"5-9 Years",
TRUE,"10+ Years"
)</f>
        <v>10+ Years</v>
      </c>
      <c r="AM1426" s="1">
        <f>IF(HR_Data[[#This Row],[Attrition]]="Yes",1,0)</f>
        <v>0</v>
      </c>
    </row>
    <row r="1427" spans="1:39" x14ac:dyDescent="0.3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 cm="1">
        <f t="array" ref="AJ1427">_xlfn.IFS(
HR_Data[[#This Row],[Age]]&lt;25,"Under 25",
HR_Data[[#This Row],[Age]]&lt;35,"25-34",
HR_Data[[#This Row],[Age]]&lt;45,"35-44",
HR_Data[[#This Row],[Age]]&lt;55,"45-54",
TRUE,"55+"
)</f>
        <v>25-34</v>
      </c>
      <c r="AK1427" t="str" cm="1">
        <f t="array" ref="AK1427">_xlfn.IFS(
HR_Data[[#This Row],[MonthlyIncome]]&lt;3000,"&lt;3K",
HR_Data[[#This Row],[MonthlyIncome]]&lt;6000,"3K-6K",
HR_Data[[#This Row],[MonthlyIncome]]&lt;10000,"6K-10K",
TRUE,"10K+"
)</f>
        <v>3K-6K</v>
      </c>
      <c r="AL1427" t="str" cm="1">
        <f t="array" ref="AL1427">_xlfn.IFS(
HR_Data[[#This Row],[YearsAtCompany]]&lt;2,"&lt;2 Years",
HR_Data[[#This Row],[YearsAtCompany]]&lt;5,"2-4 Years",
HR_Data[[#This Row],[YearsAtCompany]]&lt;10,"5-9 Years",
TRUE,"10+ Years"
)</f>
        <v>5-9 Years</v>
      </c>
      <c r="AM1427" s="1">
        <f>IF(HR_Data[[#This Row],[Attrition]]="Yes",1,0)</f>
        <v>0</v>
      </c>
    </row>
    <row r="1428" spans="1:39" x14ac:dyDescent="0.3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 cm="1">
        <f t="array" ref="AJ1428">_xlfn.IFS(
HR_Data[[#This Row],[Age]]&lt;25,"Under 25",
HR_Data[[#This Row],[Age]]&lt;35,"25-34",
HR_Data[[#This Row],[Age]]&lt;45,"35-44",
HR_Data[[#This Row],[Age]]&lt;55,"45-54",
TRUE,"55+"
)</f>
        <v>25-34</v>
      </c>
      <c r="AK1428" t="str" cm="1">
        <f t="array" ref="AK1428">_xlfn.IFS(
HR_Data[[#This Row],[MonthlyIncome]]&lt;3000,"&lt;3K",
HR_Data[[#This Row],[MonthlyIncome]]&lt;6000,"3K-6K",
HR_Data[[#This Row],[MonthlyIncome]]&lt;10000,"6K-10K",
TRUE,"10K+"
)</f>
        <v>&lt;3K</v>
      </c>
      <c r="AL1428" t="str" cm="1">
        <f t="array" ref="AL1428">_xlfn.IFS(
HR_Data[[#This Row],[YearsAtCompany]]&lt;2,"&lt;2 Years",
HR_Data[[#This Row],[YearsAtCompany]]&lt;5,"2-4 Years",
HR_Data[[#This Row],[YearsAtCompany]]&lt;10,"5-9 Years",
TRUE,"10+ Years"
)</f>
        <v>5-9 Years</v>
      </c>
      <c r="AM1428" s="1">
        <f>IF(HR_Data[[#This Row],[Attrition]]="Yes",1,0)</f>
        <v>0</v>
      </c>
    </row>
    <row r="1429" spans="1:39" x14ac:dyDescent="0.3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 cm="1">
        <f t="array" ref="AJ1429">_xlfn.IFS(
HR_Data[[#This Row],[Age]]&lt;25,"Under 25",
HR_Data[[#This Row],[Age]]&lt;35,"25-34",
HR_Data[[#This Row],[Age]]&lt;45,"35-44",
HR_Data[[#This Row],[Age]]&lt;55,"45-54",
TRUE,"55+"
)</f>
        <v>35-44</v>
      </c>
      <c r="AK1429" t="str" cm="1">
        <f t="array" ref="AK1429">_xlfn.IFS(
HR_Data[[#This Row],[MonthlyIncome]]&lt;3000,"&lt;3K",
HR_Data[[#This Row],[MonthlyIncome]]&lt;6000,"3K-6K",
HR_Data[[#This Row],[MonthlyIncome]]&lt;10000,"6K-10K",
TRUE,"10K+"
)</f>
        <v>&lt;3K</v>
      </c>
      <c r="AL1429" t="str" cm="1">
        <f t="array" ref="AL1429">_xlfn.IFS(
HR_Data[[#This Row],[YearsAtCompany]]&lt;2,"&lt;2 Years",
HR_Data[[#This Row],[YearsAtCompany]]&lt;5,"2-4 Years",
HR_Data[[#This Row],[YearsAtCompany]]&lt;10,"5-9 Years",
TRUE,"10+ Years"
)</f>
        <v>&lt;2 Years</v>
      </c>
      <c r="AM1429" s="1">
        <f>IF(HR_Data[[#This Row],[Attrition]]="Yes",1,0)</f>
        <v>0</v>
      </c>
    </row>
    <row r="1430" spans="1:39" x14ac:dyDescent="0.3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 cm="1">
        <f t="array" ref="AJ1430">_xlfn.IFS(
HR_Data[[#This Row],[Age]]&lt;25,"Under 25",
HR_Data[[#This Row],[Age]]&lt;35,"25-34",
HR_Data[[#This Row],[Age]]&lt;45,"35-44",
HR_Data[[#This Row],[Age]]&lt;55,"45-54",
TRUE,"55+"
)</f>
        <v>25-34</v>
      </c>
      <c r="AK1430" t="str" cm="1">
        <f t="array" ref="AK1430">_xlfn.IFS(
HR_Data[[#This Row],[MonthlyIncome]]&lt;3000,"&lt;3K",
HR_Data[[#This Row],[MonthlyIncome]]&lt;6000,"3K-6K",
HR_Data[[#This Row],[MonthlyIncome]]&lt;10000,"6K-10K",
TRUE,"10K+"
)</f>
        <v>&lt;3K</v>
      </c>
      <c r="AL1430" t="str" cm="1">
        <f t="array" ref="AL1430">_xlfn.IFS(
HR_Data[[#This Row],[YearsAtCompany]]&lt;2,"&lt;2 Years",
HR_Data[[#This Row],[YearsAtCompany]]&lt;5,"2-4 Years",
HR_Data[[#This Row],[YearsAtCompany]]&lt;10,"5-9 Years",
TRUE,"10+ Years"
)</f>
        <v>2-4 Years</v>
      </c>
      <c r="AM1430" s="1">
        <f>IF(HR_Data[[#This Row],[Attrition]]="Yes",1,0)</f>
        <v>0</v>
      </c>
    </row>
    <row r="1431" spans="1:39" x14ac:dyDescent="0.3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 cm="1">
        <f t="array" ref="AJ1431">_xlfn.IFS(
HR_Data[[#This Row],[Age]]&lt;25,"Under 25",
HR_Data[[#This Row],[Age]]&lt;35,"25-34",
HR_Data[[#This Row],[Age]]&lt;45,"35-44",
HR_Data[[#This Row],[Age]]&lt;55,"45-54",
TRUE,"55+"
)</f>
        <v>35-44</v>
      </c>
      <c r="AK1431" t="str" cm="1">
        <f t="array" ref="AK1431">_xlfn.IFS(
HR_Data[[#This Row],[MonthlyIncome]]&lt;3000,"&lt;3K",
HR_Data[[#This Row],[MonthlyIncome]]&lt;6000,"3K-6K",
HR_Data[[#This Row],[MonthlyIncome]]&lt;10000,"6K-10K",
TRUE,"10K+"
)</f>
        <v>3K-6K</v>
      </c>
      <c r="AL1431" t="str" cm="1">
        <f t="array" ref="AL1431">_xlfn.IFS(
HR_Data[[#This Row],[YearsAtCompany]]&lt;2,"&lt;2 Years",
HR_Data[[#This Row],[YearsAtCompany]]&lt;5,"2-4 Years",
HR_Data[[#This Row],[YearsAtCompany]]&lt;10,"5-9 Years",
TRUE,"10+ Years"
)</f>
        <v>5-9 Years</v>
      </c>
      <c r="AM1431" s="1">
        <f>IF(HR_Data[[#This Row],[Attrition]]="Yes",1,0)</f>
        <v>0</v>
      </c>
    </row>
    <row r="1432" spans="1:39" x14ac:dyDescent="0.3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 cm="1">
        <f t="array" ref="AJ1432">_xlfn.IFS(
HR_Data[[#This Row],[Age]]&lt;25,"Under 25",
HR_Data[[#This Row],[Age]]&lt;35,"25-34",
HR_Data[[#This Row],[Age]]&lt;45,"35-44",
HR_Data[[#This Row],[Age]]&lt;55,"45-54",
TRUE,"55+"
)</f>
        <v>35-44</v>
      </c>
      <c r="AK1432" t="str" cm="1">
        <f t="array" ref="AK1432">_xlfn.IFS(
HR_Data[[#This Row],[MonthlyIncome]]&lt;3000,"&lt;3K",
HR_Data[[#This Row],[MonthlyIncome]]&lt;6000,"3K-6K",
HR_Data[[#This Row],[MonthlyIncome]]&lt;10000,"6K-10K",
TRUE,"10K+"
)</f>
        <v>10K+</v>
      </c>
      <c r="AL1432" t="str" cm="1">
        <f t="array" ref="AL1432">_xlfn.IFS(
HR_Data[[#This Row],[YearsAtCompany]]&lt;2,"&lt;2 Years",
HR_Data[[#This Row],[YearsAtCompany]]&lt;5,"2-4 Years",
HR_Data[[#This Row],[YearsAtCompany]]&lt;10,"5-9 Years",
TRUE,"10+ Years"
)</f>
        <v>10+ Years</v>
      </c>
      <c r="AM1432" s="1">
        <f>IF(HR_Data[[#This Row],[Attrition]]="Yes",1,0)</f>
        <v>0</v>
      </c>
    </row>
    <row r="1433" spans="1:39" x14ac:dyDescent="0.3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 cm="1">
        <f t="array" ref="AJ1433">_xlfn.IFS(
HR_Data[[#This Row],[Age]]&lt;25,"Under 25",
HR_Data[[#This Row],[Age]]&lt;35,"25-34",
HR_Data[[#This Row],[Age]]&lt;45,"35-44",
HR_Data[[#This Row],[Age]]&lt;55,"45-54",
TRUE,"55+"
)</f>
        <v>25-34</v>
      </c>
      <c r="AK1433" t="str" cm="1">
        <f t="array" ref="AK1433">_xlfn.IFS(
HR_Data[[#This Row],[MonthlyIncome]]&lt;3000,"&lt;3K",
HR_Data[[#This Row],[MonthlyIncome]]&lt;6000,"3K-6K",
HR_Data[[#This Row],[MonthlyIncome]]&lt;10000,"6K-10K",
TRUE,"10K+"
)</f>
        <v>10K+</v>
      </c>
      <c r="AL1433" t="str" cm="1">
        <f t="array" ref="AL1433">_xlfn.IFS(
HR_Data[[#This Row],[YearsAtCompany]]&lt;2,"&lt;2 Years",
HR_Data[[#This Row],[YearsAtCompany]]&lt;5,"2-4 Years",
HR_Data[[#This Row],[YearsAtCompany]]&lt;10,"5-9 Years",
TRUE,"10+ Years"
)</f>
        <v>10+ Years</v>
      </c>
      <c r="AM1433" s="1">
        <f>IF(HR_Data[[#This Row],[Attrition]]="Yes",1,0)</f>
        <v>0</v>
      </c>
    </row>
    <row r="1434" spans="1:39" x14ac:dyDescent="0.3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 cm="1">
        <f t="array" ref="AJ1434">_xlfn.IFS(
HR_Data[[#This Row],[Age]]&lt;25,"Under 25",
HR_Data[[#This Row],[Age]]&lt;35,"25-34",
HR_Data[[#This Row],[Age]]&lt;45,"35-44",
HR_Data[[#This Row],[Age]]&lt;55,"45-54",
TRUE,"55+"
)</f>
        <v>35-44</v>
      </c>
      <c r="AK1434" t="str" cm="1">
        <f t="array" ref="AK1434">_xlfn.IFS(
HR_Data[[#This Row],[MonthlyIncome]]&lt;3000,"&lt;3K",
HR_Data[[#This Row],[MonthlyIncome]]&lt;6000,"3K-6K",
HR_Data[[#This Row],[MonthlyIncome]]&lt;10000,"6K-10K",
TRUE,"10K+"
)</f>
        <v>10K+</v>
      </c>
      <c r="AL1434" t="str" cm="1">
        <f t="array" ref="AL1434">_xlfn.IFS(
HR_Data[[#This Row],[YearsAtCompany]]&lt;2,"&lt;2 Years",
HR_Data[[#This Row],[YearsAtCompany]]&lt;5,"2-4 Years",
HR_Data[[#This Row],[YearsAtCompany]]&lt;10,"5-9 Years",
TRUE,"10+ Years"
)</f>
        <v>10+ Years</v>
      </c>
      <c r="AM1434" s="1">
        <f>IF(HR_Data[[#This Row],[Attrition]]="Yes",1,0)</f>
        <v>0</v>
      </c>
    </row>
    <row r="1435" spans="1:39" x14ac:dyDescent="0.3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 cm="1">
        <f t="array" ref="AJ1435">_xlfn.IFS(
HR_Data[[#This Row],[Age]]&lt;25,"Under 25",
HR_Data[[#This Row],[Age]]&lt;35,"25-34",
HR_Data[[#This Row],[Age]]&lt;45,"35-44",
HR_Data[[#This Row],[Age]]&lt;55,"45-54",
TRUE,"55+"
)</f>
        <v>25-34</v>
      </c>
      <c r="AK1435" t="str" cm="1">
        <f t="array" ref="AK1435">_xlfn.IFS(
HR_Data[[#This Row],[MonthlyIncome]]&lt;3000,"&lt;3K",
HR_Data[[#This Row],[MonthlyIncome]]&lt;6000,"3K-6K",
HR_Data[[#This Row],[MonthlyIncome]]&lt;10000,"6K-10K",
TRUE,"10K+"
)</f>
        <v>3K-6K</v>
      </c>
      <c r="AL1435" t="str" cm="1">
        <f t="array" ref="AL1435">_xlfn.IFS(
HR_Data[[#This Row],[YearsAtCompany]]&lt;2,"&lt;2 Years",
HR_Data[[#This Row],[YearsAtCompany]]&lt;5,"2-4 Years",
HR_Data[[#This Row],[YearsAtCompany]]&lt;10,"5-9 Years",
TRUE,"10+ Years"
)</f>
        <v>5-9 Years</v>
      </c>
      <c r="AM1435" s="1">
        <f>IF(HR_Data[[#This Row],[Attrition]]="Yes",1,0)</f>
        <v>0</v>
      </c>
    </row>
    <row r="1436" spans="1:39" x14ac:dyDescent="0.3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 cm="1">
        <f t="array" ref="AJ1436">_xlfn.IFS(
HR_Data[[#This Row],[Age]]&lt;25,"Under 25",
HR_Data[[#This Row],[Age]]&lt;35,"25-34",
HR_Data[[#This Row],[Age]]&lt;45,"35-44",
HR_Data[[#This Row],[Age]]&lt;55,"45-54",
TRUE,"55+"
)</f>
        <v>45-54</v>
      </c>
      <c r="AK1436" t="str" cm="1">
        <f t="array" ref="AK1436">_xlfn.IFS(
HR_Data[[#This Row],[MonthlyIncome]]&lt;3000,"&lt;3K",
HR_Data[[#This Row],[MonthlyIncome]]&lt;6000,"3K-6K",
HR_Data[[#This Row],[MonthlyIncome]]&lt;10000,"6K-10K",
TRUE,"10K+"
)</f>
        <v>3K-6K</v>
      </c>
      <c r="AL1436" t="str" cm="1">
        <f t="array" ref="AL1436">_xlfn.IFS(
HR_Data[[#This Row],[YearsAtCompany]]&lt;2,"&lt;2 Years",
HR_Data[[#This Row],[YearsAtCompany]]&lt;5,"2-4 Years",
HR_Data[[#This Row],[YearsAtCompany]]&lt;10,"5-9 Years",
TRUE,"10+ Years"
)</f>
        <v>5-9 Years</v>
      </c>
      <c r="AM1436" s="1">
        <f>IF(HR_Data[[#This Row],[Attrition]]="Yes",1,0)</f>
        <v>0</v>
      </c>
    </row>
    <row r="1437" spans="1:39" x14ac:dyDescent="0.3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 cm="1">
        <f t="array" ref="AJ1437">_xlfn.IFS(
HR_Data[[#This Row],[Age]]&lt;25,"Under 25",
HR_Data[[#This Row],[Age]]&lt;35,"25-34",
HR_Data[[#This Row],[Age]]&lt;45,"35-44",
HR_Data[[#This Row],[Age]]&lt;55,"45-54",
TRUE,"55+"
)</f>
        <v>35-44</v>
      </c>
      <c r="AK1437" t="str" cm="1">
        <f t="array" ref="AK1437">_xlfn.IFS(
HR_Data[[#This Row],[MonthlyIncome]]&lt;3000,"&lt;3K",
HR_Data[[#This Row],[MonthlyIncome]]&lt;6000,"3K-6K",
HR_Data[[#This Row],[MonthlyIncome]]&lt;10000,"6K-10K",
TRUE,"10K+"
)</f>
        <v>&lt;3K</v>
      </c>
      <c r="AL1437" t="str" cm="1">
        <f t="array" ref="AL1437">_xlfn.IFS(
HR_Data[[#This Row],[YearsAtCompany]]&lt;2,"&lt;2 Years",
HR_Data[[#This Row],[YearsAtCompany]]&lt;5,"2-4 Years",
HR_Data[[#This Row],[YearsAtCompany]]&lt;10,"5-9 Years",
TRUE,"10+ Years"
)</f>
        <v>2-4 Years</v>
      </c>
      <c r="AM1437" s="1">
        <f>IF(HR_Data[[#This Row],[Attrition]]="Yes",1,0)</f>
        <v>0</v>
      </c>
    </row>
    <row r="1438" spans="1:39" x14ac:dyDescent="0.3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 cm="1">
        <f t="array" ref="AJ1438">_xlfn.IFS(
HR_Data[[#This Row],[Age]]&lt;25,"Under 25",
HR_Data[[#This Row],[Age]]&lt;35,"25-34",
HR_Data[[#This Row],[Age]]&lt;45,"35-44",
HR_Data[[#This Row],[Age]]&lt;55,"45-54",
TRUE,"55+"
)</f>
        <v>Under 25</v>
      </c>
      <c r="AK1438" t="str" cm="1">
        <f t="array" ref="AK1438">_xlfn.IFS(
HR_Data[[#This Row],[MonthlyIncome]]&lt;3000,"&lt;3K",
HR_Data[[#This Row],[MonthlyIncome]]&lt;6000,"3K-6K",
HR_Data[[#This Row],[MonthlyIncome]]&lt;10000,"6K-10K",
TRUE,"10K+"
)</f>
        <v>&lt;3K</v>
      </c>
      <c r="AL1438" t="str" cm="1">
        <f t="array" ref="AL1438">_xlfn.IFS(
HR_Data[[#This Row],[YearsAtCompany]]&lt;2,"&lt;2 Years",
HR_Data[[#This Row],[YearsAtCompany]]&lt;5,"2-4 Years",
HR_Data[[#This Row],[YearsAtCompany]]&lt;10,"5-9 Years",
TRUE,"10+ Years"
)</f>
        <v>2-4 Years</v>
      </c>
      <c r="AM1438" s="1">
        <f>IF(HR_Data[[#This Row],[Attrition]]="Yes",1,0)</f>
        <v>0</v>
      </c>
    </row>
    <row r="1439" spans="1:39" x14ac:dyDescent="0.3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 cm="1">
        <f t="array" ref="AJ1439">_xlfn.IFS(
HR_Data[[#This Row],[Age]]&lt;25,"Under 25",
HR_Data[[#This Row],[Age]]&lt;35,"25-34",
HR_Data[[#This Row],[Age]]&lt;45,"35-44",
HR_Data[[#This Row],[Age]]&lt;55,"45-54",
TRUE,"55+"
)</f>
        <v>35-44</v>
      </c>
      <c r="AK1439" t="str" cm="1">
        <f t="array" ref="AK1439">_xlfn.IFS(
HR_Data[[#This Row],[MonthlyIncome]]&lt;3000,"&lt;3K",
HR_Data[[#This Row],[MonthlyIncome]]&lt;6000,"3K-6K",
HR_Data[[#This Row],[MonthlyIncome]]&lt;10000,"6K-10K",
TRUE,"10K+"
)</f>
        <v>10K+</v>
      </c>
      <c r="AL1439" t="str" cm="1">
        <f t="array" ref="AL1439">_xlfn.IFS(
HR_Data[[#This Row],[YearsAtCompany]]&lt;2,"&lt;2 Years",
HR_Data[[#This Row],[YearsAtCompany]]&lt;5,"2-4 Years",
HR_Data[[#This Row],[YearsAtCompany]]&lt;10,"5-9 Years",
TRUE,"10+ Years"
)</f>
        <v>5-9 Years</v>
      </c>
      <c r="AM1439" s="1">
        <f>IF(HR_Data[[#This Row],[Attrition]]="Yes",1,0)</f>
        <v>0</v>
      </c>
    </row>
    <row r="1440" spans="1:39" x14ac:dyDescent="0.3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 cm="1">
        <f t="array" ref="AJ1440">_xlfn.IFS(
HR_Data[[#This Row],[Age]]&lt;25,"Under 25",
HR_Data[[#This Row],[Age]]&lt;35,"25-34",
HR_Data[[#This Row],[Age]]&lt;45,"35-44",
HR_Data[[#This Row],[Age]]&lt;55,"45-54",
TRUE,"55+"
)</f>
        <v>Under 25</v>
      </c>
      <c r="AK1440" t="str" cm="1">
        <f t="array" ref="AK1440">_xlfn.IFS(
HR_Data[[#This Row],[MonthlyIncome]]&lt;3000,"&lt;3K",
HR_Data[[#This Row],[MonthlyIncome]]&lt;6000,"3K-6K",
HR_Data[[#This Row],[MonthlyIncome]]&lt;10000,"6K-10K",
TRUE,"10K+"
)</f>
        <v>&lt;3K</v>
      </c>
      <c r="AL1440" t="str" cm="1">
        <f t="array" ref="AL1440">_xlfn.IFS(
HR_Data[[#This Row],[YearsAtCompany]]&lt;2,"&lt;2 Years",
HR_Data[[#This Row],[YearsAtCompany]]&lt;5,"2-4 Years",
HR_Data[[#This Row],[YearsAtCompany]]&lt;10,"5-9 Years",
TRUE,"10+ Years"
)</f>
        <v>&lt;2 Years</v>
      </c>
      <c r="AM1440" s="1">
        <f>IF(HR_Data[[#This Row],[Attrition]]="Yes",1,0)</f>
        <v>1</v>
      </c>
    </row>
    <row r="1441" spans="1:39" x14ac:dyDescent="0.3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 cm="1">
        <f t="array" ref="AJ1441">_xlfn.IFS(
HR_Data[[#This Row],[Age]]&lt;25,"Under 25",
HR_Data[[#This Row],[Age]]&lt;35,"25-34",
HR_Data[[#This Row],[Age]]&lt;45,"35-44",
HR_Data[[#This Row],[Age]]&lt;55,"45-54",
TRUE,"55+"
)</f>
        <v>35-44</v>
      </c>
      <c r="AK1441" t="str" cm="1">
        <f t="array" ref="AK1441">_xlfn.IFS(
HR_Data[[#This Row],[MonthlyIncome]]&lt;3000,"&lt;3K",
HR_Data[[#This Row],[MonthlyIncome]]&lt;6000,"3K-6K",
HR_Data[[#This Row],[MonthlyIncome]]&lt;10000,"6K-10K",
TRUE,"10K+"
)</f>
        <v>6K-10K</v>
      </c>
      <c r="AL1441" t="str" cm="1">
        <f t="array" ref="AL1441">_xlfn.IFS(
HR_Data[[#This Row],[YearsAtCompany]]&lt;2,"&lt;2 Years",
HR_Data[[#This Row],[YearsAtCompany]]&lt;5,"2-4 Years",
HR_Data[[#This Row],[YearsAtCompany]]&lt;10,"5-9 Years",
TRUE,"10+ Years"
)</f>
        <v>5-9 Years</v>
      </c>
      <c r="AM1441" s="1">
        <f>IF(HR_Data[[#This Row],[Attrition]]="Yes",1,0)</f>
        <v>0</v>
      </c>
    </row>
    <row r="1442" spans="1:39" x14ac:dyDescent="0.3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 cm="1">
        <f t="array" ref="AJ1442">_xlfn.IFS(
HR_Data[[#This Row],[Age]]&lt;25,"Under 25",
HR_Data[[#This Row],[Age]]&lt;35,"25-34",
HR_Data[[#This Row],[Age]]&lt;45,"35-44",
HR_Data[[#This Row],[Age]]&lt;55,"45-54",
TRUE,"55+"
)</f>
        <v>35-44</v>
      </c>
      <c r="AK1442" t="str" cm="1">
        <f t="array" ref="AK1442">_xlfn.IFS(
HR_Data[[#This Row],[MonthlyIncome]]&lt;3000,"&lt;3K",
HR_Data[[#This Row],[MonthlyIncome]]&lt;6000,"3K-6K",
HR_Data[[#This Row],[MonthlyIncome]]&lt;10000,"6K-10K",
TRUE,"10K+"
)</f>
        <v>3K-6K</v>
      </c>
      <c r="AL1442" t="str" cm="1">
        <f t="array" ref="AL1442">_xlfn.IFS(
HR_Data[[#This Row],[YearsAtCompany]]&lt;2,"&lt;2 Years",
HR_Data[[#This Row],[YearsAtCompany]]&lt;5,"2-4 Years",
HR_Data[[#This Row],[YearsAtCompany]]&lt;10,"5-9 Years",
TRUE,"10+ Years"
)</f>
        <v>2-4 Years</v>
      </c>
      <c r="AM1442" s="1">
        <f>IF(HR_Data[[#This Row],[Attrition]]="Yes",1,0)</f>
        <v>0</v>
      </c>
    </row>
    <row r="1443" spans="1:39" x14ac:dyDescent="0.3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 cm="1">
        <f t="array" ref="AJ1443">_xlfn.IFS(
HR_Data[[#This Row],[Age]]&lt;25,"Under 25",
HR_Data[[#This Row],[Age]]&lt;35,"25-34",
HR_Data[[#This Row],[Age]]&lt;45,"35-44",
HR_Data[[#This Row],[Age]]&lt;55,"45-54",
TRUE,"55+"
)</f>
        <v>55+</v>
      </c>
      <c r="AK1443" t="str" cm="1">
        <f t="array" ref="AK1443">_xlfn.IFS(
HR_Data[[#This Row],[MonthlyIncome]]&lt;3000,"&lt;3K",
HR_Data[[#This Row],[MonthlyIncome]]&lt;6000,"3K-6K",
HR_Data[[#This Row],[MonthlyIncome]]&lt;10000,"6K-10K",
TRUE,"10K+"
)</f>
        <v>6K-10K</v>
      </c>
      <c r="AL1443" t="str" cm="1">
        <f t="array" ref="AL1443">_xlfn.IFS(
HR_Data[[#This Row],[YearsAtCompany]]&lt;2,"&lt;2 Years",
HR_Data[[#This Row],[YearsAtCompany]]&lt;5,"2-4 Years",
HR_Data[[#This Row],[YearsAtCompany]]&lt;10,"5-9 Years",
TRUE,"10+ Years"
)</f>
        <v>10+ Years</v>
      </c>
      <c r="AM1443" s="1">
        <f>IF(HR_Data[[#This Row],[Attrition]]="Yes",1,0)</f>
        <v>0</v>
      </c>
    </row>
    <row r="1444" spans="1:39" x14ac:dyDescent="0.3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 cm="1">
        <f t="array" ref="AJ1444">_xlfn.IFS(
HR_Data[[#This Row],[Age]]&lt;25,"Under 25",
HR_Data[[#This Row],[Age]]&lt;35,"25-34",
HR_Data[[#This Row],[Age]]&lt;45,"35-44",
HR_Data[[#This Row],[Age]]&lt;55,"45-54",
TRUE,"55+"
)</f>
        <v>25-34</v>
      </c>
      <c r="AK1444" t="str" cm="1">
        <f t="array" ref="AK1444">_xlfn.IFS(
HR_Data[[#This Row],[MonthlyIncome]]&lt;3000,"&lt;3K",
HR_Data[[#This Row],[MonthlyIncome]]&lt;6000,"3K-6K",
HR_Data[[#This Row],[MonthlyIncome]]&lt;10000,"6K-10K",
TRUE,"10K+"
)</f>
        <v>3K-6K</v>
      </c>
      <c r="AL1444" t="str" cm="1">
        <f t="array" ref="AL1444">_xlfn.IFS(
HR_Data[[#This Row],[YearsAtCompany]]&lt;2,"&lt;2 Years",
HR_Data[[#This Row],[YearsAtCompany]]&lt;5,"2-4 Years",
HR_Data[[#This Row],[YearsAtCompany]]&lt;10,"5-9 Years",
TRUE,"10+ Years"
)</f>
        <v>2-4 Years</v>
      </c>
      <c r="AM1444" s="1">
        <f>IF(HR_Data[[#This Row],[Attrition]]="Yes",1,0)</f>
        <v>1</v>
      </c>
    </row>
    <row r="1445" spans="1:39" x14ac:dyDescent="0.3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 cm="1">
        <f t="array" ref="AJ1445">_xlfn.IFS(
HR_Data[[#This Row],[Age]]&lt;25,"Under 25",
HR_Data[[#This Row],[Age]]&lt;35,"25-34",
HR_Data[[#This Row],[Age]]&lt;45,"35-44",
HR_Data[[#This Row],[Age]]&lt;55,"45-54",
TRUE,"55+"
)</f>
        <v>35-44</v>
      </c>
      <c r="AK1445" t="str" cm="1">
        <f t="array" ref="AK1445">_xlfn.IFS(
HR_Data[[#This Row],[MonthlyIncome]]&lt;3000,"&lt;3K",
HR_Data[[#This Row],[MonthlyIncome]]&lt;6000,"3K-6K",
HR_Data[[#This Row],[MonthlyIncome]]&lt;10000,"6K-10K",
TRUE,"10K+"
)</f>
        <v>10K+</v>
      </c>
      <c r="AL1445" t="str" cm="1">
        <f t="array" ref="AL1445">_xlfn.IFS(
HR_Data[[#This Row],[YearsAtCompany]]&lt;2,"&lt;2 Years",
HR_Data[[#This Row],[YearsAtCompany]]&lt;5,"2-4 Years",
HR_Data[[#This Row],[YearsAtCompany]]&lt;10,"5-9 Years",
TRUE,"10+ Years"
)</f>
        <v>10+ Years</v>
      </c>
      <c r="AM1445" s="1">
        <f>IF(HR_Data[[#This Row],[Attrition]]="Yes",1,0)</f>
        <v>0</v>
      </c>
    </row>
    <row r="1446" spans="1:39" x14ac:dyDescent="0.3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 cm="1">
        <f t="array" ref="AJ1446">_xlfn.IFS(
HR_Data[[#This Row],[Age]]&lt;25,"Under 25",
HR_Data[[#This Row],[Age]]&lt;35,"25-34",
HR_Data[[#This Row],[Age]]&lt;45,"35-44",
HR_Data[[#This Row],[Age]]&lt;55,"45-54",
TRUE,"55+"
)</f>
        <v>55+</v>
      </c>
      <c r="AK1446" t="str" cm="1">
        <f t="array" ref="AK1446">_xlfn.IFS(
HR_Data[[#This Row],[MonthlyIncome]]&lt;3000,"&lt;3K",
HR_Data[[#This Row],[MonthlyIncome]]&lt;6000,"3K-6K",
HR_Data[[#This Row],[MonthlyIncome]]&lt;10000,"6K-10K",
TRUE,"10K+"
)</f>
        <v>&lt;3K</v>
      </c>
      <c r="AL1446" t="str" cm="1">
        <f t="array" ref="AL1446">_xlfn.IFS(
HR_Data[[#This Row],[YearsAtCompany]]&lt;2,"&lt;2 Years",
HR_Data[[#This Row],[YearsAtCompany]]&lt;5,"2-4 Years",
HR_Data[[#This Row],[YearsAtCompany]]&lt;10,"5-9 Years",
TRUE,"10+ Years"
)</f>
        <v>10+ Years</v>
      </c>
      <c r="AM1446" s="1">
        <f>IF(HR_Data[[#This Row],[Attrition]]="Yes",1,0)</f>
        <v>1</v>
      </c>
    </row>
    <row r="1447" spans="1:39" x14ac:dyDescent="0.3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 cm="1">
        <f t="array" ref="AJ1447">_xlfn.IFS(
HR_Data[[#This Row],[Age]]&lt;25,"Under 25",
HR_Data[[#This Row],[Age]]&lt;35,"25-34",
HR_Data[[#This Row],[Age]]&lt;45,"35-44",
HR_Data[[#This Row],[Age]]&lt;55,"45-54",
TRUE,"55+"
)</f>
        <v>35-44</v>
      </c>
      <c r="AK1447" t="str" cm="1">
        <f t="array" ref="AK1447">_xlfn.IFS(
HR_Data[[#This Row],[MonthlyIncome]]&lt;3000,"&lt;3K",
HR_Data[[#This Row],[MonthlyIncome]]&lt;6000,"3K-6K",
HR_Data[[#This Row],[MonthlyIncome]]&lt;10000,"6K-10K",
TRUE,"10K+"
)</f>
        <v>10K+</v>
      </c>
      <c r="AL1447" t="str" cm="1">
        <f t="array" ref="AL1447">_xlfn.IFS(
HR_Data[[#This Row],[YearsAtCompany]]&lt;2,"&lt;2 Years",
HR_Data[[#This Row],[YearsAtCompany]]&lt;5,"2-4 Years",
HR_Data[[#This Row],[YearsAtCompany]]&lt;10,"5-9 Years",
TRUE,"10+ Years"
)</f>
        <v>10+ Years</v>
      </c>
      <c r="AM1447" s="1">
        <f>IF(HR_Data[[#This Row],[Attrition]]="Yes",1,0)</f>
        <v>0</v>
      </c>
    </row>
    <row r="1448" spans="1:39" x14ac:dyDescent="0.3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 cm="1">
        <f t="array" ref="AJ1448">_xlfn.IFS(
HR_Data[[#This Row],[Age]]&lt;25,"Under 25",
HR_Data[[#This Row],[Age]]&lt;35,"25-34",
HR_Data[[#This Row],[Age]]&lt;45,"35-44",
HR_Data[[#This Row],[Age]]&lt;55,"45-54",
TRUE,"55+"
)</f>
        <v>25-34</v>
      </c>
      <c r="AK1448" t="str" cm="1">
        <f t="array" ref="AK1448">_xlfn.IFS(
HR_Data[[#This Row],[MonthlyIncome]]&lt;3000,"&lt;3K",
HR_Data[[#This Row],[MonthlyIncome]]&lt;6000,"3K-6K",
HR_Data[[#This Row],[MonthlyIncome]]&lt;10000,"6K-10K",
TRUE,"10K+"
)</f>
        <v>6K-10K</v>
      </c>
      <c r="AL1448" t="str" cm="1">
        <f t="array" ref="AL1448">_xlfn.IFS(
HR_Data[[#This Row],[YearsAtCompany]]&lt;2,"&lt;2 Years",
HR_Data[[#This Row],[YearsAtCompany]]&lt;5,"2-4 Years",
HR_Data[[#This Row],[YearsAtCompany]]&lt;10,"5-9 Years",
TRUE,"10+ Years"
)</f>
        <v>5-9 Years</v>
      </c>
      <c r="AM1448" s="1">
        <f>IF(HR_Data[[#This Row],[Attrition]]="Yes",1,0)</f>
        <v>0</v>
      </c>
    </row>
    <row r="1449" spans="1:39" x14ac:dyDescent="0.3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 cm="1">
        <f t="array" ref="AJ1449">_xlfn.IFS(
HR_Data[[#This Row],[Age]]&lt;25,"Under 25",
HR_Data[[#This Row],[Age]]&lt;35,"25-34",
HR_Data[[#This Row],[Age]]&lt;45,"35-44",
HR_Data[[#This Row],[Age]]&lt;55,"45-54",
TRUE,"55+"
)</f>
        <v>35-44</v>
      </c>
      <c r="AK1449" t="str" cm="1">
        <f t="array" ref="AK1449">_xlfn.IFS(
HR_Data[[#This Row],[MonthlyIncome]]&lt;3000,"&lt;3K",
HR_Data[[#This Row],[MonthlyIncome]]&lt;6000,"3K-6K",
HR_Data[[#This Row],[MonthlyIncome]]&lt;10000,"6K-10K",
TRUE,"10K+"
)</f>
        <v>3K-6K</v>
      </c>
      <c r="AL1449" t="str" cm="1">
        <f t="array" ref="AL1449">_xlfn.IFS(
HR_Data[[#This Row],[YearsAtCompany]]&lt;2,"&lt;2 Years",
HR_Data[[#This Row],[YearsAtCompany]]&lt;5,"2-4 Years",
HR_Data[[#This Row],[YearsAtCompany]]&lt;10,"5-9 Years",
TRUE,"10+ Years"
)</f>
        <v>10+ Years</v>
      </c>
      <c r="AM1449" s="1">
        <f>IF(HR_Data[[#This Row],[Attrition]]="Yes",1,0)</f>
        <v>0</v>
      </c>
    </row>
    <row r="1450" spans="1:39" x14ac:dyDescent="0.3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 cm="1">
        <f t="array" ref="AJ1450">_xlfn.IFS(
HR_Data[[#This Row],[Age]]&lt;25,"Under 25",
HR_Data[[#This Row],[Age]]&lt;35,"25-34",
HR_Data[[#This Row],[Age]]&lt;45,"35-44",
HR_Data[[#This Row],[Age]]&lt;55,"45-54",
TRUE,"55+"
)</f>
        <v>35-44</v>
      </c>
      <c r="AK1450" t="str" cm="1">
        <f t="array" ref="AK1450">_xlfn.IFS(
HR_Data[[#This Row],[MonthlyIncome]]&lt;3000,"&lt;3K",
HR_Data[[#This Row],[MonthlyIncome]]&lt;6000,"3K-6K",
HR_Data[[#This Row],[MonthlyIncome]]&lt;10000,"6K-10K",
TRUE,"10K+"
)</f>
        <v>6K-10K</v>
      </c>
      <c r="AL1450" t="str" cm="1">
        <f t="array" ref="AL1450">_xlfn.IFS(
HR_Data[[#This Row],[YearsAtCompany]]&lt;2,"&lt;2 Years",
HR_Data[[#This Row],[YearsAtCompany]]&lt;5,"2-4 Years",
HR_Data[[#This Row],[YearsAtCompany]]&lt;10,"5-9 Years",
TRUE,"10+ Years"
)</f>
        <v>5-9 Years</v>
      </c>
      <c r="AM1450" s="1">
        <f>IF(HR_Data[[#This Row],[Attrition]]="Yes",1,0)</f>
        <v>0</v>
      </c>
    </row>
    <row r="1451" spans="1:39" x14ac:dyDescent="0.3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 cm="1">
        <f t="array" ref="AJ1451">_xlfn.IFS(
HR_Data[[#This Row],[Age]]&lt;25,"Under 25",
HR_Data[[#This Row],[Age]]&lt;35,"25-34",
HR_Data[[#This Row],[Age]]&lt;45,"35-44",
HR_Data[[#This Row],[Age]]&lt;55,"45-54",
TRUE,"55+"
)</f>
        <v>25-34</v>
      </c>
      <c r="AK1451" t="str" cm="1">
        <f t="array" ref="AK1451">_xlfn.IFS(
HR_Data[[#This Row],[MonthlyIncome]]&lt;3000,"&lt;3K",
HR_Data[[#This Row],[MonthlyIncome]]&lt;6000,"3K-6K",
HR_Data[[#This Row],[MonthlyIncome]]&lt;10000,"6K-10K",
TRUE,"10K+"
)</f>
        <v>&lt;3K</v>
      </c>
      <c r="AL1451" t="str" cm="1">
        <f t="array" ref="AL1451">_xlfn.IFS(
HR_Data[[#This Row],[YearsAtCompany]]&lt;2,"&lt;2 Years",
HR_Data[[#This Row],[YearsAtCompany]]&lt;5,"2-4 Years",
HR_Data[[#This Row],[YearsAtCompany]]&lt;10,"5-9 Years",
TRUE,"10+ Years"
)</f>
        <v>2-4 Years</v>
      </c>
      <c r="AM1451" s="1">
        <f>IF(HR_Data[[#This Row],[Attrition]]="Yes",1,0)</f>
        <v>0</v>
      </c>
    </row>
    <row r="1452" spans="1:39" x14ac:dyDescent="0.3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 cm="1">
        <f t="array" ref="AJ1452">_xlfn.IFS(
HR_Data[[#This Row],[Age]]&lt;25,"Under 25",
HR_Data[[#This Row],[Age]]&lt;35,"25-34",
HR_Data[[#This Row],[Age]]&lt;45,"35-44",
HR_Data[[#This Row],[Age]]&lt;55,"45-54",
TRUE,"55+"
)</f>
        <v>35-44</v>
      </c>
      <c r="AK1452" t="str" cm="1">
        <f t="array" ref="AK1452">_xlfn.IFS(
HR_Data[[#This Row],[MonthlyIncome]]&lt;3000,"&lt;3K",
HR_Data[[#This Row],[MonthlyIncome]]&lt;6000,"3K-6K",
HR_Data[[#This Row],[MonthlyIncome]]&lt;10000,"6K-10K",
TRUE,"10K+"
)</f>
        <v>6K-10K</v>
      </c>
      <c r="AL1452" t="str" cm="1">
        <f t="array" ref="AL1452">_xlfn.IFS(
HR_Data[[#This Row],[YearsAtCompany]]&lt;2,"&lt;2 Years",
HR_Data[[#This Row],[YearsAtCompany]]&lt;5,"2-4 Years",
HR_Data[[#This Row],[YearsAtCompany]]&lt;10,"5-9 Years",
TRUE,"10+ Years"
)</f>
        <v>5-9 Years</v>
      </c>
      <c r="AM1452" s="1">
        <f>IF(HR_Data[[#This Row],[Attrition]]="Yes",1,0)</f>
        <v>0</v>
      </c>
    </row>
    <row r="1453" spans="1:39" x14ac:dyDescent="0.3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 cm="1">
        <f t="array" ref="AJ1453">_xlfn.IFS(
HR_Data[[#This Row],[Age]]&lt;25,"Under 25",
HR_Data[[#This Row],[Age]]&lt;35,"25-34",
HR_Data[[#This Row],[Age]]&lt;45,"35-44",
HR_Data[[#This Row],[Age]]&lt;55,"45-54",
TRUE,"55+"
)</f>
        <v>35-44</v>
      </c>
      <c r="AK1453" t="str" cm="1">
        <f t="array" ref="AK1453">_xlfn.IFS(
HR_Data[[#This Row],[MonthlyIncome]]&lt;3000,"&lt;3K",
HR_Data[[#This Row],[MonthlyIncome]]&lt;6000,"3K-6K",
HR_Data[[#This Row],[MonthlyIncome]]&lt;10000,"6K-10K",
TRUE,"10K+"
)</f>
        <v>3K-6K</v>
      </c>
      <c r="AL1453" t="str" cm="1">
        <f t="array" ref="AL1453">_xlfn.IFS(
HR_Data[[#This Row],[YearsAtCompany]]&lt;2,"&lt;2 Years",
HR_Data[[#This Row],[YearsAtCompany]]&lt;5,"2-4 Years",
HR_Data[[#This Row],[YearsAtCompany]]&lt;10,"5-9 Years",
TRUE,"10+ Years"
)</f>
        <v>10+ Years</v>
      </c>
      <c r="AM1453" s="1">
        <f>IF(HR_Data[[#This Row],[Attrition]]="Yes",1,0)</f>
        <v>0</v>
      </c>
    </row>
    <row r="1454" spans="1:39" x14ac:dyDescent="0.3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 cm="1">
        <f t="array" ref="AJ1454">_xlfn.IFS(
HR_Data[[#This Row],[Age]]&lt;25,"Under 25",
HR_Data[[#This Row],[Age]]&lt;35,"25-34",
HR_Data[[#This Row],[Age]]&lt;45,"35-44",
HR_Data[[#This Row],[Age]]&lt;55,"45-54",
TRUE,"55+"
)</f>
        <v>45-54</v>
      </c>
      <c r="AK1454" t="str" cm="1">
        <f t="array" ref="AK1454">_xlfn.IFS(
HR_Data[[#This Row],[MonthlyIncome]]&lt;3000,"&lt;3K",
HR_Data[[#This Row],[MonthlyIncome]]&lt;6000,"3K-6K",
HR_Data[[#This Row],[MonthlyIncome]]&lt;10000,"6K-10K",
TRUE,"10K+"
)</f>
        <v>6K-10K</v>
      </c>
      <c r="AL1454" t="str" cm="1">
        <f t="array" ref="AL1454">_xlfn.IFS(
HR_Data[[#This Row],[YearsAtCompany]]&lt;2,"&lt;2 Years",
HR_Data[[#This Row],[YearsAtCompany]]&lt;5,"2-4 Years",
HR_Data[[#This Row],[YearsAtCompany]]&lt;10,"5-9 Years",
TRUE,"10+ Years"
)</f>
        <v>5-9 Years</v>
      </c>
      <c r="AM1454" s="1">
        <f>IF(HR_Data[[#This Row],[Attrition]]="Yes",1,0)</f>
        <v>1</v>
      </c>
    </row>
    <row r="1455" spans="1:39" x14ac:dyDescent="0.3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 cm="1">
        <f t="array" ref="AJ1455">_xlfn.IFS(
HR_Data[[#This Row],[Age]]&lt;25,"Under 25",
HR_Data[[#This Row],[Age]]&lt;35,"25-34",
HR_Data[[#This Row],[Age]]&lt;45,"35-44",
HR_Data[[#This Row],[Age]]&lt;55,"45-54",
TRUE,"55+"
)</f>
        <v>35-44</v>
      </c>
      <c r="AK1455" t="str" cm="1">
        <f t="array" ref="AK1455">_xlfn.IFS(
HR_Data[[#This Row],[MonthlyIncome]]&lt;3000,"&lt;3K",
HR_Data[[#This Row],[MonthlyIncome]]&lt;6000,"3K-6K",
HR_Data[[#This Row],[MonthlyIncome]]&lt;10000,"6K-10K",
TRUE,"10K+"
)</f>
        <v>6K-10K</v>
      </c>
      <c r="AL1455" t="str" cm="1">
        <f t="array" ref="AL1455">_xlfn.IFS(
HR_Data[[#This Row],[YearsAtCompany]]&lt;2,"&lt;2 Years",
HR_Data[[#This Row],[YearsAtCompany]]&lt;5,"2-4 Years",
HR_Data[[#This Row],[YearsAtCompany]]&lt;10,"5-9 Years",
TRUE,"10+ Years"
)</f>
        <v>5-9 Years</v>
      </c>
      <c r="AM1455" s="1">
        <f>IF(HR_Data[[#This Row],[Attrition]]="Yes",1,0)</f>
        <v>0</v>
      </c>
    </row>
    <row r="1456" spans="1:39" x14ac:dyDescent="0.3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 cm="1">
        <f t="array" ref="AJ1456">_xlfn.IFS(
HR_Data[[#This Row],[Age]]&lt;25,"Under 25",
HR_Data[[#This Row],[Age]]&lt;35,"25-34",
HR_Data[[#This Row],[Age]]&lt;45,"35-44",
HR_Data[[#This Row],[Age]]&lt;55,"45-54",
TRUE,"55+"
)</f>
        <v>45-54</v>
      </c>
      <c r="AK1456" t="str" cm="1">
        <f t="array" ref="AK1456">_xlfn.IFS(
HR_Data[[#This Row],[MonthlyIncome]]&lt;3000,"&lt;3K",
HR_Data[[#This Row],[MonthlyIncome]]&lt;6000,"3K-6K",
HR_Data[[#This Row],[MonthlyIncome]]&lt;10000,"6K-10K",
TRUE,"10K+"
)</f>
        <v>3K-6K</v>
      </c>
      <c r="AL1456" t="str" cm="1">
        <f t="array" ref="AL1456">_xlfn.IFS(
HR_Data[[#This Row],[YearsAtCompany]]&lt;2,"&lt;2 Years",
HR_Data[[#This Row],[YearsAtCompany]]&lt;5,"2-4 Years",
HR_Data[[#This Row],[YearsAtCompany]]&lt;10,"5-9 Years",
TRUE,"10+ Years"
)</f>
        <v>5-9 Years</v>
      </c>
      <c r="AM1456" s="1">
        <f>IF(HR_Data[[#This Row],[Attrition]]="Yes",1,0)</f>
        <v>0</v>
      </c>
    </row>
    <row r="1457" spans="1:39" x14ac:dyDescent="0.3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 cm="1">
        <f t="array" ref="AJ1457">_xlfn.IFS(
HR_Data[[#This Row],[Age]]&lt;25,"Under 25",
HR_Data[[#This Row],[Age]]&lt;35,"25-34",
HR_Data[[#This Row],[Age]]&lt;45,"35-44",
HR_Data[[#This Row],[Age]]&lt;55,"45-54",
TRUE,"55+"
)</f>
        <v>35-44</v>
      </c>
      <c r="AK1457" t="str" cm="1">
        <f t="array" ref="AK1457">_xlfn.IFS(
HR_Data[[#This Row],[MonthlyIncome]]&lt;3000,"&lt;3K",
HR_Data[[#This Row],[MonthlyIncome]]&lt;6000,"3K-6K",
HR_Data[[#This Row],[MonthlyIncome]]&lt;10000,"6K-10K",
TRUE,"10K+"
)</f>
        <v>&lt;3K</v>
      </c>
      <c r="AL1457" t="str" cm="1">
        <f t="array" ref="AL1457">_xlfn.IFS(
HR_Data[[#This Row],[YearsAtCompany]]&lt;2,"&lt;2 Years",
HR_Data[[#This Row],[YearsAtCompany]]&lt;5,"2-4 Years",
HR_Data[[#This Row],[YearsAtCompany]]&lt;10,"5-9 Years",
TRUE,"10+ Years"
)</f>
        <v>2-4 Years</v>
      </c>
      <c r="AM1457" s="1">
        <f>IF(HR_Data[[#This Row],[Attrition]]="Yes",1,0)</f>
        <v>0</v>
      </c>
    </row>
    <row r="1458" spans="1:39" x14ac:dyDescent="0.3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 cm="1">
        <f t="array" ref="AJ1458">_xlfn.IFS(
HR_Data[[#This Row],[Age]]&lt;25,"Under 25",
HR_Data[[#This Row],[Age]]&lt;35,"25-34",
HR_Data[[#This Row],[Age]]&lt;45,"35-44",
HR_Data[[#This Row],[Age]]&lt;55,"45-54",
TRUE,"55+"
)</f>
        <v>35-44</v>
      </c>
      <c r="AK1458" t="str" cm="1">
        <f t="array" ref="AK1458">_xlfn.IFS(
HR_Data[[#This Row],[MonthlyIncome]]&lt;3000,"&lt;3K",
HR_Data[[#This Row],[MonthlyIncome]]&lt;6000,"3K-6K",
HR_Data[[#This Row],[MonthlyIncome]]&lt;10000,"6K-10K",
TRUE,"10K+"
)</f>
        <v>3K-6K</v>
      </c>
      <c r="AL1458" t="str" cm="1">
        <f t="array" ref="AL1458">_xlfn.IFS(
HR_Data[[#This Row],[YearsAtCompany]]&lt;2,"&lt;2 Years",
HR_Data[[#This Row],[YearsAtCompany]]&lt;5,"2-4 Years",
HR_Data[[#This Row],[YearsAtCompany]]&lt;10,"5-9 Years",
TRUE,"10+ Years"
)</f>
        <v>10+ Years</v>
      </c>
      <c r="AM1458" s="1">
        <f>IF(HR_Data[[#This Row],[Attrition]]="Yes",1,0)</f>
        <v>0</v>
      </c>
    </row>
    <row r="1459" spans="1:39" x14ac:dyDescent="0.3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 cm="1">
        <f t="array" ref="AJ1459">_xlfn.IFS(
HR_Data[[#This Row],[Age]]&lt;25,"Under 25",
HR_Data[[#This Row],[Age]]&lt;35,"25-34",
HR_Data[[#This Row],[Age]]&lt;45,"35-44",
HR_Data[[#This Row],[Age]]&lt;55,"45-54",
TRUE,"55+"
)</f>
        <v>35-44</v>
      </c>
      <c r="AK1459" t="str" cm="1">
        <f t="array" ref="AK1459">_xlfn.IFS(
HR_Data[[#This Row],[MonthlyIncome]]&lt;3000,"&lt;3K",
HR_Data[[#This Row],[MonthlyIncome]]&lt;6000,"3K-6K",
HR_Data[[#This Row],[MonthlyIncome]]&lt;10000,"6K-10K",
TRUE,"10K+"
)</f>
        <v>&lt;3K</v>
      </c>
      <c r="AL1459" t="str" cm="1">
        <f t="array" ref="AL1459">_xlfn.IFS(
HR_Data[[#This Row],[YearsAtCompany]]&lt;2,"&lt;2 Years",
HR_Data[[#This Row],[YearsAtCompany]]&lt;5,"2-4 Years",
HR_Data[[#This Row],[YearsAtCompany]]&lt;10,"5-9 Years",
TRUE,"10+ Years"
)</f>
        <v>5-9 Years</v>
      </c>
      <c r="AM1459" s="1">
        <f>IF(HR_Data[[#This Row],[Attrition]]="Yes",1,0)</f>
        <v>0</v>
      </c>
    </row>
    <row r="1460" spans="1:39" x14ac:dyDescent="0.3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 cm="1">
        <f t="array" ref="AJ1460">_xlfn.IFS(
HR_Data[[#This Row],[Age]]&lt;25,"Under 25",
HR_Data[[#This Row],[Age]]&lt;35,"25-34",
HR_Data[[#This Row],[Age]]&lt;45,"35-44",
HR_Data[[#This Row],[Age]]&lt;55,"45-54",
TRUE,"55+"
)</f>
        <v>35-44</v>
      </c>
      <c r="AK1460" t="str" cm="1">
        <f t="array" ref="AK1460">_xlfn.IFS(
HR_Data[[#This Row],[MonthlyIncome]]&lt;3000,"&lt;3K",
HR_Data[[#This Row],[MonthlyIncome]]&lt;6000,"3K-6K",
HR_Data[[#This Row],[MonthlyIncome]]&lt;10000,"6K-10K",
TRUE,"10K+"
)</f>
        <v>&lt;3K</v>
      </c>
      <c r="AL1460" t="str" cm="1">
        <f t="array" ref="AL1460">_xlfn.IFS(
HR_Data[[#This Row],[YearsAtCompany]]&lt;2,"&lt;2 Years",
HR_Data[[#This Row],[YearsAtCompany]]&lt;5,"2-4 Years",
HR_Data[[#This Row],[YearsAtCompany]]&lt;10,"5-9 Years",
TRUE,"10+ Years"
)</f>
        <v>2-4 Years</v>
      </c>
      <c r="AM1460" s="1">
        <f>IF(HR_Data[[#This Row],[Attrition]]="Yes",1,0)</f>
        <v>0</v>
      </c>
    </row>
    <row r="1461" spans="1:39" x14ac:dyDescent="0.3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 cm="1">
        <f t="array" ref="AJ1461">_xlfn.IFS(
HR_Data[[#This Row],[Age]]&lt;25,"Under 25",
HR_Data[[#This Row],[Age]]&lt;35,"25-34",
HR_Data[[#This Row],[Age]]&lt;45,"35-44",
HR_Data[[#This Row],[Age]]&lt;55,"45-54",
TRUE,"55+"
)</f>
        <v>25-34</v>
      </c>
      <c r="AK1461" t="str" cm="1">
        <f t="array" ref="AK1461">_xlfn.IFS(
HR_Data[[#This Row],[MonthlyIncome]]&lt;3000,"&lt;3K",
HR_Data[[#This Row],[MonthlyIncome]]&lt;6000,"3K-6K",
HR_Data[[#This Row],[MonthlyIncome]]&lt;10000,"6K-10K",
TRUE,"10K+"
)</f>
        <v>3K-6K</v>
      </c>
      <c r="AL1461" t="str" cm="1">
        <f t="array" ref="AL1461">_xlfn.IFS(
HR_Data[[#This Row],[YearsAtCompany]]&lt;2,"&lt;2 Years",
HR_Data[[#This Row],[YearsAtCompany]]&lt;5,"2-4 Years",
HR_Data[[#This Row],[YearsAtCompany]]&lt;10,"5-9 Years",
TRUE,"10+ Years"
)</f>
        <v>2-4 Years</v>
      </c>
      <c r="AM1461" s="1">
        <f>IF(HR_Data[[#This Row],[Attrition]]="Yes",1,0)</f>
        <v>0</v>
      </c>
    </row>
    <row r="1462" spans="1:39" x14ac:dyDescent="0.3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 cm="1">
        <f t="array" ref="AJ1462">_xlfn.IFS(
HR_Data[[#This Row],[Age]]&lt;25,"Under 25",
HR_Data[[#This Row],[Age]]&lt;35,"25-34",
HR_Data[[#This Row],[Age]]&lt;45,"35-44",
HR_Data[[#This Row],[Age]]&lt;55,"45-54",
TRUE,"55+"
)</f>
        <v>25-34</v>
      </c>
      <c r="AK1462" t="str" cm="1">
        <f t="array" ref="AK1462">_xlfn.IFS(
HR_Data[[#This Row],[MonthlyIncome]]&lt;3000,"&lt;3K",
HR_Data[[#This Row],[MonthlyIncome]]&lt;6000,"3K-6K",
HR_Data[[#This Row],[MonthlyIncome]]&lt;10000,"6K-10K",
TRUE,"10K+"
)</f>
        <v>3K-6K</v>
      </c>
      <c r="AL1462" t="str" cm="1">
        <f t="array" ref="AL1462">_xlfn.IFS(
HR_Data[[#This Row],[YearsAtCompany]]&lt;2,"&lt;2 Years",
HR_Data[[#This Row],[YearsAtCompany]]&lt;5,"2-4 Years",
HR_Data[[#This Row],[YearsAtCompany]]&lt;10,"5-9 Years",
TRUE,"10+ Years"
)</f>
        <v>5-9 Years</v>
      </c>
      <c r="AM1462" s="1">
        <f>IF(HR_Data[[#This Row],[Attrition]]="Yes",1,0)</f>
        <v>0</v>
      </c>
    </row>
    <row r="1463" spans="1:39" x14ac:dyDescent="0.3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 cm="1">
        <f t="array" ref="AJ1463">_xlfn.IFS(
HR_Data[[#This Row],[Age]]&lt;25,"Under 25",
HR_Data[[#This Row],[Age]]&lt;35,"25-34",
HR_Data[[#This Row],[Age]]&lt;45,"35-44",
HR_Data[[#This Row],[Age]]&lt;55,"45-54",
TRUE,"55+"
)</f>
        <v>45-54</v>
      </c>
      <c r="AK1463" t="str" cm="1">
        <f t="array" ref="AK1463">_xlfn.IFS(
HR_Data[[#This Row],[MonthlyIncome]]&lt;3000,"&lt;3K",
HR_Data[[#This Row],[MonthlyIncome]]&lt;6000,"3K-6K",
HR_Data[[#This Row],[MonthlyIncome]]&lt;10000,"6K-10K",
TRUE,"10K+"
)</f>
        <v>10K+</v>
      </c>
      <c r="AL1463" t="str" cm="1">
        <f t="array" ref="AL1463">_xlfn.IFS(
HR_Data[[#This Row],[YearsAtCompany]]&lt;2,"&lt;2 Years",
HR_Data[[#This Row],[YearsAtCompany]]&lt;5,"2-4 Years",
HR_Data[[#This Row],[YearsAtCompany]]&lt;10,"5-9 Years",
TRUE,"10+ Years"
)</f>
        <v>2-4 Years</v>
      </c>
      <c r="AM1463" s="1">
        <f>IF(HR_Data[[#This Row],[Attrition]]="Yes",1,0)</f>
        <v>1</v>
      </c>
    </row>
    <row r="1464" spans="1:39" x14ac:dyDescent="0.3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 cm="1">
        <f t="array" ref="AJ1464">_xlfn.IFS(
HR_Data[[#This Row],[Age]]&lt;25,"Under 25",
HR_Data[[#This Row],[Age]]&lt;35,"25-34",
HR_Data[[#This Row],[Age]]&lt;45,"35-44",
HR_Data[[#This Row],[Age]]&lt;55,"45-54",
TRUE,"55+"
)</f>
        <v>35-44</v>
      </c>
      <c r="AK1464" t="str" cm="1">
        <f t="array" ref="AK1464">_xlfn.IFS(
HR_Data[[#This Row],[MonthlyIncome]]&lt;3000,"&lt;3K",
HR_Data[[#This Row],[MonthlyIncome]]&lt;6000,"3K-6K",
HR_Data[[#This Row],[MonthlyIncome]]&lt;10000,"6K-10K",
TRUE,"10K+"
)</f>
        <v>10K+</v>
      </c>
      <c r="AL1464" t="str" cm="1">
        <f t="array" ref="AL1464">_xlfn.IFS(
HR_Data[[#This Row],[YearsAtCompany]]&lt;2,"&lt;2 Years",
HR_Data[[#This Row],[YearsAtCompany]]&lt;5,"2-4 Years",
HR_Data[[#This Row],[YearsAtCompany]]&lt;10,"5-9 Years",
TRUE,"10+ Years"
)</f>
        <v>10+ Years</v>
      </c>
      <c r="AM1464" s="1">
        <f>IF(HR_Data[[#This Row],[Attrition]]="Yes",1,0)</f>
        <v>0</v>
      </c>
    </row>
    <row r="1465" spans="1:39" x14ac:dyDescent="0.3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 cm="1">
        <f t="array" ref="AJ1465">_xlfn.IFS(
HR_Data[[#This Row],[Age]]&lt;25,"Under 25",
HR_Data[[#This Row],[Age]]&lt;35,"25-34",
HR_Data[[#This Row],[Age]]&lt;45,"35-44",
HR_Data[[#This Row],[Age]]&lt;55,"45-54",
TRUE,"55+"
)</f>
        <v>25-34</v>
      </c>
      <c r="AK1465" t="str" cm="1">
        <f t="array" ref="AK1465">_xlfn.IFS(
HR_Data[[#This Row],[MonthlyIncome]]&lt;3000,"&lt;3K",
HR_Data[[#This Row],[MonthlyIncome]]&lt;6000,"3K-6K",
HR_Data[[#This Row],[MonthlyIncome]]&lt;10000,"6K-10K",
TRUE,"10K+"
)</f>
        <v>6K-10K</v>
      </c>
      <c r="AL1465" t="str" cm="1">
        <f t="array" ref="AL1465">_xlfn.IFS(
HR_Data[[#This Row],[YearsAtCompany]]&lt;2,"&lt;2 Years",
HR_Data[[#This Row],[YearsAtCompany]]&lt;5,"2-4 Years",
HR_Data[[#This Row],[YearsAtCompany]]&lt;10,"5-9 Years",
TRUE,"10+ Years"
)</f>
        <v>5-9 Years</v>
      </c>
      <c r="AM1465" s="1">
        <f>IF(HR_Data[[#This Row],[Attrition]]="Yes",1,0)</f>
        <v>0</v>
      </c>
    </row>
    <row r="1466" spans="1:39" x14ac:dyDescent="0.3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 cm="1">
        <f t="array" ref="AJ1466">_xlfn.IFS(
HR_Data[[#This Row],[Age]]&lt;25,"Under 25",
HR_Data[[#This Row],[Age]]&lt;35,"25-34",
HR_Data[[#This Row],[Age]]&lt;45,"35-44",
HR_Data[[#This Row],[Age]]&lt;55,"45-54",
TRUE,"55+"
)</f>
        <v>25-34</v>
      </c>
      <c r="AK1466" t="str" cm="1">
        <f t="array" ref="AK1466">_xlfn.IFS(
HR_Data[[#This Row],[MonthlyIncome]]&lt;3000,"&lt;3K",
HR_Data[[#This Row],[MonthlyIncome]]&lt;6000,"3K-6K",
HR_Data[[#This Row],[MonthlyIncome]]&lt;10000,"6K-10K",
TRUE,"10K+"
)</f>
        <v>&lt;3K</v>
      </c>
      <c r="AL1466" t="str" cm="1">
        <f t="array" ref="AL1466">_xlfn.IFS(
HR_Data[[#This Row],[YearsAtCompany]]&lt;2,"&lt;2 Years",
HR_Data[[#This Row],[YearsAtCompany]]&lt;5,"2-4 Years",
HR_Data[[#This Row],[YearsAtCompany]]&lt;10,"5-9 Years",
TRUE,"10+ Years"
)</f>
        <v>2-4 Years</v>
      </c>
      <c r="AM1466" s="1">
        <f>IF(HR_Data[[#This Row],[Attrition]]="Yes",1,0)</f>
        <v>0</v>
      </c>
    </row>
    <row r="1467" spans="1:39" x14ac:dyDescent="0.3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 cm="1">
        <f t="array" ref="AJ1467">_xlfn.IFS(
HR_Data[[#This Row],[Age]]&lt;25,"Under 25",
HR_Data[[#This Row],[Age]]&lt;35,"25-34",
HR_Data[[#This Row],[Age]]&lt;45,"35-44",
HR_Data[[#This Row],[Age]]&lt;55,"45-54",
TRUE,"55+"
)</f>
        <v>35-44</v>
      </c>
      <c r="AK1467" t="str" cm="1">
        <f t="array" ref="AK1467">_xlfn.IFS(
HR_Data[[#This Row],[MonthlyIncome]]&lt;3000,"&lt;3K",
HR_Data[[#This Row],[MonthlyIncome]]&lt;6000,"3K-6K",
HR_Data[[#This Row],[MonthlyIncome]]&lt;10000,"6K-10K",
TRUE,"10K+"
)</f>
        <v>&lt;3K</v>
      </c>
      <c r="AL1467" t="str" cm="1">
        <f t="array" ref="AL1467">_xlfn.IFS(
HR_Data[[#This Row],[YearsAtCompany]]&lt;2,"&lt;2 Years",
HR_Data[[#This Row],[YearsAtCompany]]&lt;5,"2-4 Years",
HR_Data[[#This Row],[YearsAtCompany]]&lt;10,"5-9 Years",
TRUE,"10+ Years"
)</f>
        <v>5-9 Years</v>
      </c>
      <c r="AM1467" s="1">
        <f>IF(HR_Data[[#This Row],[Attrition]]="Yes",1,0)</f>
        <v>0</v>
      </c>
    </row>
    <row r="1468" spans="1:39" x14ac:dyDescent="0.3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 cm="1">
        <f t="array" ref="AJ1468">_xlfn.IFS(
HR_Data[[#This Row],[Age]]&lt;25,"Under 25",
HR_Data[[#This Row],[Age]]&lt;35,"25-34",
HR_Data[[#This Row],[Age]]&lt;45,"35-44",
HR_Data[[#This Row],[Age]]&lt;55,"45-54",
TRUE,"55+"
)</f>
        <v>35-44</v>
      </c>
      <c r="AK1468" t="str" cm="1">
        <f t="array" ref="AK1468">_xlfn.IFS(
HR_Data[[#This Row],[MonthlyIncome]]&lt;3000,"&lt;3K",
HR_Data[[#This Row],[MonthlyIncome]]&lt;6000,"3K-6K",
HR_Data[[#This Row],[MonthlyIncome]]&lt;10000,"6K-10K",
TRUE,"10K+"
)</f>
        <v>6K-10K</v>
      </c>
      <c r="AL1468" t="str" cm="1">
        <f t="array" ref="AL1468">_xlfn.IFS(
HR_Data[[#This Row],[YearsAtCompany]]&lt;2,"&lt;2 Years",
HR_Data[[#This Row],[YearsAtCompany]]&lt;5,"2-4 Years",
HR_Data[[#This Row],[YearsAtCompany]]&lt;10,"5-9 Years",
TRUE,"10+ Years"
)</f>
        <v>5-9 Years</v>
      </c>
      <c r="AM1468" s="1">
        <f>IF(HR_Data[[#This Row],[Attrition]]="Yes",1,0)</f>
        <v>0</v>
      </c>
    </row>
    <row r="1469" spans="1:39" x14ac:dyDescent="0.3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 cm="1">
        <f t="array" ref="AJ1469">_xlfn.IFS(
HR_Data[[#This Row],[Age]]&lt;25,"Under 25",
HR_Data[[#This Row],[Age]]&lt;35,"25-34",
HR_Data[[#This Row],[Age]]&lt;45,"35-44",
HR_Data[[#This Row],[Age]]&lt;55,"45-54",
TRUE,"55+"
)</f>
        <v>25-34</v>
      </c>
      <c r="AK1469" t="str" cm="1">
        <f t="array" ref="AK1469">_xlfn.IFS(
HR_Data[[#This Row],[MonthlyIncome]]&lt;3000,"&lt;3K",
HR_Data[[#This Row],[MonthlyIncome]]&lt;6000,"3K-6K",
HR_Data[[#This Row],[MonthlyIncome]]&lt;10000,"6K-10K",
TRUE,"10K+"
)</f>
        <v>6K-10K</v>
      </c>
      <c r="AL1469" t="str" cm="1">
        <f t="array" ref="AL1469">_xlfn.IFS(
HR_Data[[#This Row],[YearsAtCompany]]&lt;2,"&lt;2 Years",
HR_Data[[#This Row],[YearsAtCompany]]&lt;5,"2-4 Years",
HR_Data[[#This Row],[YearsAtCompany]]&lt;10,"5-9 Years",
TRUE,"10+ Years"
)</f>
        <v>5-9 Years</v>
      </c>
      <c r="AM1469" s="1">
        <f>IF(HR_Data[[#This Row],[Attrition]]="Yes",1,0)</f>
        <v>0</v>
      </c>
    </row>
    <row r="1470" spans="1:39" x14ac:dyDescent="0.3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 cm="1">
        <f t="array" ref="AJ1470">_xlfn.IFS(
HR_Data[[#This Row],[Age]]&lt;25,"Under 25",
HR_Data[[#This Row],[Age]]&lt;35,"25-34",
HR_Data[[#This Row],[Age]]&lt;45,"35-44",
HR_Data[[#This Row],[Age]]&lt;55,"45-54",
TRUE,"55+"
)</f>
        <v>45-54</v>
      </c>
      <c r="AK1470" t="str" cm="1">
        <f t="array" ref="AK1470">_xlfn.IFS(
HR_Data[[#This Row],[MonthlyIncome]]&lt;3000,"&lt;3K",
HR_Data[[#This Row],[MonthlyIncome]]&lt;6000,"3K-6K",
HR_Data[[#This Row],[MonthlyIncome]]&lt;10000,"6K-10K",
TRUE,"10K+"
)</f>
        <v>3K-6K</v>
      </c>
      <c r="AL1470" t="str" cm="1">
        <f t="array" ref="AL1470">_xlfn.IFS(
HR_Data[[#This Row],[YearsAtCompany]]&lt;2,"&lt;2 Years",
HR_Data[[#This Row],[YearsAtCompany]]&lt;5,"2-4 Years",
HR_Data[[#This Row],[YearsAtCompany]]&lt;10,"5-9 Years",
TRUE,"10+ Years"
)</f>
        <v>5-9 Years</v>
      </c>
      <c r="AM1470" s="1">
        <f>IF(HR_Data[[#This Row],[Attrition]]="Yes",1,0)</f>
        <v>0</v>
      </c>
    </row>
    <row r="1471" spans="1:39" x14ac:dyDescent="0.3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 cm="1">
        <f t="array" ref="AJ1471">_xlfn.IFS(
HR_Data[[#This Row],[Age]]&lt;25,"Under 25",
HR_Data[[#This Row],[Age]]&lt;35,"25-34",
HR_Data[[#This Row],[Age]]&lt;45,"35-44",
HR_Data[[#This Row],[Age]]&lt;55,"45-54",
TRUE,"55+"
)</f>
        <v>25-34</v>
      </c>
      <c r="AK1471" t="str" cm="1">
        <f t="array" ref="AK1471">_xlfn.IFS(
HR_Data[[#This Row],[MonthlyIncome]]&lt;3000,"&lt;3K",
HR_Data[[#This Row],[MonthlyIncome]]&lt;6000,"3K-6K",
HR_Data[[#This Row],[MonthlyIncome]]&lt;10000,"6K-10K",
TRUE,"10K+"
)</f>
        <v>3K-6K</v>
      </c>
      <c r="AL1471" t="str" cm="1">
        <f t="array" ref="AL1471">_xlfn.IFS(
HR_Data[[#This Row],[YearsAtCompany]]&lt;2,"&lt;2 Years",
HR_Data[[#This Row],[YearsAtCompany]]&lt;5,"2-4 Years",
HR_Data[[#This Row],[YearsAtCompany]]&lt;10,"5-9 Years",
TRUE,"10+ Years"
)</f>
        <v>2-4 Years</v>
      </c>
      <c r="AM1471" s="1">
        <f>IF(HR_Data[[#This Row],[Attrition]]="Yes",1,0)</f>
        <v>0</v>
      </c>
    </row>
  </sheetData>
  <conditionalFormatting sqref="D1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22A9-7871-40F6-8E71-E9292BC24AB5}">
  <dimension ref="A1:F12"/>
  <sheetViews>
    <sheetView topLeftCell="A7" workbookViewId="0">
      <selection activeCell="K11" sqref="K11"/>
    </sheetView>
  </sheetViews>
  <sheetFormatPr defaultColWidth="8.77734375" defaultRowHeight="14.4" x14ac:dyDescent="0.3"/>
  <cols>
    <col min="1" max="1" width="15.6640625" bestFit="1" customWidth="1"/>
    <col min="2" max="2" width="12.5546875" customWidth="1"/>
    <col min="4" max="4" width="15.44140625" customWidth="1"/>
    <col min="5" max="5" width="5.5546875" bestFit="1" customWidth="1"/>
    <col min="6" max="6" width="9.5546875" customWidth="1"/>
  </cols>
  <sheetData>
    <row r="1" spans="1:6" ht="18" x14ac:dyDescent="0.35">
      <c r="A1" s="7" t="s">
        <v>62</v>
      </c>
      <c r="B1" s="7"/>
      <c r="D1" s="7" t="s">
        <v>71</v>
      </c>
      <c r="E1" s="7"/>
      <c r="F1" s="7"/>
    </row>
    <row r="2" spans="1:6" ht="15.6" x14ac:dyDescent="0.3">
      <c r="A2" s="6" t="s">
        <v>65</v>
      </c>
      <c r="B2" s="6" t="s">
        <v>66</v>
      </c>
      <c r="D2" s="5" t="s">
        <v>72</v>
      </c>
      <c r="E2" s="10" t="s">
        <v>73</v>
      </c>
      <c r="F2" s="10"/>
    </row>
    <row r="3" spans="1:6" ht="18" customHeight="1" x14ac:dyDescent="0.3">
      <c r="A3" s="4" t="s">
        <v>9</v>
      </c>
      <c r="B3" s="4">
        <f>COUNTBLANK(HR_Data[EmployeeNumber])</f>
        <v>0</v>
      </c>
      <c r="D3" s="4" t="s">
        <v>74</v>
      </c>
      <c r="E3" s="8">
        <f>COUNTA(HR_Data[EmployeeNumber])</f>
        <v>1470</v>
      </c>
      <c r="F3" s="9"/>
    </row>
    <row r="4" spans="1:6" ht="28.8" x14ac:dyDescent="0.3">
      <c r="A4" s="4" t="s">
        <v>0</v>
      </c>
      <c r="B4" s="4">
        <f>COUNTBLANK(HR_Data[Age])</f>
        <v>0</v>
      </c>
      <c r="D4" s="4" t="s">
        <v>75</v>
      </c>
      <c r="E4" s="8">
        <f>COUNTIF(HR_Data[Attrition],"Yes")</f>
        <v>237</v>
      </c>
      <c r="F4" s="9"/>
    </row>
    <row r="5" spans="1:6" ht="28.8" x14ac:dyDescent="0.3">
      <c r="A5" s="4" t="s">
        <v>1</v>
      </c>
      <c r="B5" s="4">
        <f>COUNTBLANK(HR_Data[Attrition])</f>
        <v>0</v>
      </c>
      <c r="D5" s="4" t="s">
        <v>76</v>
      </c>
      <c r="E5" s="8">
        <f>COUNTIF(HR_Data[Attrition],"No")</f>
        <v>1233</v>
      </c>
      <c r="F5" s="9"/>
    </row>
    <row r="6" spans="1:6" ht="28.8" x14ac:dyDescent="0.3">
      <c r="A6" s="4" t="s">
        <v>4</v>
      </c>
      <c r="B6" s="4">
        <f>COUNTBLANK(HR_Data[Department])</f>
        <v>0</v>
      </c>
      <c r="D6" s="4" t="s">
        <v>77</v>
      </c>
      <c r="E6" s="13">
        <f>E4/E3</f>
        <v>0.16122448979591836</v>
      </c>
      <c r="F6" s="14"/>
    </row>
    <row r="7" spans="1:6" ht="28.8" x14ac:dyDescent="0.3">
      <c r="A7" s="4" t="s">
        <v>15</v>
      </c>
      <c r="B7" s="4">
        <f>COUNTBLANK(HR_Data[JobRole])</f>
        <v>0</v>
      </c>
      <c r="D7" s="4" t="s">
        <v>78</v>
      </c>
      <c r="E7" s="15">
        <f>AVERAGE(HR_Data[MonthlyIncome])</f>
        <v>6502.931292517007</v>
      </c>
      <c r="F7" s="16"/>
    </row>
    <row r="8" spans="1:6" ht="43.2" x14ac:dyDescent="0.3">
      <c r="A8" s="4" t="s">
        <v>18</v>
      </c>
      <c r="B8" s="4">
        <f>COUNTBLANK(HR_Data[MonthlyIncome])</f>
        <v>0</v>
      </c>
      <c r="D8" s="4" t="s">
        <v>79</v>
      </c>
      <c r="E8" s="15">
        <f>AVERAGEIFS(
HR_Data[MonthlyIncome],
HR_Data[Attrition],"Yes"
)</f>
        <v>4787.0928270042195</v>
      </c>
      <c r="F8" s="16"/>
    </row>
    <row r="9" spans="1:6" ht="43.2" x14ac:dyDescent="0.3">
      <c r="A9" s="4" t="s">
        <v>31</v>
      </c>
      <c r="B9" s="4">
        <f>COUNTBLANK(HR_Data[YearsAtCompany])</f>
        <v>0</v>
      </c>
      <c r="D9" s="4" t="s">
        <v>80</v>
      </c>
      <c r="E9" s="15">
        <f>AVERAGEIFS(HR_Data[MonthlyIncome],HR_Data[Attrition],"No")</f>
        <v>6832.7396593673966</v>
      </c>
      <c r="F9" s="16"/>
    </row>
    <row r="10" spans="1:6" ht="28.8" x14ac:dyDescent="0.3">
      <c r="D10" s="4" t="s">
        <v>81</v>
      </c>
      <c r="E10" s="11">
        <f>AVERAGEIFS(HR_Data[YearsAtCompany],HR_Data[Attrition],"Yes")</f>
        <v>5.1308016877637135</v>
      </c>
      <c r="F10" s="12"/>
    </row>
    <row r="11" spans="1:6" ht="28.8" x14ac:dyDescent="0.3">
      <c r="D11" s="4" t="s">
        <v>82</v>
      </c>
      <c r="E11" s="11">
        <f>AVERAGEIFS(HR_Data[YearsAtCompany],HR_Data[Attrition],"No")</f>
        <v>7.3690186536901869</v>
      </c>
      <c r="F11" s="12"/>
    </row>
    <row r="12" spans="1:6" ht="28.8" x14ac:dyDescent="0.3">
      <c r="D12" s="4" t="s">
        <v>82</v>
      </c>
      <c r="E12" s="13">
        <f>AVERAGE(HR_Data[Attrition Flag])</f>
        <v>0.16122448979591836</v>
      </c>
      <c r="F12" s="14"/>
    </row>
  </sheetData>
  <mergeCells count="13">
    <mergeCell ref="E11:F11"/>
    <mergeCell ref="E12:F12"/>
    <mergeCell ref="E5:F5"/>
    <mergeCell ref="E6:F6"/>
    <mergeCell ref="E7:F7"/>
    <mergeCell ref="E8:F8"/>
    <mergeCell ref="E9:F9"/>
    <mergeCell ref="E10:F10"/>
    <mergeCell ref="A1:B1"/>
    <mergeCell ref="D1:F1"/>
    <mergeCell ref="E2:F2"/>
    <mergeCell ref="E3:F3"/>
    <mergeCell ref="E4:F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E3EA-9D9C-4EF3-9C2F-876178EAE9E3}">
  <dimension ref="A1:G77"/>
  <sheetViews>
    <sheetView topLeftCell="A64" workbookViewId="0">
      <selection activeCell="G4" sqref="G4"/>
    </sheetView>
  </sheetViews>
  <sheetFormatPr defaultRowHeight="14.4" x14ac:dyDescent="0.3"/>
  <cols>
    <col min="1" max="1" width="21.88671875" bestFit="1" customWidth="1"/>
    <col min="2" max="2" width="10.21875" bestFit="1" customWidth="1"/>
    <col min="3" max="3" width="13.88671875" bestFit="1" customWidth="1"/>
    <col min="4" max="4" width="12.6640625" bestFit="1" customWidth="1"/>
    <col min="5" max="5" width="10.77734375" bestFit="1" customWidth="1"/>
    <col min="6" max="6" width="15" bestFit="1" customWidth="1"/>
    <col min="7" max="7" width="26.44140625" bestFit="1" customWidth="1"/>
    <col min="9" max="9" width="21.6640625" bestFit="1" customWidth="1"/>
    <col min="10" max="10" width="15.6640625" bestFit="1" customWidth="1"/>
    <col min="11" max="12" width="12" bestFit="1" customWidth="1"/>
  </cols>
  <sheetData>
    <row r="1" spans="1:4" x14ac:dyDescent="0.3">
      <c r="A1" s="17" t="s">
        <v>4</v>
      </c>
      <c r="B1" t="s">
        <v>84</v>
      </c>
      <c r="C1" t="s">
        <v>85</v>
      </c>
      <c r="D1" t="s">
        <v>86</v>
      </c>
    </row>
    <row r="2" spans="1:4" x14ac:dyDescent="0.3">
      <c r="A2" s="18" t="s">
        <v>61</v>
      </c>
      <c r="B2" s="1">
        <v>63</v>
      </c>
      <c r="C2" s="1">
        <v>12</v>
      </c>
      <c r="D2" s="19">
        <v>0.19047619047619047</v>
      </c>
    </row>
    <row r="3" spans="1:4" x14ac:dyDescent="0.3">
      <c r="A3" s="18" t="s">
        <v>45</v>
      </c>
      <c r="B3" s="1">
        <v>961</v>
      </c>
      <c r="C3" s="1">
        <v>133</v>
      </c>
      <c r="D3" s="19">
        <v>0.13839750260145681</v>
      </c>
    </row>
    <row r="4" spans="1:4" x14ac:dyDescent="0.3">
      <c r="A4" s="18" t="s">
        <v>37</v>
      </c>
      <c r="B4" s="1">
        <v>446</v>
      </c>
      <c r="C4" s="1">
        <v>92</v>
      </c>
      <c r="D4" s="19">
        <v>0.20627802690582961</v>
      </c>
    </row>
    <row r="5" spans="1:4" x14ac:dyDescent="0.3">
      <c r="A5" s="18" t="s">
        <v>83</v>
      </c>
      <c r="B5" s="1">
        <v>1470</v>
      </c>
      <c r="C5" s="1">
        <v>237</v>
      </c>
      <c r="D5" s="19">
        <v>0.16122448979591836</v>
      </c>
    </row>
    <row r="7" spans="1:4" x14ac:dyDescent="0.3">
      <c r="A7" s="17" t="s">
        <v>67</v>
      </c>
      <c r="B7" t="s">
        <v>93</v>
      </c>
      <c r="C7" t="s">
        <v>86</v>
      </c>
    </row>
    <row r="8" spans="1:4" x14ac:dyDescent="0.3">
      <c r="A8" s="18" t="s">
        <v>88</v>
      </c>
      <c r="B8" s="1">
        <v>554</v>
      </c>
      <c r="C8" s="19">
        <v>0.20216606498194944</v>
      </c>
    </row>
    <row r="9" spans="1:4" x14ac:dyDescent="0.3">
      <c r="A9" s="18" t="s">
        <v>89</v>
      </c>
      <c r="B9" s="1">
        <v>505</v>
      </c>
      <c r="C9" s="19">
        <v>0.100990099009901</v>
      </c>
    </row>
    <row r="10" spans="1:4" x14ac:dyDescent="0.3">
      <c r="A10" s="18" t="s">
        <v>90</v>
      </c>
      <c r="B10" s="1">
        <v>245</v>
      </c>
      <c r="C10" s="19">
        <v>0.10204081632653061</v>
      </c>
    </row>
    <row r="11" spans="1:4" x14ac:dyDescent="0.3">
      <c r="A11" s="18" t="s">
        <v>91</v>
      </c>
      <c r="B11" s="1">
        <v>69</v>
      </c>
      <c r="C11" s="19">
        <v>0.15942028985507245</v>
      </c>
    </row>
    <row r="12" spans="1:4" x14ac:dyDescent="0.3">
      <c r="A12" s="18" t="s">
        <v>92</v>
      </c>
      <c r="B12" s="1">
        <v>97</v>
      </c>
      <c r="C12" s="19">
        <v>0.39175257731958762</v>
      </c>
    </row>
    <row r="13" spans="1:4" x14ac:dyDescent="0.3">
      <c r="A13" s="18" t="s">
        <v>83</v>
      </c>
      <c r="B13" s="1">
        <v>1470</v>
      </c>
      <c r="C13" s="19">
        <v>0.16122448979591836</v>
      </c>
    </row>
    <row r="15" spans="1:4" x14ac:dyDescent="0.3">
      <c r="A15" s="17" t="s">
        <v>68</v>
      </c>
      <c r="B15" t="s">
        <v>84</v>
      </c>
      <c r="C15" t="s">
        <v>86</v>
      </c>
    </row>
    <row r="16" spans="1:4" x14ac:dyDescent="0.3">
      <c r="A16" s="18" t="s">
        <v>95</v>
      </c>
      <c r="B16" s="1">
        <v>395</v>
      </c>
      <c r="C16" s="19">
        <v>0.28607594936708863</v>
      </c>
    </row>
    <row r="17" spans="1:3" x14ac:dyDescent="0.3">
      <c r="A17" s="18" t="s">
        <v>96</v>
      </c>
      <c r="B17" s="1">
        <v>281</v>
      </c>
      <c r="C17" s="19">
        <v>8.8967971530249115E-2</v>
      </c>
    </row>
    <row r="18" spans="1:3" x14ac:dyDescent="0.3">
      <c r="A18" s="18" t="s">
        <v>97</v>
      </c>
      <c r="B18" s="1">
        <v>519</v>
      </c>
      <c r="C18" s="19">
        <v>0.12716763005780346</v>
      </c>
    </row>
    <row r="19" spans="1:3" x14ac:dyDescent="0.3">
      <c r="A19" s="18" t="s">
        <v>98</v>
      </c>
      <c r="B19" s="1">
        <v>275</v>
      </c>
      <c r="C19" s="19">
        <v>0.12</v>
      </c>
    </row>
    <row r="20" spans="1:3" x14ac:dyDescent="0.3">
      <c r="A20" s="18" t="s">
        <v>83</v>
      </c>
      <c r="B20" s="1">
        <v>1470</v>
      </c>
      <c r="C20" s="19">
        <v>0.16122448979591836</v>
      </c>
    </row>
    <row r="22" spans="1:3" x14ac:dyDescent="0.3">
      <c r="A22" s="17" t="s">
        <v>69</v>
      </c>
      <c r="B22" t="s">
        <v>103</v>
      </c>
      <c r="C22" t="s">
        <v>86</v>
      </c>
    </row>
    <row r="23" spans="1:3" x14ac:dyDescent="0.3">
      <c r="A23" s="18" t="s">
        <v>99</v>
      </c>
      <c r="B23" s="1">
        <v>215</v>
      </c>
      <c r="C23" s="19">
        <v>0.34883720930232559</v>
      </c>
    </row>
    <row r="24" spans="1:3" x14ac:dyDescent="0.3">
      <c r="A24" s="18" t="s">
        <v>100</v>
      </c>
      <c r="B24" s="1">
        <v>366</v>
      </c>
      <c r="C24" s="19">
        <v>0.10382513661202186</v>
      </c>
    </row>
    <row r="25" spans="1:3" x14ac:dyDescent="0.3">
      <c r="A25" s="18" t="s">
        <v>101</v>
      </c>
      <c r="B25" s="1">
        <v>365</v>
      </c>
      <c r="C25" s="19">
        <v>0.18082191780821918</v>
      </c>
    </row>
    <row r="26" spans="1:3" x14ac:dyDescent="0.3">
      <c r="A26" s="18" t="s">
        <v>102</v>
      </c>
      <c r="B26" s="1">
        <v>524</v>
      </c>
      <c r="C26" s="19">
        <v>0.11068702290076336</v>
      </c>
    </row>
    <row r="27" spans="1:3" x14ac:dyDescent="0.3">
      <c r="A27" s="18" t="s">
        <v>83</v>
      </c>
      <c r="B27" s="1">
        <v>1470</v>
      </c>
      <c r="C27" s="19">
        <v>0.16122448979591836</v>
      </c>
    </row>
    <row r="29" spans="1:3" x14ac:dyDescent="0.3">
      <c r="A29" s="17" t="s">
        <v>15</v>
      </c>
      <c r="B29" t="s">
        <v>103</v>
      </c>
      <c r="C29" t="s">
        <v>86</v>
      </c>
    </row>
    <row r="30" spans="1:3" x14ac:dyDescent="0.3">
      <c r="A30" s="18" t="s">
        <v>54</v>
      </c>
      <c r="B30" s="1">
        <v>131</v>
      </c>
      <c r="C30" s="19">
        <v>6.8702290076335881E-2</v>
      </c>
    </row>
    <row r="31" spans="1:3" x14ac:dyDescent="0.3">
      <c r="A31" s="18" t="s">
        <v>61</v>
      </c>
      <c r="B31" s="1">
        <v>52</v>
      </c>
      <c r="C31" s="19">
        <v>0.23076923076923078</v>
      </c>
    </row>
    <row r="32" spans="1:3" x14ac:dyDescent="0.3">
      <c r="A32" s="18" t="s">
        <v>50</v>
      </c>
      <c r="B32" s="1">
        <v>259</v>
      </c>
      <c r="C32" s="19">
        <v>0.23938223938223938</v>
      </c>
    </row>
    <row r="33" spans="1:7" x14ac:dyDescent="0.3">
      <c r="A33" s="18" t="s">
        <v>56</v>
      </c>
      <c r="B33" s="1">
        <v>102</v>
      </c>
      <c r="C33" s="19">
        <v>4.9019607843137254E-2</v>
      </c>
    </row>
    <row r="34" spans="1:7" x14ac:dyDescent="0.3">
      <c r="A34" s="18" t="s">
        <v>53</v>
      </c>
      <c r="B34" s="1">
        <v>145</v>
      </c>
      <c r="C34" s="19">
        <v>6.8965517241379309E-2</v>
      </c>
    </row>
    <row r="35" spans="1:7" x14ac:dyDescent="0.3">
      <c r="A35" s="18" t="s">
        <v>58</v>
      </c>
      <c r="B35" s="1">
        <v>80</v>
      </c>
      <c r="C35" s="19">
        <v>2.5000000000000001E-2</v>
      </c>
    </row>
    <row r="36" spans="1:7" x14ac:dyDescent="0.3">
      <c r="A36" s="18" t="s">
        <v>47</v>
      </c>
      <c r="B36" s="1">
        <v>292</v>
      </c>
      <c r="C36" s="19">
        <v>0.16095890410958905</v>
      </c>
    </row>
    <row r="37" spans="1:7" x14ac:dyDescent="0.3">
      <c r="A37" s="18" t="s">
        <v>40</v>
      </c>
      <c r="B37" s="1">
        <v>326</v>
      </c>
      <c r="C37" s="19">
        <v>0.17484662576687116</v>
      </c>
    </row>
    <row r="38" spans="1:7" x14ac:dyDescent="0.3">
      <c r="A38" s="18" t="s">
        <v>57</v>
      </c>
      <c r="B38" s="1">
        <v>83</v>
      </c>
      <c r="C38" s="19">
        <v>0.39759036144578314</v>
      </c>
    </row>
    <row r="39" spans="1:7" x14ac:dyDescent="0.3">
      <c r="A39" s="18" t="s">
        <v>83</v>
      </c>
      <c r="B39" s="1">
        <v>1470</v>
      </c>
      <c r="C39" s="19">
        <v>0.16122448979591836</v>
      </c>
    </row>
    <row r="41" spans="1:7" x14ac:dyDescent="0.3">
      <c r="A41" s="17" t="s">
        <v>22</v>
      </c>
      <c r="B41" t="s">
        <v>103</v>
      </c>
      <c r="C41" t="s">
        <v>86</v>
      </c>
    </row>
    <row r="42" spans="1:7" x14ac:dyDescent="0.3">
      <c r="A42" s="18" t="s">
        <v>43</v>
      </c>
      <c r="B42" s="1">
        <v>1054</v>
      </c>
      <c r="C42" s="19">
        <v>0.10436432637571158</v>
      </c>
    </row>
    <row r="43" spans="1:7" x14ac:dyDescent="0.3">
      <c r="A43" s="18" t="s">
        <v>35</v>
      </c>
      <c r="B43" s="1">
        <v>416</v>
      </c>
      <c r="C43" s="19">
        <v>0.30528846153846156</v>
      </c>
    </row>
    <row r="44" spans="1:7" x14ac:dyDescent="0.3">
      <c r="A44" s="18" t="s">
        <v>83</v>
      </c>
      <c r="B44" s="1">
        <v>1470</v>
      </c>
      <c r="C44" s="19">
        <v>0.16122448979591836</v>
      </c>
    </row>
    <row r="46" spans="1:7" x14ac:dyDescent="0.3">
      <c r="B46" s="17" t="s">
        <v>104</v>
      </c>
    </row>
    <row r="47" spans="1:7" x14ac:dyDescent="0.3">
      <c r="B47" t="s">
        <v>43</v>
      </c>
      <c r="D47" t="s">
        <v>35</v>
      </c>
      <c r="F47" t="s">
        <v>105</v>
      </c>
      <c r="G47" t="s">
        <v>106</v>
      </c>
    </row>
    <row r="48" spans="1:7" x14ac:dyDescent="0.3">
      <c r="A48" s="17" t="s">
        <v>107</v>
      </c>
      <c r="B48" t="s">
        <v>84</v>
      </c>
      <c r="C48" t="s">
        <v>94</v>
      </c>
      <c r="D48" t="s">
        <v>84</v>
      </c>
      <c r="E48" t="s">
        <v>94</v>
      </c>
    </row>
    <row r="49" spans="1:7" x14ac:dyDescent="0.3">
      <c r="A49" s="18" t="s">
        <v>54</v>
      </c>
      <c r="B49" s="1">
        <v>94</v>
      </c>
      <c r="C49" s="19">
        <v>7.4468085106382975E-2</v>
      </c>
      <c r="D49" s="1">
        <v>37</v>
      </c>
      <c r="E49" s="19">
        <v>5.4054054054054057E-2</v>
      </c>
      <c r="F49" s="1">
        <v>131</v>
      </c>
      <c r="G49" s="19">
        <v>6.8702290076335881E-2</v>
      </c>
    </row>
    <row r="50" spans="1:7" x14ac:dyDescent="0.3">
      <c r="A50" s="18" t="s">
        <v>61</v>
      </c>
      <c r="B50" s="1">
        <v>39</v>
      </c>
      <c r="C50" s="19">
        <v>0.17948717948717949</v>
      </c>
      <c r="D50" s="1">
        <v>13</v>
      </c>
      <c r="E50" s="19">
        <v>0.38461538461538464</v>
      </c>
      <c r="F50" s="1">
        <v>52</v>
      </c>
      <c r="G50" s="19">
        <v>0.23076923076923078</v>
      </c>
    </row>
    <row r="51" spans="1:7" x14ac:dyDescent="0.3">
      <c r="A51" s="18" t="s">
        <v>50</v>
      </c>
      <c r="B51" s="1">
        <v>197</v>
      </c>
      <c r="C51" s="19">
        <v>0.15736040609137056</v>
      </c>
      <c r="D51" s="1">
        <v>62</v>
      </c>
      <c r="E51" s="19">
        <v>0.5</v>
      </c>
      <c r="F51" s="1">
        <v>259</v>
      </c>
      <c r="G51" s="19">
        <v>0.23938223938223938</v>
      </c>
    </row>
    <row r="52" spans="1:7" x14ac:dyDescent="0.3">
      <c r="A52" s="18" t="s">
        <v>56</v>
      </c>
      <c r="B52" s="1">
        <v>75</v>
      </c>
      <c r="C52" s="19">
        <v>1.3333333333333334E-2</v>
      </c>
      <c r="D52" s="1">
        <v>27</v>
      </c>
      <c r="E52" s="19">
        <v>0.14814814814814814</v>
      </c>
      <c r="F52" s="1">
        <v>102</v>
      </c>
      <c r="G52" s="19">
        <v>4.9019607843137254E-2</v>
      </c>
    </row>
    <row r="53" spans="1:7" x14ac:dyDescent="0.3">
      <c r="A53" s="18" t="s">
        <v>53</v>
      </c>
      <c r="B53" s="1">
        <v>106</v>
      </c>
      <c r="C53" s="19">
        <v>5.6603773584905662E-2</v>
      </c>
      <c r="D53" s="1">
        <v>39</v>
      </c>
      <c r="E53" s="19">
        <v>0.10256410256410256</v>
      </c>
      <c r="F53" s="1">
        <v>145</v>
      </c>
      <c r="G53" s="19">
        <v>6.8965517241379309E-2</v>
      </c>
    </row>
    <row r="54" spans="1:7" x14ac:dyDescent="0.3">
      <c r="A54" s="18" t="s">
        <v>58</v>
      </c>
      <c r="B54" s="1">
        <v>57</v>
      </c>
      <c r="C54" s="19">
        <v>1.7543859649122806E-2</v>
      </c>
      <c r="D54" s="1">
        <v>23</v>
      </c>
      <c r="E54" s="19">
        <v>4.3478260869565216E-2</v>
      </c>
      <c r="F54" s="1">
        <v>80</v>
      </c>
      <c r="G54" s="19">
        <v>2.5000000000000001E-2</v>
      </c>
    </row>
    <row r="55" spans="1:7" x14ac:dyDescent="0.3">
      <c r="A55" s="18" t="s">
        <v>47</v>
      </c>
      <c r="B55" s="1">
        <v>195</v>
      </c>
      <c r="C55" s="19">
        <v>7.179487179487179E-2</v>
      </c>
      <c r="D55" s="1">
        <v>97</v>
      </c>
      <c r="E55" s="19">
        <v>0.34020618556701032</v>
      </c>
      <c r="F55" s="1">
        <v>292</v>
      </c>
      <c r="G55" s="19">
        <v>0.16095890410958905</v>
      </c>
    </row>
    <row r="56" spans="1:7" x14ac:dyDescent="0.3">
      <c r="A56" s="18" t="s">
        <v>40</v>
      </c>
      <c r="B56" s="1">
        <v>232</v>
      </c>
      <c r="C56" s="19">
        <v>0.11206896551724138</v>
      </c>
      <c r="D56" s="1">
        <v>94</v>
      </c>
      <c r="E56" s="19">
        <v>0.32978723404255317</v>
      </c>
      <c r="F56" s="1">
        <v>326</v>
      </c>
      <c r="G56" s="19">
        <v>0.17484662576687116</v>
      </c>
    </row>
    <row r="57" spans="1:7" x14ac:dyDescent="0.3">
      <c r="A57" s="18" t="s">
        <v>57</v>
      </c>
      <c r="B57" s="1">
        <v>59</v>
      </c>
      <c r="C57" s="19">
        <v>0.28813559322033899</v>
      </c>
      <c r="D57" s="1">
        <v>24</v>
      </c>
      <c r="E57" s="19">
        <v>0.66666666666666663</v>
      </c>
      <c r="F57" s="1">
        <v>83</v>
      </c>
      <c r="G57" s="19">
        <v>0.39759036144578314</v>
      </c>
    </row>
    <row r="58" spans="1:7" x14ac:dyDescent="0.3">
      <c r="A58" s="18" t="s">
        <v>83</v>
      </c>
      <c r="B58" s="1">
        <v>1054</v>
      </c>
      <c r="C58" s="19">
        <v>0.10436432637571158</v>
      </c>
      <c r="D58" s="1">
        <v>416</v>
      </c>
      <c r="E58" s="19">
        <v>0.30528846153846156</v>
      </c>
      <c r="F58" s="1">
        <v>1470</v>
      </c>
      <c r="G58" s="19">
        <v>0.16122448979591836</v>
      </c>
    </row>
    <row r="60" spans="1:7" x14ac:dyDescent="0.3">
      <c r="B60" s="17" t="s">
        <v>104</v>
      </c>
    </row>
    <row r="61" spans="1:7" x14ac:dyDescent="0.3">
      <c r="B61" t="s">
        <v>43</v>
      </c>
      <c r="D61" t="s">
        <v>35</v>
      </c>
      <c r="F61" t="s">
        <v>105</v>
      </c>
      <c r="G61" t="s">
        <v>106</v>
      </c>
    </row>
    <row r="62" spans="1:7" x14ac:dyDescent="0.3">
      <c r="A62" s="17" t="s">
        <v>69</v>
      </c>
      <c r="B62" t="s">
        <v>84</v>
      </c>
      <c r="C62" t="s">
        <v>94</v>
      </c>
      <c r="D62" t="s">
        <v>84</v>
      </c>
      <c r="E62" t="s">
        <v>94</v>
      </c>
    </row>
    <row r="63" spans="1:7" x14ac:dyDescent="0.3">
      <c r="A63" s="18" t="s">
        <v>99</v>
      </c>
      <c r="B63" s="1">
        <v>146</v>
      </c>
      <c r="C63" s="19">
        <v>0.25342465753424659</v>
      </c>
      <c r="D63" s="1">
        <v>69</v>
      </c>
      <c r="E63" s="19">
        <v>0.55072463768115942</v>
      </c>
      <c r="F63" s="1">
        <v>215</v>
      </c>
      <c r="G63" s="19">
        <v>0.34883720930232559</v>
      </c>
    </row>
    <row r="64" spans="1:7" x14ac:dyDescent="0.3">
      <c r="A64" s="18" t="s">
        <v>100</v>
      </c>
      <c r="B64" s="1">
        <v>269</v>
      </c>
      <c r="C64" s="19">
        <v>7.8066914498141265E-2</v>
      </c>
      <c r="D64" s="1">
        <v>97</v>
      </c>
      <c r="E64" s="19">
        <v>0.17525773195876287</v>
      </c>
      <c r="F64" s="1">
        <v>366</v>
      </c>
      <c r="G64" s="19">
        <v>0.10382513661202186</v>
      </c>
    </row>
    <row r="65" spans="1:7" x14ac:dyDescent="0.3">
      <c r="A65" s="18" t="s">
        <v>101</v>
      </c>
      <c r="B65" s="1">
        <v>260</v>
      </c>
      <c r="C65" s="19">
        <v>0.11153846153846154</v>
      </c>
      <c r="D65" s="1">
        <v>105</v>
      </c>
      <c r="E65" s="19">
        <v>0.35238095238095241</v>
      </c>
      <c r="F65" s="1">
        <v>365</v>
      </c>
      <c r="G65" s="19">
        <v>0.18082191780821918</v>
      </c>
    </row>
    <row r="66" spans="1:7" x14ac:dyDescent="0.3">
      <c r="A66" s="18" t="s">
        <v>102</v>
      </c>
      <c r="B66" s="1">
        <v>379</v>
      </c>
      <c r="C66" s="19">
        <v>6.0686015831134567E-2</v>
      </c>
      <c r="D66" s="1">
        <v>145</v>
      </c>
      <c r="E66" s="19">
        <v>0.2413793103448276</v>
      </c>
      <c r="F66" s="1">
        <v>524</v>
      </c>
      <c r="G66" s="19">
        <v>0.11068702290076336</v>
      </c>
    </row>
    <row r="67" spans="1:7" x14ac:dyDescent="0.3">
      <c r="A67" s="18" t="s">
        <v>83</v>
      </c>
      <c r="B67" s="1">
        <v>1054</v>
      </c>
      <c r="C67" s="19">
        <v>0.10436432637571158</v>
      </c>
      <c r="D67" s="1">
        <v>416</v>
      </c>
      <c r="E67" s="19">
        <v>0.30528846153846156</v>
      </c>
      <c r="F67" s="1">
        <v>1470</v>
      </c>
      <c r="G67" s="19">
        <v>0.16122448979591836</v>
      </c>
    </row>
    <row r="69" spans="1:7" x14ac:dyDescent="0.3">
      <c r="A69" s="17" t="s">
        <v>15</v>
      </c>
      <c r="B69" t="s">
        <v>57</v>
      </c>
    </row>
    <row r="71" spans="1:7" x14ac:dyDescent="0.3">
      <c r="A71" s="17" t="s">
        <v>86</v>
      </c>
      <c r="B71" s="17" t="s">
        <v>109</v>
      </c>
    </row>
    <row r="72" spans="1:7" x14ac:dyDescent="0.3">
      <c r="A72" s="17" t="s">
        <v>108</v>
      </c>
      <c r="B72" t="s">
        <v>43</v>
      </c>
      <c r="C72" t="s">
        <v>35</v>
      </c>
      <c r="D72" t="s">
        <v>83</v>
      </c>
    </row>
    <row r="73" spans="1:7" x14ac:dyDescent="0.3">
      <c r="A73" s="18" t="s">
        <v>99</v>
      </c>
      <c r="B73" s="19">
        <v>0.45454545454545453</v>
      </c>
      <c r="C73" s="19">
        <v>0.875</v>
      </c>
      <c r="D73" s="19">
        <v>0.56666666666666665</v>
      </c>
    </row>
    <row r="74" spans="1:7" x14ac:dyDescent="0.3">
      <c r="A74" s="18" t="s">
        <v>100</v>
      </c>
      <c r="B74" s="19">
        <v>0</v>
      </c>
      <c r="C74" s="19">
        <v>0</v>
      </c>
      <c r="D74" s="19">
        <v>0</v>
      </c>
    </row>
    <row r="75" spans="1:7" x14ac:dyDescent="0.3">
      <c r="A75" s="18" t="s">
        <v>101</v>
      </c>
      <c r="B75" s="19">
        <v>0.22222222222222221</v>
      </c>
      <c r="C75" s="19">
        <v>0.63636363636363635</v>
      </c>
      <c r="D75" s="19">
        <v>0.34210526315789475</v>
      </c>
    </row>
    <row r="76" spans="1:7" x14ac:dyDescent="0.3">
      <c r="A76" s="18" t="s">
        <v>102</v>
      </c>
      <c r="B76" s="19">
        <v>0.1111111111111111</v>
      </c>
      <c r="C76" s="19">
        <v>0.5</v>
      </c>
      <c r="D76" s="19">
        <v>0.23076923076923078</v>
      </c>
    </row>
    <row r="77" spans="1:7" x14ac:dyDescent="0.3">
      <c r="A77" s="18" t="s">
        <v>83</v>
      </c>
      <c r="B77" s="19">
        <v>0.28813559322033899</v>
      </c>
      <c r="C77" s="19">
        <v>0.66666666666666663</v>
      </c>
      <c r="D77" s="19">
        <v>0.39759036144578314</v>
      </c>
    </row>
  </sheetData>
  <pageMargins left="0.7" right="0.7" top="0.75" bottom="0.75" header="0.3" footer="0.3"/>
  <pageSetup orientation="portrait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4860-A91C-4D60-B361-B6C316AF82CD}">
  <dimension ref="A1:O58"/>
  <sheetViews>
    <sheetView showGridLines="0" tabSelected="1" zoomScaleNormal="100" workbookViewId="0">
      <selection activeCell="P8" sqref="P8"/>
    </sheetView>
  </sheetViews>
  <sheetFormatPr defaultRowHeight="13.8" x14ac:dyDescent="0.25"/>
  <cols>
    <col min="1" max="1" width="10.77734375" style="23" bestFit="1" customWidth="1"/>
    <col min="2" max="3" width="8.88671875" style="23"/>
    <col min="4" max="4" width="8.88671875" style="23" customWidth="1"/>
    <col min="5" max="5" width="10.6640625" style="23" bestFit="1" customWidth="1"/>
    <col min="6" max="7" width="8.88671875" style="23"/>
    <col min="8" max="8" width="16.77734375" style="23" customWidth="1"/>
    <col min="9" max="16384" width="8.88671875" style="23"/>
  </cols>
  <sheetData>
    <row r="1" spans="1:15" ht="22.8" x14ac:dyDescent="0.4">
      <c r="A1" s="37" t="s">
        <v>113</v>
      </c>
      <c r="B1" s="37"/>
      <c r="C1" s="37"/>
      <c r="D1" s="37"/>
      <c r="E1" s="37"/>
      <c r="F1" s="37"/>
      <c r="G1" s="37"/>
      <c r="H1" s="37"/>
      <c r="I1" s="37"/>
    </row>
    <row r="2" spans="1:15" x14ac:dyDescent="0.25">
      <c r="A2" s="30"/>
      <c r="B2" s="30"/>
      <c r="C2" s="30"/>
      <c r="D2" s="30"/>
      <c r="E2" s="30"/>
      <c r="F2" s="30"/>
      <c r="G2" s="30"/>
      <c r="H2" s="30"/>
      <c r="I2" s="30"/>
    </row>
    <row r="3" spans="1:15" s="31" customFormat="1" ht="29.4" customHeight="1" x14ac:dyDescent="0.3">
      <c r="A3" s="38" t="s">
        <v>74</v>
      </c>
      <c r="B3" s="39"/>
      <c r="C3" s="38" t="s">
        <v>85</v>
      </c>
      <c r="D3" s="39"/>
      <c r="E3" s="38" t="s">
        <v>77</v>
      </c>
      <c r="F3" s="39"/>
      <c r="G3" s="40" t="s">
        <v>114</v>
      </c>
      <c r="H3" s="40"/>
      <c r="I3" s="40"/>
    </row>
    <row r="4" spans="1:15" ht="25.2" x14ac:dyDescent="0.45">
      <c r="A4" s="41">
        <f>COUNTA(Clean_Data!J:J)-1</f>
        <v>1470</v>
      </c>
      <c r="B4" s="42"/>
      <c r="C4" s="41">
        <f>COUNTIF(Clean_Data!B:B,"Yes")</f>
        <v>237</v>
      </c>
      <c r="D4" s="42"/>
      <c r="E4" s="43">
        <f>C4/A4</f>
        <v>0.16122448979591836</v>
      </c>
      <c r="F4" s="44"/>
      <c r="G4" s="45">
        <f>AVERAGEIFS(Clean_Data!AF:AF,Clean_Data!B:B,"Yes")</f>
        <v>5.1308016877637135</v>
      </c>
      <c r="H4" s="45"/>
      <c r="I4" s="45"/>
    </row>
    <row r="5" spans="1:15" x14ac:dyDescent="0.25">
      <c r="A5" s="36"/>
      <c r="B5" s="36"/>
      <c r="C5" s="36"/>
      <c r="D5" s="36"/>
      <c r="E5" s="36"/>
      <c r="F5" s="36"/>
      <c r="G5" s="36"/>
      <c r="H5" s="36"/>
      <c r="I5" s="36"/>
    </row>
    <row r="6" spans="1:15" x14ac:dyDescent="0.25">
      <c r="A6" s="35"/>
      <c r="B6" s="35"/>
      <c r="C6" s="35"/>
      <c r="D6" s="35"/>
      <c r="E6" s="35"/>
      <c r="F6" s="35"/>
      <c r="G6" s="35"/>
      <c r="H6" s="35"/>
      <c r="I6" s="35"/>
    </row>
    <row r="8" spans="1:15" x14ac:dyDescent="0.25">
      <c r="O8" s="23" t="s">
        <v>123</v>
      </c>
    </row>
    <row r="41" spans="13:14" x14ac:dyDescent="0.25">
      <c r="M41" s="47"/>
      <c r="N41" s="47"/>
    </row>
    <row r="53" spans="1:12" ht="15.6" x14ac:dyDescent="0.3">
      <c r="A53" s="46" t="s">
        <v>115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</row>
    <row r="54" spans="1:12" x14ac:dyDescent="0.25">
      <c r="A54" s="23" t="s">
        <v>116</v>
      </c>
    </row>
    <row r="55" spans="1:12" x14ac:dyDescent="0.25">
      <c r="A55" s="23" t="s">
        <v>117</v>
      </c>
    </row>
    <row r="56" spans="1:12" x14ac:dyDescent="0.25">
      <c r="A56" s="23" t="s">
        <v>118</v>
      </c>
    </row>
    <row r="57" spans="1:12" x14ac:dyDescent="0.25">
      <c r="A57" s="23" t="s">
        <v>119</v>
      </c>
    </row>
    <row r="58" spans="1:12" x14ac:dyDescent="0.25">
      <c r="A58" s="47" t="s">
        <v>120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</row>
  </sheetData>
  <mergeCells count="11">
    <mergeCell ref="A5:I6"/>
    <mergeCell ref="A2:I2"/>
    <mergeCell ref="C3:D3"/>
    <mergeCell ref="A1:I1"/>
    <mergeCell ref="G3:I3"/>
    <mergeCell ref="G4:I4"/>
    <mergeCell ref="C4:D4"/>
    <mergeCell ref="A4:B4"/>
    <mergeCell ref="E4:F4"/>
    <mergeCell ref="A3:B3"/>
    <mergeCell ref="E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3B42-A4B0-46D3-8865-6F392841BF84}">
  <dimension ref="A2:H13"/>
  <sheetViews>
    <sheetView workbookViewId="0">
      <selection activeCell="G4" sqref="G4:H7"/>
    </sheetView>
  </sheetViews>
  <sheetFormatPr defaultRowHeight="14.4" x14ac:dyDescent="0.3"/>
  <cols>
    <col min="2" max="2" width="8.5546875" bestFit="1" customWidth="1"/>
    <col min="3" max="3" width="11.21875" bestFit="1" customWidth="1"/>
    <col min="4" max="4" width="13.21875" bestFit="1" customWidth="1"/>
  </cols>
  <sheetData>
    <row r="2" spans="1:8" s="34" customFormat="1" x14ac:dyDescent="0.3">
      <c r="A2" s="32" t="s">
        <v>63</v>
      </c>
      <c r="B2" s="32" t="s">
        <v>64</v>
      </c>
      <c r="C2" s="33" t="s">
        <v>4</v>
      </c>
      <c r="D2" s="33" t="s">
        <v>87</v>
      </c>
    </row>
    <row r="3" spans="1:8" ht="27.6" x14ac:dyDescent="0.3">
      <c r="A3" s="24" t="s">
        <v>69</v>
      </c>
      <c r="B3" s="24" t="s">
        <v>87</v>
      </c>
      <c r="C3" s="24" t="s">
        <v>61</v>
      </c>
      <c r="D3" s="25">
        <v>0.19</v>
      </c>
    </row>
    <row r="4" spans="1:8" ht="41.4" x14ac:dyDescent="0.3">
      <c r="A4" s="24" t="s">
        <v>99</v>
      </c>
      <c r="B4" s="25">
        <v>0.34899999999999998</v>
      </c>
      <c r="C4" s="24" t="s">
        <v>45</v>
      </c>
      <c r="D4" s="25">
        <v>0.13800000000000001</v>
      </c>
      <c r="G4" s="2" t="s">
        <v>121</v>
      </c>
      <c r="H4" s="21" t="s">
        <v>122</v>
      </c>
    </row>
    <row r="5" spans="1:8" ht="28.8" x14ac:dyDescent="0.3">
      <c r="A5" s="24" t="s">
        <v>101</v>
      </c>
      <c r="B5" s="25">
        <v>0.18099999999999999</v>
      </c>
      <c r="C5" s="24" t="s">
        <v>37</v>
      </c>
      <c r="D5" s="25">
        <v>0.20599999999999999</v>
      </c>
      <c r="G5" s="3" t="s">
        <v>22</v>
      </c>
      <c r="H5" s="20" t="s">
        <v>87</v>
      </c>
    </row>
    <row r="6" spans="1:8" x14ac:dyDescent="0.3">
      <c r="A6" s="24" t="s">
        <v>102</v>
      </c>
      <c r="B6" s="25">
        <v>0.111</v>
      </c>
      <c r="C6" s="23"/>
      <c r="D6" s="23"/>
      <c r="G6" s="3" t="s">
        <v>43</v>
      </c>
      <c r="H6" s="22">
        <v>0.104</v>
      </c>
    </row>
    <row r="7" spans="1:8" ht="27.6" x14ac:dyDescent="0.3">
      <c r="A7" s="24" t="s">
        <v>100</v>
      </c>
      <c r="B7" s="25">
        <v>0.104</v>
      </c>
      <c r="C7" s="26" t="s">
        <v>67</v>
      </c>
      <c r="D7" s="27" t="s">
        <v>87</v>
      </c>
      <c r="G7" s="3" t="s">
        <v>35</v>
      </c>
      <c r="H7" s="22">
        <v>0.30499999999999999</v>
      </c>
    </row>
    <row r="8" spans="1:8" x14ac:dyDescent="0.3">
      <c r="A8" s="23"/>
      <c r="B8" s="23"/>
      <c r="C8" s="24" t="s">
        <v>92</v>
      </c>
      <c r="D8" s="28">
        <v>0.39200000000000002</v>
      </c>
    </row>
    <row r="9" spans="1:8" ht="27.6" x14ac:dyDescent="0.3">
      <c r="A9" s="26" t="s">
        <v>68</v>
      </c>
      <c r="B9" s="27" t="s">
        <v>87</v>
      </c>
      <c r="C9" s="24" t="s">
        <v>110</v>
      </c>
      <c r="D9" s="28">
        <v>0.20200000000000001</v>
      </c>
    </row>
    <row r="10" spans="1:8" x14ac:dyDescent="0.3">
      <c r="A10" s="24" t="s">
        <v>95</v>
      </c>
      <c r="B10" s="29">
        <v>0.28599999999999998</v>
      </c>
      <c r="C10" s="24" t="s">
        <v>111</v>
      </c>
      <c r="D10" s="28">
        <v>0.10100000000000001</v>
      </c>
    </row>
    <row r="11" spans="1:8" x14ac:dyDescent="0.3">
      <c r="A11" s="24" t="s">
        <v>97</v>
      </c>
      <c r="B11" s="29">
        <v>0.127</v>
      </c>
      <c r="C11" s="24" t="s">
        <v>112</v>
      </c>
      <c r="D11" s="28">
        <v>0.10199999999999999</v>
      </c>
    </row>
    <row r="12" spans="1:8" x14ac:dyDescent="0.3">
      <c r="A12" s="24" t="s">
        <v>98</v>
      </c>
      <c r="B12" s="29">
        <v>0.12</v>
      </c>
      <c r="C12" s="24" t="s">
        <v>91</v>
      </c>
      <c r="D12" s="28">
        <v>0.159</v>
      </c>
    </row>
    <row r="13" spans="1:8" x14ac:dyDescent="0.3">
      <c r="A13" s="24" t="s">
        <v>96</v>
      </c>
      <c r="B13" s="29">
        <v>8.8999999999999996E-2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7FB041-802E-47F7-9ED5-1089B9B147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Calculations</vt:lpstr>
      <vt:lpstr>Pivots</vt:lpstr>
      <vt:lpstr>Dashboard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B</dc:creator>
  <cp:lastModifiedBy>Chandan B</cp:lastModifiedBy>
  <dcterms:created xsi:type="dcterms:W3CDTF">2026-08-28T05:42:29Z</dcterms:created>
  <dcterms:modified xsi:type="dcterms:W3CDTF">2026-08-28T08:01:34Z</dcterms:modified>
</cp:coreProperties>
</file>